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C4B202F8-82CE-4DCA-8046-24EE5EEBE880}" xr6:coauthVersionLast="47" xr6:coauthVersionMax="47" xr10:uidLastSave="{00000000-0000-0000-0000-000000000000}"/>
  <bookViews>
    <workbookView xWindow="-120" yWindow="-120" windowWidth="29040" windowHeight="15720" xr2:uid="{3FB55C3C-805D-4326-BD2F-D9BDA6A1AB01}"/>
  </bookViews>
  <sheets>
    <sheet name="KPIs" sheetId="3" r:id="rId1"/>
    <sheet name="Dashboard Data" sheetId="1" r:id="rId2"/>
    <sheet name="Dashboard" sheetId="2" r:id="rId3"/>
  </sheets>
  <definedNames>
    <definedName name="_xlchart.v1.0" hidden="1">KPIs!$E$21:$E$32</definedName>
    <definedName name="_xlchart.v1.1" hidden="1">KPIs!$F$20</definedName>
    <definedName name="_xlchart.v1.11" hidden="1">KPIs!$E$21:$E$32</definedName>
    <definedName name="_xlchart.v1.12" hidden="1">KPIs!$F$20</definedName>
    <definedName name="_xlchart.v1.13" hidden="1">KPIs!$F$21:$F$32</definedName>
    <definedName name="_xlchart.v1.2" hidden="1">KPIs!$F$21:$F$32</definedName>
    <definedName name="_xlchart.v5.10" hidden="1">KPIs!$U$19:$U$29</definedName>
    <definedName name="_xlchart.v5.3" hidden="1">KPIs!$T$18</definedName>
    <definedName name="_xlchart.v5.4" hidden="1">KPIs!$T$19:$T$29</definedName>
    <definedName name="_xlchart.v5.5" hidden="1">KPIs!$U$18</definedName>
    <definedName name="_xlchart.v5.6" hidden="1">KPIs!$U$19:$U$29</definedName>
    <definedName name="_xlchart.v5.7" hidden="1">KPIs!$T$18</definedName>
    <definedName name="_xlchart.v5.8" hidden="1">KPIs!$T$19:$T$29</definedName>
    <definedName name="_xlchart.v5.9" hidden="1">KPIs!$U$18</definedName>
    <definedName name="_xlcn.WorksheetConnection_Sheet1A1Z2011" hidden="1">'Dashboard Data'!$A$1:$Z$201</definedName>
    <definedName name="Slicer_Category">#N/A</definedName>
    <definedName name="Slicer_Gender">#N/A</definedName>
    <definedName name="Slicer_OrderChannel">#N/A</definedName>
    <definedName name="Slicer_region">#N/A</definedName>
    <definedName name="Timeline_Order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Z$201"/>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2" i="3" l="1"/>
  <c r="AC2" i="3"/>
  <c r="AA2" i="3"/>
  <c r="U20" i="3"/>
  <c r="U21" i="3"/>
  <c r="U22" i="3"/>
  <c r="U23" i="3"/>
  <c r="U24" i="3"/>
  <c r="U25" i="3"/>
  <c r="U26" i="3"/>
  <c r="U27" i="3"/>
  <c r="U28" i="3"/>
  <c r="U29" i="3"/>
  <c r="U30" i="3"/>
  <c r="T29" i="3"/>
  <c r="T20" i="3"/>
  <c r="T21" i="3"/>
  <c r="T22" i="3"/>
  <c r="T23" i="3"/>
  <c r="T24" i="3"/>
  <c r="T25" i="3"/>
  <c r="T26" i="3"/>
  <c r="T27" i="3"/>
  <c r="T28" i="3"/>
  <c r="T19" i="3"/>
  <c r="U19" i="3"/>
  <c r="E22" i="3"/>
  <c r="E23" i="3"/>
  <c r="E24" i="3"/>
  <c r="E25" i="3"/>
  <c r="E26" i="3"/>
  <c r="E27" i="3"/>
  <c r="E28" i="3"/>
  <c r="E29" i="3"/>
  <c r="E30" i="3"/>
  <c r="E31" i="3"/>
  <c r="E32" i="3"/>
  <c r="E21" i="3"/>
  <c r="F32" i="3"/>
  <c r="F22" i="3"/>
  <c r="F23" i="3"/>
  <c r="F24" i="3"/>
  <c r="F25" i="3"/>
  <c r="F26" i="3"/>
  <c r="F27" i="3"/>
  <c r="F28" i="3"/>
  <c r="F29" i="3"/>
  <c r="F30" i="3"/>
  <c r="F31" i="3"/>
  <c r="F2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426FA7-41A9-4521-8AB4-C7FA0453E8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81FACB-35FC-40CD-9874-0CEF936CB15D}" name="WorksheetConnection_Sheet1!$A$1:$Z$201" type="102" refreshedVersion="8" minRefreshableVersion="5">
    <extLst>
      <ext xmlns:x15="http://schemas.microsoft.com/office/spreadsheetml/2010/11/main" uri="{DE250136-89BD-433C-8126-D09CA5730AF9}">
        <x15:connection id="Range" autoDelete="1">
          <x15:rangePr sourceName="_xlcn.WorksheetConnection_Sheet1A1Z2011"/>
        </x15:connection>
      </ext>
    </extLst>
  </connection>
</connections>
</file>

<file path=xl/sharedStrings.xml><?xml version="1.0" encoding="utf-8"?>
<sst xmlns="http://schemas.openxmlformats.org/spreadsheetml/2006/main" count="3129" uniqueCount="545">
  <si>
    <t>Order_Id</t>
  </si>
  <si>
    <t>Order_date</t>
  </si>
  <si>
    <t>Customer_ID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</si>
  <si>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</si>
  <si>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</si>
  <si>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</si>
  <si>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</si>
  <si>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</si>
  <si>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</si>
  <si>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</si>
  <si>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</si>
  <si>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</si>
  <si>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</si>
  <si>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</si>
  <si>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</si>
  <si>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</si>
  <si>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</si>
  <si>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</si>
  <si>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</si>
  <si>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</si>
  <si>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</si>
  <si>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</si>
  <si>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</si>
  <si>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</si>
  <si>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</si>
  <si>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</si>
  <si>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</si>
  <si>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CUST323</t>
  </si>
  <si>
    <t>Sneha Joshi</t>
  </si>
  <si>
    <t>Male</t>
  </si>
  <si>
    <t>T-Shirt</t>
  </si>
  <si>
    <t>Fashion</t>
  </si>
  <si>
    <t>Clothing</t>
  </si>
  <si>
    <t>Puma</t>
  </si>
  <si>
    <t>Credit Card</t>
  </si>
  <si>
    <t>Website</t>
  </si>
  <si>
    <t>Kochi</t>
  </si>
  <si>
    <t>Kerala</t>
  </si>
  <si>
    <t>South</t>
  </si>
  <si>
    <t>Not Returned</t>
  </si>
  <si>
    <t>Delivered</t>
  </si>
  <si>
    <t>ORD00002</t>
  </si>
  <si>
    <t>CUST194</t>
  </si>
  <si>
    <t>Vivek Pawar</t>
  </si>
  <si>
    <t>Female</t>
  </si>
  <si>
    <t>Backpack</t>
  </si>
  <si>
    <t>Bags</t>
  </si>
  <si>
    <t>American Tourister</t>
  </si>
  <si>
    <t>Cash on Delivery</t>
  </si>
  <si>
    <t>Delhi</t>
  </si>
  <si>
    <t>North</t>
  </si>
  <si>
    <t>Exchange</t>
  </si>
  <si>
    <t>ORD00003</t>
  </si>
  <si>
    <t>CUST470</t>
  </si>
  <si>
    <t>Isha Verma</t>
  </si>
  <si>
    <t>Air Fryer</t>
  </si>
  <si>
    <t>Home Appliances</t>
  </si>
  <si>
    <t>Kitchen Appliances</t>
  </si>
  <si>
    <t>Prestige</t>
  </si>
  <si>
    <t>Net Banking</t>
  </si>
  <si>
    <t>Mobile App</t>
  </si>
  <si>
    <t>Aurangabad</t>
  </si>
  <si>
    <t>Maharashtra</t>
  </si>
  <si>
    <t>West</t>
  </si>
  <si>
    <t>Processing</t>
  </si>
  <si>
    <t>ORD00004</t>
  </si>
  <si>
    <t>CUST818</t>
  </si>
  <si>
    <t>Rahul Deshmukh</t>
  </si>
  <si>
    <t>Smartwatch</t>
  </si>
  <si>
    <t>Electronics</t>
  </si>
  <si>
    <t>Wearables</t>
  </si>
  <si>
    <t>Noise</t>
  </si>
  <si>
    <t>UPI</t>
  </si>
  <si>
    <t>Lucknow</t>
  </si>
  <si>
    <t>Uttar Pradesh</t>
  </si>
  <si>
    <t>ORD00005</t>
  </si>
  <si>
    <t>CUST374</t>
  </si>
  <si>
    <t>Neha More</t>
  </si>
  <si>
    <t>Shoes</t>
  </si>
  <si>
    <t>Footwear</t>
  </si>
  <si>
    <t>Kolkata</t>
  </si>
  <si>
    <t>West Bengal</t>
  </si>
  <si>
    <t>East</t>
  </si>
  <si>
    <t>ORD00006</t>
  </si>
  <si>
    <t>CUST651</t>
  </si>
  <si>
    <t>Omkar Sawant</t>
  </si>
  <si>
    <t>Mixer Grinder</t>
  </si>
  <si>
    <t>Bajaj</t>
  </si>
  <si>
    <t>Debit Card</t>
  </si>
  <si>
    <t>Store</t>
  </si>
  <si>
    <t>Nashik</t>
  </si>
  <si>
    <t>Shipped</t>
  </si>
  <si>
    <t>ORD00007</t>
  </si>
  <si>
    <t>CUST165</t>
  </si>
  <si>
    <t>Samsung</t>
  </si>
  <si>
    <t>Pune</t>
  </si>
  <si>
    <t>ORD00008</t>
  </si>
  <si>
    <t>CUST996</t>
  </si>
  <si>
    <t>Siddharth Rao</t>
  </si>
  <si>
    <t>Laptop</t>
  </si>
  <si>
    <t>Computers</t>
  </si>
  <si>
    <t>Dell</t>
  </si>
  <si>
    <t>ORD00009</t>
  </si>
  <si>
    <t>CUST713</t>
  </si>
  <si>
    <t>Office Chair</t>
  </si>
  <si>
    <t>Furniture</t>
  </si>
  <si>
    <t>Chairs</t>
  </si>
  <si>
    <t>Cello</t>
  </si>
  <si>
    <t>ORD00010</t>
  </si>
  <si>
    <t>CUST884</t>
  </si>
  <si>
    <t>Apple</t>
  </si>
  <si>
    <t>Cancelled</t>
  </si>
  <si>
    <t>ORD00011</t>
  </si>
  <si>
    <t>CUST629</t>
  </si>
  <si>
    <t>Meera Nair</t>
  </si>
  <si>
    <t>Nagpur</t>
  </si>
  <si>
    <t>Central</t>
  </si>
  <si>
    <t>ORD00012</t>
  </si>
  <si>
    <t>CUST172</t>
  </si>
  <si>
    <t>HP</t>
  </si>
  <si>
    <t>Hyderabad</t>
  </si>
  <si>
    <t>Telangana</t>
  </si>
  <si>
    <t>Returned</t>
  </si>
  <si>
    <t>ORD00013</t>
  </si>
  <si>
    <t>CUST462</t>
  </si>
  <si>
    <t>Headphones</t>
  </si>
  <si>
    <t>Audio</t>
  </si>
  <si>
    <t>ORD00014</t>
  </si>
  <si>
    <t>CUST177</t>
  </si>
  <si>
    <t>Priya Patil</t>
  </si>
  <si>
    <t>ORD00015</t>
  </si>
  <si>
    <t>CUST902</t>
  </si>
  <si>
    <t>Tanvi Desai</t>
  </si>
  <si>
    <t>Marketplace</t>
  </si>
  <si>
    <t>Jaipur</t>
  </si>
  <si>
    <t>Rajasthan</t>
  </si>
  <si>
    <t>ORD00016</t>
  </si>
  <si>
    <t>CUST973</t>
  </si>
  <si>
    <t>Mumbai</t>
  </si>
  <si>
    <t>ORD00017</t>
  </si>
  <si>
    <t>CUST678</t>
  </si>
  <si>
    <t>Yash Thakur</t>
  </si>
  <si>
    <t>Smartphone</t>
  </si>
  <si>
    <t>Mobiles</t>
  </si>
  <si>
    <t>Chennai</t>
  </si>
  <si>
    <t>Tamil Nadu</t>
  </si>
  <si>
    <t>ORD00018</t>
  </si>
  <si>
    <t>CUST109</t>
  </si>
  <si>
    <t>Aditya Shinde</t>
  </si>
  <si>
    <t>ORD00019</t>
  </si>
  <si>
    <t>CUST820</t>
  </si>
  <si>
    <t>ORD00020</t>
  </si>
  <si>
    <t>CUST803</t>
  </si>
  <si>
    <t>ORD00021</t>
  </si>
  <si>
    <t>CUST664</t>
  </si>
  <si>
    <t>ORD00022</t>
  </si>
  <si>
    <t>CUST140</t>
  </si>
  <si>
    <t>Lenovo</t>
  </si>
  <si>
    <t>ORD00023</t>
  </si>
  <si>
    <t>CUST125</t>
  </si>
  <si>
    <t>Wakefit</t>
  </si>
  <si>
    <t>ORD00024</t>
  </si>
  <si>
    <t>CUST328</t>
  </si>
  <si>
    <t>Riya Khan</t>
  </si>
  <si>
    <t>Sony</t>
  </si>
  <si>
    <t>Bhubaneswar</t>
  </si>
  <si>
    <t>Odisha</t>
  </si>
  <si>
    <t>ORD00025</t>
  </si>
  <si>
    <t>CUST367</t>
  </si>
  <si>
    <t>Kunal Gupta</t>
  </si>
  <si>
    <t>Adidas</t>
  </si>
  <si>
    <t>ORD00026</t>
  </si>
  <si>
    <t>CUST632</t>
  </si>
  <si>
    <t>Guwahati</t>
  </si>
  <si>
    <t>Assam</t>
  </si>
  <si>
    <t>ORD00027</t>
  </si>
  <si>
    <t>CUST530</t>
  </si>
  <si>
    <t>Jeans</t>
  </si>
  <si>
    <t>Pepe Jeans</t>
  </si>
  <si>
    <t>ORD00028</t>
  </si>
  <si>
    <t>CUST576</t>
  </si>
  <si>
    <t>Green Soul</t>
  </si>
  <si>
    <t>ORD00029</t>
  </si>
  <si>
    <t>CUST869</t>
  </si>
  <si>
    <t>ORD00030</t>
  </si>
  <si>
    <t>CUST349</t>
  </si>
  <si>
    <t>ORD00031</t>
  </si>
  <si>
    <t>CUST672</t>
  </si>
  <si>
    <t>ORD00032</t>
  </si>
  <si>
    <t>CUST633</t>
  </si>
  <si>
    <t>Wildcraft</t>
  </si>
  <si>
    <t>ORD00033</t>
  </si>
  <si>
    <t>ORD00034</t>
  </si>
  <si>
    <t>CUST871</t>
  </si>
  <si>
    <t>ORD00035</t>
  </si>
  <si>
    <t>CUST960</t>
  </si>
  <si>
    <t>ORD00036</t>
  </si>
  <si>
    <t>CUST565</t>
  </si>
  <si>
    <t>Table</t>
  </si>
  <si>
    <t>Tables</t>
  </si>
  <si>
    <t>Nilkamal</t>
  </si>
  <si>
    <t>ORD00037</t>
  </si>
  <si>
    <t>CUST899</t>
  </si>
  <si>
    <t>Akash Chavan</t>
  </si>
  <si>
    <t>Nike</t>
  </si>
  <si>
    <t>ORD00038</t>
  </si>
  <si>
    <t>CUST720</t>
  </si>
  <si>
    <t>Ikea</t>
  </si>
  <si>
    <t>ORD00039</t>
  </si>
  <si>
    <t>CUST204</t>
  </si>
  <si>
    <t>Ananya Singh</t>
  </si>
  <si>
    <t>ORD00040</t>
  </si>
  <si>
    <t>CUST208</t>
  </si>
  <si>
    <t>ORD00041</t>
  </si>
  <si>
    <t>CUST188</t>
  </si>
  <si>
    <t>JBL</t>
  </si>
  <si>
    <t>ORD00042</t>
  </si>
  <si>
    <t>CUST382</t>
  </si>
  <si>
    <t>Acer</t>
  </si>
  <si>
    <t>ORD00043</t>
  </si>
  <si>
    <t>CUST514</t>
  </si>
  <si>
    <t>ORD00044</t>
  </si>
  <si>
    <t>CUST297</t>
  </si>
  <si>
    <t>ORD00045</t>
  </si>
  <si>
    <t>CUST825</t>
  </si>
  <si>
    <t>Fire-Boltt</t>
  </si>
  <si>
    <t>ORD00046</t>
  </si>
  <si>
    <t>CUST982</t>
  </si>
  <si>
    <t>ORD00047</t>
  </si>
  <si>
    <t>CUST733</t>
  </si>
  <si>
    <t>ORD00048</t>
  </si>
  <si>
    <t>CUST345</t>
  </si>
  <si>
    <t>ORD00049</t>
  </si>
  <si>
    <t>CUST564</t>
  </si>
  <si>
    <t>Aarav Sharma</t>
  </si>
  <si>
    <t>Agaro</t>
  </si>
  <si>
    <t>ORD00050</t>
  </si>
  <si>
    <t>CUST549</t>
  </si>
  <si>
    <t>ORD00051</t>
  </si>
  <si>
    <t>CUST718</t>
  </si>
  <si>
    <t>Pooja Jadhav</t>
  </si>
  <si>
    <t>ORD00052</t>
  </si>
  <si>
    <t>CUST603</t>
  </si>
  <si>
    <t>ORD00053</t>
  </si>
  <si>
    <t>CUST663</t>
  </si>
  <si>
    <t>Philips</t>
  </si>
  <si>
    <t>ORD00054</t>
  </si>
  <si>
    <t>CUST740</t>
  </si>
  <si>
    <t>Vivo</t>
  </si>
  <si>
    <t>ORD00055</t>
  </si>
  <si>
    <t>CUST418</t>
  </si>
  <si>
    <t>ORD00056</t>
  </si>
  <si>
    <t>CUST525</t>
  </si>
  <si>
    <t>ORD00057</t>
  </si>
  <si>
    <t>CUST389</t>
  </si>
  <si>
    <t>Bengaluru</t>
  </si>
  <si>
    <t>Karnataka</t>
  </si>
  <si>
    <t>ORD00058</t>
  </si>
  <si>
    <t>CUST814</t>
  </si>
  <si>
    <t>Rohan Kulkarni</t>
  </si>
  <si>
    <t>Skybags</t>
  </si>
  <si>
    <t>ORD00059</t>
  </si>
  <si>
    <t>CUST202</t>
  </si>
  <si>
    <t>ORD00060</t>
  </si>
  <si>
    <t>CUST979</t>
  </si>
  <si>
    <t>ORD00061</t>
  </si>
  <si>
    <t>CUST993</t>
  </si>
  <si>
    <t>ORD00062</t>
  </si>
  <si>
    <t>CUST279</t>
  </si>
  <si>
    <t>Levis</t>
  </si>
  <si>
    <t>ORD00063</t>
  </si>
  <si>
    <t>Boat</t>
  </si>
  <si>
    <t>ORD00064</t>
  </si>
  <si>
    <t>CUST402</t>
  </si>
  <si>
    <t>ORD00065</t>
  </si>
  <si>
    <t>CUST335</t>
  </si>
  <si>
    <t>ORD00066</t>
  </si>
  <si>
    <t>CUST134</t>
  </si>
  <si>
    <t>ORD00067</t>
  </si>
  <si>
    <t>CUST950</t>
  </si>
  <si>
    <t>Lee</t>
  </si>
  <si>
    <t>ORD00068</t>
  </si>
  <si>
    <t>CUST474</t>
  </si>
  <si>
    <t>ORD00069</t>
  </si>
  <si>
    <t>CUST435</t>
  </si>
  <si>
    <t>ORD00070</t>
  </si>
  <si>
    <t>ORD00071</t>
  </si>
  <si>
    <t>CUST201</t>
  </si>
  <si>
    <t>ORD00072</t>
  </si>
  <si>
    <t>CUST905</t>
  </si>
  <si>
    <t>ORD00073</t>
  </si>
  <si>
    <t>CUST356</t>
  </si>
  <si>
    <t>ORD00074</t>
  </si>
  <si>
    <t>CUST638</t>
  </si>
  <si>
    <t>Wrangler</t>
  </si>
  <si>
    <t>ORD00075</t>
  </si>
  <si>
    <t>CUST590</t>
  </si>
  <si>
    <t>ORD00076</t>
  </si>
  <si>
    <t>CUST490</t>
  </si>
  <si>
    <t>ORD00077</t>
  </si>
  <si>
    <t>CUST508</t>
  </si>
  <si>
    <t>ORD00078</t>
  </si>
  <si>
    <t>CUST931</t>
  </si>
  <si>
    <t>ORD00079</t>
  </si>
  <si>
    <t>CUST772</t>
  </si>
  <si>
    <t>ORD00080</t>
  </si>
  <si>
    <t>CUST773</t>
  </si>
  <si>
    <t>ORD00081</t>
  </si>
  <si>
    <t>CUST131</t>
  </si>
  <si>
    <t>ORD00082</t>
  </si>
  <si>
    <t>CUST183</t>
  </si>
  <si>
    <t>ORD00083</t>
  </si>
  <si>
    <t>CUST783</t>
  </si>
  <si>
    <t>ORD00084</t>
  </si>
  <si>
    <t>CUST645</t>
  </si>
  <si>
    <t>ORD00085</t>
  </si>
  <si>
    <t>CUST527</t>
  </si>
  <si>
    <t>ORD00086</t>
  </si>
  <si>
    <t>CUST863</t>
  </si>
  <si>
    <t>ORD00087</t>
  </si>
  <si>
    <t>CUST716</t>
  </si>
  <si>
    <t>ORD00088</t>
  </si>
  <si>
    <t>CUST410</t>
  </si>
  <si>
    <t>ORD00089</t>
  </si>
  <si>
    <t>CUST667</t>
  </si>
  <si>
    <t>ORD00090</t>
  </si>
  <si>
    <t>CUST616</t>
  </si>
  <si>
    <t>ORD00091</t>
  </si>
  <si>
    <t>CUST153</t>
  </si>
  <si>
    <t>ORD00092</t>
  </si>
  <si>
    <t>CUST232</t>
  </si>
  <si>
    <t>ORD00093</t>
  </si>
  <si>
    <t>CUST449</t>
  </si>
  <si>
    <t>ORD00094</t>
  </si>
  <si>
    <t>CUST732</t>
  </si>
  <si>
    <t>ORD00095</t>
  </si>
  <si>
    <t>CUST391</t>
  </si>
  <si>
    <t>ORD00096</t>
  </si>
  <si>
    <t>CUST920</t>
  </si>
  <si>
    <t>ORD00097</t>
  </si>
  <si>
    <t>CUST625</t>
  </si>
  <si>
    <t>ORD00098</t>
  </si>
  <si>
    <t>CUST959</t>
  </si>
  <si>
    <t>ORD00099</t>
  </si>
  <si>
    <t>CUST723</t>
  </si>
  <si>
    <t>ORD00100</t>
  </si>
  <si>
    <t>CUST611</t>
  </si>
  <si>
    <t>ORD00101</t>
  </si>
  <si>
    <t>CUST469</t>
  </si>
  <si>
    <t>ORD00102</t>
  </si>
  <si>
    <t>CUST852</t>
  </si>
  <si>
    <t>ORD00103</t>
  </si>
  <si>
    <t>CUST142</t>
  </si>
  <si>
    <t>ORD00104</t>
  </si>
  <si>
    <t>CUST547</t>
  </si>
  <si>
    <t>ORD00105</t>
  </si>
  <si>
    <t>CUST658</t>
  </si>
  <si>
    <t>ORD00106</t>
  </si>
  <si>
    <t>CUST461</t>
  </si>
  <si>
    <t>ORD00107</t>
  </si>
  <si>
    <t>CUST794</t>
  </si>
  <si>
    <t>ORD00108</t>
  </si>
  <si>
    <t>CUST642</t>
  </si>
  <si>
    <t>ORD00109</t>
  </si>
  <si>
    <t>CUST319</t>
  </si>
  <si>
    <t>ORD00110</t>
  </si>
  <si>
    <t>CUST826</t>
  </si>
  <si>
    <t>ORD00111</t>
  </si>
  <si>
    <t>CUST686</t>
  </si>
  <si>
    <t>ORD00112</t>
  </si>
  <si>
    <t>CUST943</t>
  </si>
  <si>
    <t>ORD00113</t>
  </si>
  <si>
    <t>ORD00114</t>
  </si>
  <si>
    <t>ORD00115</t>
  </si>
  <si>
    <t>CUST984</t>
  </si>
  <si>
    <t>ORD00116</t>
  </si>
  <si>
    <t>CUST926</t>
  </si>
  <si>
    <t>ORD00117</t>
  </si>
  <si>
    <t>CUST426</t>
  </si>
  <si>
    <t>ORD00118</t>
  </si>
  <si>
    <t>CUST354</t>
  </si>
  <si>
    <t>ORD00119</t>
  </si>
  <si>
    <t>CUST617</t>
  </si>
  <si>
    <t>ORD00120</t>
  </si>
  <si>
    <t>CUST370</t>
  </si>
  <si>
    <t>ORD00121</t>
  </si>
  <si>
    <t>CUST738</t>
  </si>
  <si>
    <t>ORD00122</t>
  </si>
  <si>
    <t>CUST585</t>
  </si>
  <si>
    <t>ORD00123</t>
  </si>
  <si>
    <t>Kavya Shah</t>
  </si>
  <si>
    <t>ORD00124</t>
  </si>
  <si>
    <t>CUST894</t>
  </si>
  <si>
    <t>ORD00125</t>
  </si>
  <si>
    <t>CUST212</t>
  </si>
  <si>
    <t>ORD00126</t>
  </si>
  <si>
    <t>CUST631</t>
  </si>
  <si>
    <t>ORD00127</t>
  </si>
  <si>
    <t>CUST671</t>
  </si>
  <si>
    <t>ORD00128</t>
  </si>
  <si>
    <t>CUST504</t>
  </si>
  <si>
    <t>ORD00129</t>
  </si>
  <si>
    <t>CUST377</t>
  </si>
  <si>
    <t>OnePlus</t>
  </si>
  <si>
    <t>ORD00130</t>
  </si>
  <si>
    <t>ORD00131</t>
  </si>
  <si>
    <t>CUST138</t>
  </si>
  <si>
    <t>ORD00132</t>
  </si>
  <si>
    <t>CUST443</t>
  </si>
  <si>
    <t>ORD00133</t>
  </si>
  <si>
    <t>CUST445</t>
  </si>
  <si>
    <t>ORD00134</t>
  </si>
  <si>
    <t>CUST341</t>
  </si>
  <si>
    <t>ORD00135</t>
  </si>
  <si>
    <t>ORD00136</t>
  </si>
  <si>
    <t>ORD00137</t>
  </si>
  <si>
    <t>CUST214</t>
  </si>
  <si>
    <t>ORD00138</t>
  </si>
  <si>
    <t>ORD00139</t>
  </si>
  <si>
    <t>CUST161</t>
  </si>
  <si>
    <t>ORD00140</t>
  </si>
  <si>
    <t>CUST650</t>
  </si>
  <si>
    <t>ORD00141</t>
  </si>
  <si>
    <t>ORD00142</t>
  </si>
  <si>
    <t>CUST652</t>
  </si>
  <si>
    <t>ORD00143</t>
  </si>
  <si>
    <t>CUST326</t>
  </si>
  <si>
    <t>ORD00144</t>
  </si>
  <si>
    <t>ORD00145</t>
  </si>
  <si>
    <t>CUST675</t>
  </si>
  <si>
    <t>ORD00146</t>
  </si>
  <si>
    <t>ORD00147</t>
  </si>
  <si>
    <t>CUST294</t>
  </si>
  <si>
    <t>ORD00148</t>
  </si>
  <si>
    <t>CUST200</t>
  </si>
  <si>
    <t>ORD00149</t>
  </si>
  <si>
    <t>CUST693</t>
  </si>
  <si>
    <t>ORD00150</t>
  </si>
  <si>
    <t>CUST243</t>
  </si>
  <si>
    <t>ORD00151</t>
  </si>
  <si>
    <t>CUST566</t>
  </si>
  <si>
    <t>ORD00152</t>
  </si>
  <si>
    <t>CUST648</t>
  </si>
  <si>
    <t>ORD00153</t>
  </si>
  <si>
    <t>CUST515</t>
  </si>
  <si>
    <t>ORD00154</t>
  </si>
  <si>
    <t>CUST965</t>
  </si>
  <si>
    <t>ORD00155</t>
  </si>
  <si>
    <t>CUST422</t>
  </si>
  <si>
    <t>ORD00156</t>
  </si>
  <si>
    <t>CUST805</t>
  </si>
  <si>
    <t>ORD00157</t>
  </si>
  <si>
    <t>CUST333</t>
  </si>
  <si>
    <t>ORD00158</t>
  </si>
  <si>
    <t>CUST749</t>
  </si>
  <si>
    <t>ORD00159</t>
  </si>
  <si>
    <t>CUST205</t>
  </si>
  <si>
    <t>ORD00160</t>
  </si>
  <si>
    <t>ORD00161</t>
  </si>
  <si>
    <t>CUST357</t>
  </si>
  <si>
    <t>ORD00162</t>
  </si>
  <si>
    <t>CUST437</t>
  </si>
  <si>
    <t>ORD00163</t>
  </si>
  <si>
    <t>CUST433</t>
  </si>
  <si>
    <t>ORD00164</t>
  </si>
  <si>
    <t>ORD00165</t>
  </si>
  <si>
    <t>CUST908</t>
  </si>
  <si>
    <t>ORD00166</t>
  </si>
  <si>
    <t>Skechers</t>
  </si>
  <si>
    <t>ORD00167</t>
  </si>
  <si>
    <t>CUST694</t>
  </si>
  <si>
    <t>ORD00168</t>
  </si>
  <si>
    <t>CUST847</t>
  </si>
  <si>
    <t>ORD00169</t>
  </si>
  <si>
    <t>CUST217</t>
  </si>
  <si>
    <t>ORD00170</t>
  </si>
  <si>
    <t>CUST744</t>
  </si>
  <si>
    <t>ORD00171</t>
  </si>
  <si>
    <t>CUST164</t>
  </si>
  <si>
    <t>ORD00172</t>
  </si>
  <si>
    <t>CUST711</t>
  </si>
  <si>
    <t>ORD00173</t>
  </si>
  <si>
    <t>CUST482</t>
  </si>
  <si>
    <t>ORD00174</t>
  </si>
  <si>
    <t>ORD00175</t>
  </si>
  <si>
    <t>CUST184</t>
  </si>
  <si>
    <t>ORD00176</t>
  </si>
  <si>
    <t>CUST893</t>
  </si>
  <si>
    <t>ORD00177</t>
  </si>
  <si>
    <t>CUST189</t>
  </si>
  <si>
    <t>ORD00178</t>
  </si>
  <si>
    <t>CUST160</t>
  </si>
  <si>
    <t>ORD00179</t>
  </si>
  <si>
    <t>ORD00180</t>
  </si>
  <si>
    <t>CUST913</t>
  </si>
  <si>
    <t>ORD00181</t>
  </si>
  <si>
    <t>CUST914</t>
  </si>
  <si>
    <t>ORD00182</t>
  </si>
  <si>
    <t>CUST798</t>
  </si>
  <si>
    <t>ORD00183</t>
  </si>
  <si>
    <t>CUST409</t>
  </si>
  <si>
    <t>ORD00184</t>
  </si>
  <si>
    <t>CUST318</t>
  </si>
  <si>
    <t>ORD00185</t>
  </si>
  <si>
    <t>CUST589</t>
  </si>
  <si>
    <t>ORD00186</t>
  </si>
  <si>
    <t>CUST268</t>
  </si>
  <si>
    <t>ORD00187</t>
  </si>
  <si>
    <t>ORD00188</t>
  </si>
  <si>
    <t>CUST501</t>
  </si>
  <si>
    <t>ORD00189</t>
  </si>
  <si>
    <t>CUST235</t>
  </si>
  <si>
    <t>ORD00190</t>
  </si>
  <si>
    <t>CUST507</t>
  </si>
  <si>
    <t>ORD00191</t>
  </si>
  <si>
    <t>CUST927</t>
  </si>
  <si>
    <t>ORD00192</t>
  </si>
  <si>
    <t>ORD00193</t>
  </si>
  <si>
    <t>CUST994</t>
  </si>
  <si>
    <t>ORD00194</t>
  </si>
  <si>
    <t>CUST270</t>
  </si>
  <si>
    <t>ORD00195</t>
  </si>
  <si>
    <t>CUST978</t>
  </si>
  <si>
    <t>ORD00196</t>
  </si>
  <si>
    <t>CUST510</t>
  </si>
  <si>
    <t>ORD00197</t>
  </si>
  <si>
    <t>CUST348</t>
  </si>
  <si>
    <t>ORD00198</t>
  </si>
  <si>
    <t>ORD00199</t>
  </si>
  <si>
    <t>CUST522</t>
  </si>
  <si>
    <t>ORD00200</t>
  </si>
  <si>
    <t>Row Labels</t>
  </si>
  <si>
    <t>Grand Total</t>
  </si>
  <si>
    <t>Jan</t>
  </si>
  <si>
    <t>Feb</t>
  </si>
  <si>
    <t>Mar</t>
  </si>
  <si>
    <t>Apr</t>
  </si>
  <si>
    <t>May</t>
  </si>
  <si>
    <t>Jun</t>
  </si>
  <si>
    <t>Jul</t>
  </si>
  <si>
    <t>Aug</t>
  </si>
  <si>
    <t>Sep</t>
  </si>
  <si>
    <t>Sum of TotalAmount</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</si>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</sst>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0" borderId="1" xfId="0" applyFont="1" applyBorder="1" applyAlignment="1">
      <alignment horizontal="center" vertical="top"/>
    </xf>
    <xf numFmtId="0" fontId="0" fillId="0" borderId="1" xfId="0" applyBorder="1"/>
    <xf numFmtId="15" fontId="0" fillId="0" borderId="1" xfId="0" applyNumberFormat="1" applyBorder="1"/>
    <xf numFmtId="4" fontId="0" fillId="0" borderId="1" xfId="0" applyNumberFormat="1" applyBorder="1"/>
    <xf numFmtId="9" fontId="0" fillId="0" borderId="1" xfId="0" applyNumberFormat="1" applyBorder="1"/>
    <xf numFmtId="0" fontId="0" fillId="0" borderId="0" xfId="0" pivotButton="1"/>
    <xf numFmtId="0" fontId="0" fillId="0" borderId="0" xfId="0" applyAlignment="1">
      <alignment horizontal="left"/>
    </xf>
    <xf numFmtId="0" fontId="2" fillId="2" borderId="2" xfId="0" applyFont="1" applyFill="1" applyBorder="1"/>
    <xf numFmtId="1" fontId="0" fillId="0" borderId="0" xfId="0" applyNumberFormat="1"/>
    <xf numFmtId="10" fontId="0" fillId="0" borderId="0" xfId="0" applyNumberFormat="1"/>
    <xf numFmtId="2" fontId="0" fillId="0" borderId="0" xfId="0" applyNumberFormat="1"/>
    <xf numFmtId="9" fontId="0" fillId="0" borderId="0" xfId="2" applyFont="1"/>
    <xf numFmtId="164" fontId="0" fillId="0" borderId="0" xfId="1" applyNumberFormat="1" applyFont="1"/>
    <xf numFmtId="164" fontId="0" fillId="0" borderId="0" xfId="0" applyNumberFormat="1"/>
  </cellXfs>
  <cellStyles count="3">
    <cellStyle name="Comma" xfId="1" builtinId="3"/>
    <cellStyle name="Normal" xfId="0" builtinId="0"/>
    <cellStyle name="Percent" xfId="2" builtinId="5"/>
  </cellStyles>
  <dxfs count="11">
    <dxf>
      <numFmt numFmtId="14" formatCode="0.00%"/>
    </dxf>
    <dxf>
      <numFmt numFmtId="14" formatCode="0.00%"/>
    </dxf>
    <dxf>
      <numFmt numFmtId="14" formatCode="0.00%"/>
    </dxf>
    <dxf>
      <numFmt numFmtId="164" formatCode="_(* #,##0_);_(* \(#,##0\);_(* &quot;-&quot;??_);_(@_)"/>
    </dxf>
    <dxf>
      <numFmt numFmtId="2" formatCode="0.00"/>
    </dxf>
    <dxf>
      <numFmt numFmtId="14" formatCode="0.00%"/>
    </dxf>
    <dxf>
      <numFmt numFmtId="14" formatCode="0.00%"/>
    </dxf>
    <dxf>
      <numFmt numFmtId="14" formatCode="0.00%"/>
    </dxf>
    <dxf>
      <numFmt numFmtId="1" formatCode="0"/>
    </dxf>
    <dxf>
      <numFmt numFmtId="14" formatCode="0.00%"/>
    </dxf>
    <dxf>
      <numFmt numFmtId="1" formatCode="0"/>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Dashboard.xlsx]KPIs!Month</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KPIs!$A$4:$A$13</c:f>
              <c:strCache>
                <c:ptCount val="9"/>
                <c:pt idx="0">
                  <c:v>Jan</c:v>
                </c:pt>
                <c:pt idx="1">
                  <c:v>Feb</c:v>
                </c:pt>
                <c:pt idx="2">
                  <c:v>Mar</c:v>
                </c:pt>
                <c:pt idx="3">
                  <c:v>Apr</c:v>
                </c:pt>
                <c:pt idx="4">
                  <c:v>May</c:v>
                </c:pt>
                <c:pt idx="5">
                  <c:v>Jun</c:v>
                </c:pt>
                <c:pt idx="6">
                  <c:v>Jul</c:v>
                </c:pt>
                <c:pt idx="7">
                  <c:v>Aug</c:v>
                </c:pt>
                <c:pt idx="8">
                  <c:v>Sep</c:v>
                </c:pt>
              </c:strCache>
            </c:strRef>
          </c:cat>
          <c:val>
            <c:numRef>
              <c:f>KPIs!$B$4:$B$13</c:f>
              <c:numCache>
                <c:formatCode>0.00%</c:formatCode>
                <c:ptCount val="9"/>
                <c:pt idx="0">
                  <c:v>0.1708377866693773</c:v>
                </c:pt>
                <c:pt idx="1">
                  <c:v>0.1218694786983248</c:v>
                </c:pt>
                <c:pt idx="2">
                  <c:v>0.17844558585861875</c:v>
                </c:pt>
                <c:pt idx="3">
                  <c:v>6.4546834094979494E-2</c:v>
                </c:pt>
                <c:pt idx="4">
                  <c:v>0.15350568856177835</c:v>
                </c:pt>
                <c:pt idx="5">
                  <c:v>0.12193233485517871</c:v>
                </c:pt>
                <c:pt idx="6">
                  <c:v>9.5278589585397519E-2</c:v>
                </c:pt>
                <c:pt idx="7">
                  <c:v>7.7052879695356E-2</c:v>
                </c:pt>
                <c:pt idx="8">
                  <c:v>1.6530821980989052E-2</c:v>
                </c:pt>
              </c:numCache>
            </c:numRef>
          </c:val>
          <c:extLst>
            <c:ext xmlns:c16="http://schemas.microsoft.com/office/drawing/2014/chart" uri="{C3380CC4-5D6E-409C-BE32-E72D297353CC}">
              <c16:uniqueId val="{00000001-15AA-48F1-9971-1416FBED01B8}"/>
            </c:ext>
          </c:extLst>
        </c:ser>
        <c:dLbls>
          <c:dLblPos val="outEnd"/>
          <c:showLegendKey val="0"/>
          <c:showVal val="1"/>
          <c:showCatName val="0"/>
          <c:showSerName val="0"/>
          <c:showPercent val="0"/>
          <c:showBubbleSize val="0"/>
        </c:dLbls>
        <c:gapWidth val="182"/>
        <c:axId val="581715856"/>
        <c:axId val="584966224"/>
      </c:barChart>
      <c:catAx>
        <c:axId val="5817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66224"/>
        <c:crosses val="autoZero"/>
        <c:auto val="1"/>
        <c:lblAlgn val="ctr"/>
        <c:lblOffset val="100"/>
        <c:noMultiLvlLbl val="0"/>
      </c:catAx>
      <c:valAx>
        <c:axId val="5849662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7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Dashboard.xlsx]KPIs!Brand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95509514468277"/>
          <c:y val="5.9550110172720896E-2"/>
          <c:w val="0.73390176834056364"/>
          <c:h val="0.86993934845262288"/>
        </c:manualLayout>
      </c:layout>
      <c:barChart>
        <c:barDir val="bar"/>
        <c:grouping val="clustered"/>
        <c:varyColors val="0"/>
        <c:ser>
          <c:idx val="0"/>
          <c:order val="0"/>
          <c:tx>
            <c:strRef>
              <c:f>KPIs!$J$3</c:f>
              <c:strCache>
                <c:ptCount val="1"/>
                <c:pt idx="0">
                  <c:v>Total</c:v>
                </c:pt>
              </c:strCache>
            </c:strRef>
          </c:tx>
          <c:spPr>
            <a:solidFill>
              <a:schemeClr val="accent1"/>
            </a:solidFill>
            <a:ln>
              <a:noFill/>
            </a:ln>
            <a:effectLst/>
          </c:spPr>
          <c:invertIfNegative val="0"/>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extLst>
            <c:ext xmlns:c16="http://schemas.microsoft.com/office/drawing/2014/chart" uri="{C3380CC4-5D6E-409C-BE32-E72D297353CC}">
              <c16:uniqueId val="{00000000-69A7-4FF6-B17F-C48932D40AD7}"/>
            </c:ext>
          </c:extLst>
        </c:ser>
        <c:dLbls>
          <c:showLegendKey val="0"/>
          <c:showVal val="0"/>
          <c:showCatName val="0"/>
          <c:showSerName val="0"/>
          <c:showPercent val="0"/>
          <c:showBubbleSize val="0"/>
        </c:dLbls>
        <c:gapWidth val="182"/>
        <c:axId val="1544526192"/>
        <c:axId val="584964784"/>
      </c:barChart>
      <c:catAx>
        <c:axId val="154452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64784"/>
        <c:crosses val="autoZero"/>
        <c:auto val="1"/>
        <c:lblAlgn val="ctr"/>
        <c:lblOffset val="100"/>
        <c:noMultiLvlLbl val="0"/>
      </c:catAx>
      <c:valAx>
        <c:axId val="584964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2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Dashboard.xlsx]KPIs!Paymenr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KPIs!$N$3</c:f>
              <c:strCache>
                <c:ptCount val="1"/>
                <c:pt idx="0">
                  <c:v>Total</c:v>
                </c:pt>
              </c:strCache>
            </c:strRef>
          </c:tx>
          <c:spPr>
            <a:solidFill>
              <a:schemeClr val="accent1"/>
            </a:solidFill>
            <a:ln>
              <a:noFill/>
            </a:ln>
            <a:effectLst/>
          </c:spPr>
          <c:invertIfNegative val="0"/>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0.23509862814460147</c:v>
                </c:pt>
                <c:pt idx="1">
                  <c:v>0.13352585201817244</c:v>
                </c:pt>
                <c:pt idx="2">
                  <c:v>0.28481768422667142</c:v>
                </c:pt>
                <c:pt idx="3">
                  <c:v>0.24191662563918168</c:v>
                </c:pt>
                <c:pt idx="4">
                  <c:v>0.10464120997137301</c:v>
                </c:pt>
              </c:numCache>
            </c:numRef>
          </c:val>
          <c:extLst>
            <c:ext xmlns:c16="http://schemas.microsoft.com/office/drawing/2014/chart" uri="{C3380CC4-5D6E-409C-BE32-E72D297353CC}">
              <c16:uniqueId val="{00000000-65DC-46FC-85E7-CB39674290C7}"/>
            </c:ext>
          </c:extLst>
        </c:ser>
        <c:dLbls>
          <c:showLegendKey val="0"/>
          <c:showVal val="0"/>
          <c:showCatName val="0"/>
          <c:showSerName val="0"/>
          <c:showPercent val="0"/>
          <c:showBubbleSize val="0"/>
        </c:dLbls>
        <c:gapWidth val="219"/>
        <c:overlap val="-27"/>
        <c:axId val="1544534080"/>
        <c:axId val="584994544"/>
      </c:barChart>
      <c:catAx>
        <c:axId val="1544534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94544"/>
        <c:crosses val="autoZero"/>
        <c:auto val="1"/>
        <c:lblAlgn val="ctr"/>
        <c:lblOffset val="100"/>
        <c:noMultiLvlLbl val="0"/>
      </c:catAx>
      <c:valAx>
        <c:axId val="5849945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Dashboard.xlsx]KPIs!Order channel</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pivotFmt>
      <c:pivotFmt>
        <c:idx val="2"/>
        <c:spPr>
          <a:solidFill>
            <a:schemeClr val="accent1">
              <a:shade val="86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tint val="58000"/>
            </a:schemeClr>
          </a:solidFill>
          <a:ln w="19050">
            <a:solidFill>
              <a:schemeClr val="lt1"/>
            </a:solidFill>
          </a:ln>
          <a:effectLst/>
        </c:spPr>
      </c:pivotFmt>
    </c:pivotFmts>
    <c:plotArea>
      <c:layout/>
      <c:pieChart>
        <c:varyColors val="1"/>
        <c:ser>
          <c:idx val="0"/>
          <c:order val="0"/>
          <c:tx>
            <c:strRef>
              <c:f>KPIs!$R$3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8D52-48EF-AD77-99C7FB47DA96}"/>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8D52-48EF-AD77-99C7FB47DA96}"/>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8D52-48EF-AD77-99C7FB47DA96}"/>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8D52-48EF-AD77-99C7FB47DA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KPIs!$Q$4:$Q$8</c:f>
              <c:strCache>
                <c:ptCount val="4"/>
                <c:pt idx="0">
                  <c:v>Marketplace</c:v>
                </c:pt>
                <c:pt idx="1">
                  <c:v>Mobile App</c:v>
                </c:pt>
                <c:pt idx="2">
                  <c:v>Store</c:v>
                </c:pt>
                <c:pt idx="3">
                  <c:v>Website</c:v>
                </c:pt>
              </c:strCache>
            </c:strRef>
          </c:cat>
          <c:val>
            <c:numRef>
              <c:f>KPIs!$R$4:$R$8</c:f>
              <c:numCache>
                <c:formatCode>0.00%</c:formatCode>
                <c:ptCount val="4"/>
                <c:pt idx="0">
                  <c:v>0.21513147183705822</c:v>
                </c:pt>
                <c:pt idx="1">
                  <c:v>0.24578529861919754</c:v>
                </c:pt>
                <c:pt idx="2">
                  <c:v>0.32674722161630565</c:v>
                </c:pt>
                <c:pt idx="3">
                  <c:v>0.21233600792743854</c:v>
                </c:pt>
              </c:numCache>
            </c:numRef>
          </c:val>
          <c:extLst>
            <c:ext xmlns:c16="http://schemas.microsoft.com/office/drawing/2014/chart" uri="{C3380CC4-5D6E-409C-BE32-E72D297353CC}">
              <c16:uniqueId val="{00000000-BE01-4B20-A460-954568AEE87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Dashboard.xlsx]KPIs!Return status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1D-40EF-ADB2-9E30E6769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1D-40EF-ADB2-9E30E6769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1D-40EF-ADB2-9E30E676928A}"/>
              </c:ext>
            </c:extLst>
          </c:dPt>
          <c:cat>
            <c:strRef>
              <c:f>KPIs!$W$4:$W$7</c:f>
              <c:strCache>
                <c:ptCount val="3"/>
                <c:pt idx="0">
                  <c:v>Exchange</c:v>
                </c:pt>
                <c:pt idx="1">
                  <c:v>Not Returned</c:v>
                </c:pt>
                <c:pt idx="2">
                  <c:v>Returned</c:v>
                </c:pt>
              </c:strCache>
            </c:strRef>
          </c:cat>
          <c:val>
            <c:numRef>
              <c:f>KPIs!$X$4:$X$7</c:f>
              <c:numCache>
                <c:formatCode>0.00%</c:formatCode>
                <c:ptCount val="3"/>
                <c:pt idx="0">
                  <c:v>0.10311225517805445</c:v>
                </c:pt>
                <c:pt idx="1">
                  <c:v>0.83002070245083304</c:v>
                </c:pt>
                <c:pt idx="2">
                  <c:v>6.6867042371112503E-2</c:v>
                </c:pt>
              </c:numCache>
            </c:numRef>
          </c:val>
          <c:extLst>
            <c:ext xmlns:c16="http://schemas.microsoft.com/office/drawing/2014/chart" uri="{C3380CC4-5D6E-409C-BE32-E72D297353CC}">
              <c16:uniqueId val="{00000000-BB5A-488E-87B1-A0112965CECD}"/>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Dashboard.xlsx]KPIs!Brand</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smooth val="0"/>
          <c:extLst>
            <c:ext xmlns:c16="http://schemas.microsoft.com/office/drawing/2014/chart" uri="{C3380CC4-5D6E-409C-BE32-E72D297353CC}">
              <c16:uniqueId val="{00000000-1AAB-44AF-9138-1AC93365496B}"/>
            </c:ext>
          </c:extLst>
        </c:ser>
        <c:dLbls>
          <c:dLblPos val="t"/>
          <c:showLegendKey val="0"/>
          <c:showVal val="1"/>
          <c:showCatName val="0"/>
          <c:showSerName val="0"/>
          <c:showPercent val="0"/>
          <c:showBubbleSize val="0"/>
        </c:dLbls>
        <c:smooth val="0"/>
        <c:axId val="1209330496"/>
        <c:axId val="1043429552"/>
      </c:lineChart>
      <c:catAx>
        <c:axId val="12093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9552"/>
        <c:crosses val="autoZero"/>
        <c:auto val="1"/>
        <c:lblAlgn val="ctr"/>
        <c:lblOffset val="100"/>
        <c:noMultiLvlLbl val="0"/>
      </c:catAx>
      <c:valAx>
        <c:axId val="1043429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Dashboard.xlsx]KPIs!Month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KPIs!$B$3</c:f>
              <c:strCache>
                <c:ptCount val="1"/>
                <c:pt idx="0">
                  <c:v>Total</c:v>
                </c:pt>
              </c:strCache>
            </c:strRef>
          </c:tx>
          <c:spPr>
            <a:solidFill>
              <a:schemeClr val="accent1">
                <a:lumMod val="75000"/>
              </a:schemeClr>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KPIs!$A$4:$A$13</c:f>
              <c:strCache>
                <c:ptCount val="9"/>
                <c:pt idx="0">
                  <c:v>Jan</c:v>
                </c:pt>
                <c:pt idx="1">
                  <c:v>Feb</c:v>
                </c:pt>
                <c:pt idx="2">
                  <c:v>Mar</c:v>
                </c:pt>
                <c:pt idx="3">
                  <c:v>Apr</c:v>
                </c:pt>
                <c:pt idx="4">
                  <c:v>May</c:v>
                </c:pt>
                <c:pt idx="5">
                  <c:v>Jun</c:v>
                </c:pt>
                <c:pt idx="6">
                  <c:v>Jul</c:v>
                </c:pt>
                <c:pt idx="7">
                  <c:v>Aug</c:v>
                </c:pt>
                <c:pt idx="8">
                  <c:v>Sep</c:v>
                </c:pt>
              </c:strCache>
            </c:strRef>
          </c:cat>
          <c:val>
            <c:numRef>
              <c:f>KPIs!$B$4:$B$13</c:f>
              <c:numCache>
                <c:formatCode>0.00%</c:formatCode>
                <c:ptCount val="9"/>
                <c:pt idx="0">
                  <c:v>0.1708377866693773</c:v>
                </c:pt>
                <c:pt idx="1">
                  <c:v>0.1218694786983248</c:v>
                </c:pt>
                <c:pt idx="2">
                  <c:v>0.17844558585861875</c:v>
                </c:pt>
                <c:pt idx="3">
                  <c:v>6.4546834094979494E-2</c:v>
                </c:pt>
                <c:pt idx="4">
                  <c:v>0.15350568856177835</c:v>
                </c:pt>
                <c:pt idx="5">
                  <c:v>0.12193233485517871</c:v>
                </c:pt>
                <c:pt idx="6">
                  <c:v>9.5278589585397519E-2</c:v>
                </c:pt>
                <c:pt idx="7">
                  <c:v>7.7052879695356E-2</c:v>
                </c:pt>
                <c:pt idx="8">
                  <c:v>1.6530821980989052E-2</c:v>
                </c:pt>
              </c:numCache>
            </c:numRef>
          </c:val>
          <c:extLst>
            <c:ext xmlns:c16="http://schemas.microsoft.com/office/drawing/2014/chart" uri="{C3380CC4-5D6E-409C-BE32-E72D297353CC}">
              <c16:uniqueId val="{00000002-3B8E-49C2-8907-BB02A839E7FA}"/>
            </c:ext>
          </c:extLst>
        </c:ser>
        <c:dLbls>
          <c:dLblPos val="outEnd"/>
          <c:showLegendKey val="0"/>
          <c:showVal val="1"/>
          <c:showCatName val="0"/>
          <c:showSerName val="0"/>
          <c:showPercent val="0"/>
          <c:showBubbleSize val="0"/>
        </c:dLbls>
        <c:gapWidth val="85"/>
        <c:axId val="581715856"/>
        <c:axId val="584966224"/>
      </c:barChart>
      <c:catAx>
        <c:axId val="581715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66224"/>
        <c:crosses val="autoZero"/>
        <c:auto val="1"/>
        <c:lblAlgn val="ctr"/>
        <c:lblOffset val="100"/>
        <c:noMultiLvlLbl val="0"/>
      </c:catAx>
      <c:valAx>
        <c:axId val="5849662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171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Dashboard.xlsx]KPIs!Paymenr Method</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8480684841544"/>
          <c:y val="5.5828771519253931E-2"/>
          <c:w val="0.76145677521910216"/>
          <c:h val="0.77067922474337547"/>
        </c:manualLayout>
      </c:layout>
      <c:barChart>
        <c:barDir val="col"/>
        <c:grouping val="clustered"/>
        <c:varyColors val="0"/>
        <c:ser>
          <c:idx val="0"/>
          <c:order val="0"/>
          <c:tx>
            <c:strRef>
              <c:f>KPIs!$N$3</c:f>
              <c:strCache>
                <c:ptCount val="1"/>
                <c:pt idx="0">
                  <c:v>Total</c:v>
                </c:pt>
              </c:strCache>
            </c:strRef>
          </c:tx>
          <c:spPr>
            <a:solidFill>
              <a:schemeClr val="accent1">
                <a:lumMod val="75000"/>
              </a:schemeClr>
            </a:solidFill>
            <a:ln>
              <a:noFill/>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KPIs!$M$4:$M$9</c:f>
              <c:strCache>
                <c:ptCount val="5"/>
                <c:pt idx="0">
                  <c:v>Cash on Delivery</c:v>
                </c:pt>
                <c:pt idx="1">
                  <c:v>Credit Card</c:v>
                </c:pt>
                <c:pt idx="2">
                  <c:v>Debit Card</c:v>
                </c:pt>
                <c:pt idx="3">
                  <c:v>Net Banking</c:v>
                </c:pt>
                <c:pt idx="4">
                  <c:v>UPI</c:v>
                </c:pt>
              </c:strCache>
            </c:strRef>
          </c:cat>
          <c:val>
            <c:numRef>
              <c:f>KPIs!$N$4:$N$9</c:f>
              <c:numCache>
                <c:formatCode>0.00%</c:formatCode>
                <c:ptCount val="5"/>
                <c:pt idx="0">
                  <c:v>0.23509862814460147</c:v>
                </c:pt>
                <c:pt idx="1">
                  <c:v>0.13352585201817244</c:v>
                </c:pt>
                <c:pt idx="2">
                  <c:v>0.28481768422667142</c:v>
                </c:pt>
                <c:pt idx="3">
                  <c:v>0.24191662563918168</c:v>
                </c:pt>
                <c:pt idx="4">
                  <c:v>0.10464120997137301</c:v>
                </c:pt>
              </c:numCache>
            </c:numRef>
          </c:val>
          <c:extLst>
            <c:ext xmlns:c16="http://schemas.microsoft.com/office/drawing/2014/chart" uri="{C3380CC4-5D6E-409C-BE32-E72D297353CC}">
              <c16:uniqueId val="{00000000-4BC3-482B-9D42-9F5305D34679}"/>
            </c:ext>
          </c:extLst>
        </c:ser>
        <c:dLbls>
          <c:showLegendKey val="0"/>
          <c:showVal val="0"/>
          <c:showCatName val="0"/>
          <c:showSerName val="0"/>
          <c:showPercent val="0"/>
          <c:showBubbleSize val="0"/>
        </c:dLbls>
        <c:gapWidth val="219"/>
        <c:overlap val="-27"/>
        <c:axId val="1544534080"/>
        <c:axId val="584994544"/>
      </c:barChart>
      <c:catAx>
        <c:axId val="1544534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84994544"/>
        <c:crosses val="autoZero"/>
        <c:auto val="1"/>
        <c:lblAlgn val="ctr"/>
        <c:lblOffset val="100"/>
        <c:noMultiLvlLbl val="0"/>
      </c:catAx>
      <c:valAx>
        <c:axId val="58499454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453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2000">
          <a:srgbClr val="FFFFCD"/>
        </a:gs>
        <a:gs pos="50000">
          <a:schemeClr val="bg1"/>
        </a:gs>
        <a:gs pos="79000">
          <a:srgbClr val="FFFFCD"/>
        </a:gs>
      </a:gsLst>
      <a:lin ang="162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Dashboard.xlsx]KPIs!Order channel</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9525">
            <a:solidFill>
              <a:schemeClr val="bg1"/>
            </a:solidFill>
          </a:ln>
          <a:effectLst>
            <a:innerShdw blurRad="114300">
              <a:prstClr val="black"/>
            </a:innerShdw>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w="9525">
            <a:solidFill>
              <a:schemeClr val="bg1"/>
            </a:solidFill>
          </a:ln>
          <a:effectLst>
            <a:innerShdw blurRad="114300">
              <a:prstClr val="black"/>
            </a:innerShdw>
          </a:effectLst>
          <a:scene3d>
            <a:camera prst="orthographicFront"/>
            <a:lightRig rig="threePt" dir="t"/>
          </a:scene3d>
          <a:sp3d>
            <a:bevelT/>
          </a:sp3d>
        </c:spPr>
      </c:pivotFmt>
      <c:pivotFmt>
        <c:idx val="8"/>
        <c:spPr>
          <a:solidFill>
            <a:schemeClr val="accent1">
              <a:shade val="86000"/>
            </a:schemeClr>
          </a:solidFill>
          <a:ln w="9525">
            <a:solidFill>
              <a:schemeClr val="bg1"/>
            </a:solidFill>
          </a:ln>
          <a:effectLst>
            <a:innerShdw blurRad="114300">
              <a:prstClr val="black"/>
            </a:innerShdw>
          </a:effectLst>
          <a:scene3d>
            <a:camera prst="orthographicFront"/>
            <a:lightRig rig="threePt" dir="t"/>
          </a:scene3d>
          <a:sp3d>
            <a:bevelT/>
          </a:sp3d>
        </c:spPr>
      </c:pivotFmt>
      <c:pivotFmt>
        <c:idx val="9"/>
        <c:spPr>
          <a:solidFill>
            <a:srgbClr val="FFC000"/>
          </a:solidFill>
          <a:ln w="9525">
            <a:solidFill>
              <a:schemeClr val="bg1"/>
            </a:solidFill>
          </a:ln>
          <a:effectLst>
            <a:innerShdw blurRad="114300">
              <a:prstClr val="black"/>
            </a:innerShdw>
          </a:effectLst>
          <a:scene3d>
            <a:camera prst="orthographicFront"/>
            <a:lightRig rig="threePt" dir="t"/>
          </a:scene3d>
          <a:sp3d>
            <a:bevel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FF0000"/>
          </a:solidFill>
          <a:ln w="9525">
            <a:solidFill>
              <a:schemeClr val="bg1"/>
            </a:solidFill>
          </a:ln>
          <a:effectLst>
            <a:innerShdw blurRad="114300">
              <a:prstClr val="black"/>
            </a:innerShdw>
          </a:effectLst>
          <a:scene3d>
            <a:camera prst="orthographicFront"/>
            <a:lightRig rig="threePt" dir="t"/>
          </a:scene3d>
          <a:sp3d>
            <a:bevelT/>
          </a:sp3d>
        </c:spPr>
      </c:pivotFmt>
    </c:pivotFmts>
    <c:plotArea>
      <c:layout>
        <c:manualLayout>
          <c:layoutTarget val="inner"/>
          <c:xMode val="edge"/>
          <c:yMode val="edge"/>
          <c:x val="8.6945154797709506E-2"/>
          <c:y val="6.2499300965227211E-2"/>
          <c:w val="0.81551867417155532"/>
          <c:h val="0.87500139806954558"/>
        </c:manualLayout>
      </c:layout>
      <c:pieChart>
        <c:varyColors val="1"/>
        <c:ser>
          <c:idx val="0"/>
          <c:order val="0"/>
          <c:tx>
            <c:strRef>
              <c:f>KPIs!$R$3</c:f>
              <c:strCache>
                <c:ptCount val="1"/>
                <c:pt idx="0">
                  <c:v>Total</c:v>
                </c:pt>
              </c:strCache>
            </c:strRef>
          </c:tx>
          <c:spPr>
            <a:ln w="9525">
              <a:solidFill>
                <a:schemeClr val="bg1"/>
              </a:solidFill>
            </a:ln>
            <a:effectLst>
              <a:innerShdw blurRad="114300">
                <a:prstClr val="black"/>
              </a:innerShdw>
            </a:effectLst>
            <a:scene3d>
              <a:camera prst="orthographicFront"/>
              <a:lightRig rig="threePt" dir="t"/>
            </a:scene3d>
            <a:sp3d>
              <a:bevelT/>
            </a:sp3d>
          </c:spPr>
          <c:dPt>
            <c:idx val="0"/>
            <c:bubble3D val="0"/>
            <c:spPr>
              <a:solidFill>
                <a:schemeClr val="accent1">
                  <a:lumMod val="50000"/>
                </a:schemeClr>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1-4285-4D3F-B7E6-93FE31A3E7E8}"/>
              </c:ext>
            </c:extLst>
          </c:dPt>
          <c:dPt>
            <c:idx val="1"/>
            <c:bubble3D val="0"/>
            <c:spPr>
              <a:solidFill>
                <a:schemeClr val="accent1">
                  <a:shade val="86000"/>
                </a:schemeClr>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3-4285-4D3F-B7E6-93FE31A3E7E8}"/>
              </c:ext>
            </c:extLst>
          </c:dPt>
          <c:dPt>
            <c:idx val="2"/>
            <c:bubble3D val="0"/>
            <c:spPr>
              <a:solidFill>
                <a:srgbClr val="FFC000"/>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5-4285-4D3F-B7E6-93FE31A3E7E8}"/>
              </c:ext>
            </c:extLst>
          </c:dPt>
          <c:dPt>
            <c:idx val="3"/>
            <c:bubble3D val="0"/>
            <c:spPr>
              <a:solidFill>
                <a:srgbClr val="FF0000"/>
              </a:solidFill>
              <a:ln w="9525">
                <a:solidFill>
                  <a:schemeClr val="bg1"/>
                </a:solidFill>
              </a:ln>
              <a:effectLst>
                <a:innerShdw blurRad="114300">
                  <a:prstClr val="black"/>
                </a:innerShdw>
              </a:effectLst>
              <a:scene3d>
                <a:camera prst="orthographicFront"/>
                <a:lightRig rig="threePt" dir="t"/>
              </a:scene3d>
              <a:sp3d>
                <a:bevelT/>
              </a:sp3d>
            </c:spPr>
            <c:extLst>
              <c:ext xmlns:c16="http://schemas.microsoft.com/office/drawing/2014/chart" uri="{C3380CC4-5D6E-409C-BE32-E72D297353CC}">
                <c16:uniqueId val="{00000007-4285-4D3F-B7E6-93FE31A3E7E8}"/>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4285-4D3F-B7E6-93FE31A3E7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KPIs!$Q$4:$Q$8</c:f>
              <c:strCache>
                <c:ptCount val="4"/>
                <c:pt idx="0">
                  <c:v>Marketplace</c:v>
                </c:pt>
                <c:pt idx="1">
                  <c:v>Mobile App</c:v>
                </c:pt>
                <c:pt idx="2">
                  <c:v>Store</c:v>
                </c:pt>
                <c:pt idx="3">
                  <c:v>Website</c:v>
                </c:pt>
              </c:strCache>
            </c:strRef>
          </c:cat>
          <c:val>
            <c:numRef>
              <c:f>KPIs!$R$4:$R$8</c:f>
              <c:numCache>
                <c:formatCode>0.00%</c:formatCode>
                <c:ptCount val="4"/>
                <c:pt idx="0">
                  <c:v>0.21513147183705822</c:v>
                </c:pt>
                <c:pt idx="1">
                  <c:v>0.24578529861919754</c:v>
                </c:pt>
                <c:pt idx="2">
                  <c:v>0.32674722161630565</c:v>
                </c:pt>
                <c:pt idx="3">
                  <c:v>0.21233600792743854</c:v>
                </c:pt>
              </c:numCache>
            </c:numRef>
          </c:val>
          <c:extLst>
            <c:ext xmlns:c16="http://schemas.microsoft.com/office/drawing/2014/chart" uri="{C3380CC4-5D6E-409C-BE32-E72D297353CC}">
              <c16:uniqueId val="{00000008-4285-4D3F-B7E6-93FE31A3E7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5">
            <a:lumMod val="67000"/>
          </a:schemeClr>
        </a:gs>
        <a:gs pos="17000">
          <a:srgbClr val="00B0F0"/>
        </a:gs>
        <a:gs pos="100000">
          <a:schemeClr val="accent5">
            <a:lumMod val="60000"/>
            <a:lumOff val="40000"/>
          </a:schemeClr>
        </a:gs>
      </a:gsLst>
      <a:lin ang="16200000" scaled="1"/>
    </a:gradFill>
    <a:ln w="9525" cap="flat" cmpd="sng" algn="ctr">
      <a:gradFill flip="none" rotWithShape="1">
        <a:gsLst>
          <a:gs pos="75000">
            <a:schemeClr val="accent5">
              <a:lumMod val="67000"/>
            </a:schemeClr>
          </a:gs>
          <a:gs pos="48000">
            <a:schemeClr val="accent5">
              <a:lumMod val="97000"/>
              <a:lumOff val="3000"/>
            </a:schemeClr>
          </a:gs>
          <a:gs pos="100000">
            <a:schemeClr val="accent5">
              <a:lumMod val="60000"/>
              <a:lumOff val="40000"/>
            </a:schemeClr>
          </a:gs>
        </a:gsLst>
        <a:lin ang="16200000" scaled="1"/>
        <a:tileRect/>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Dashboard.xlsx]KPIs!Return status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a:scene3d>
            <a:camera prst="orthographicFront"/>
            <a:lightRig rig="threePt" dir="t"/>
          </a:scene3d>
          <a:sp3d>
            <a:bevelT/>
          </a:sp3d>
        </c:spPr>
      </c:pivotFmt>
      <c:pivotFmt>
        <c:idx val="7"/>
        <c:spPr>
          <a:solidFill>
            <a:schemeClr val="accent5">
              <a:lumMod val="50000"/>
            </a:schemeClr>
          </a:solidFill>
          <a:ln w="19050">
            <a:solidFill>
              <a:schemeClr val="lt1"/>
            </a:solidFill>
          </a:ln>
          <a:effectLst/>
          <a:scene3d>
            <a:camera prst="orthographicFront"/>
            <a:lightRig rig="threePt" dir="t"/>
          </a:scene3d>
          <a:sp3d>
            <a:bevelT/>
          </a:sp3d>
        </c:spPr>
      </c:pivotFmt>
      <c:pivotFmt>
        <c:idx val="8"/>
        <c:spPr>
          <a:solidFill>
            <a:srgbClr val="FF0000"/>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9.6205450812493321E-2"/>
          <c:y val="4.4109758768030638E-2"/>
          <c:w val="0.84241614285650879"/>
          <c:h val="0.92352222257574879"/>
        </c:manualLayout>
      </c:layout>
      <c:doughnutChart>
        <c:varyColors val="1"/>
        <c:ser>
          <c:idx val="0"/>
          <c:order val="0"/>
          <c:tx>
            <c:strRef>
              <c:f>KPIs!$X$3</c:f>
              <c:strCache>
                <c:ptCount val="1"/>
                <c:pt idx="0">
                  <c:v>Total</c:v>
                </c:pt>
              </c:strCache>
            </c:strRef>
          </c:tx>
          <c:spPr>
            <a:scene3d>
              <a:camera prst="orthographicFront"/>
              <a:lightRig rig="threePt" dir="t"/>
            </a:scene3d>
            <a:sp3d>
              <a:bevelT/>
            </a:sp3d>
          </c:spPr>
          <c:dPt>
            <c:idx val="0"/>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F37E-4025-A7F9-47B2FECE9A23}"/>
              </c:ext>
            </c:extLst>
          </c:dPt>
          <c:dPt>
            <c:idx val="1"/>
            <c:bubble3D val="0"/>
            <c:spPr>
              <a:solidFill>
                <a:schemeClr val="accent5">
                  <a:lumMod val="50000"/>
                </a:schemeClr>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F37E-4025-A7F9-47B2FECE9A23}"/>
              </c:ext>
            </c:extLst>
          </c:dPt>
          <c:dPt>
            <c:idx val="2"/>
            <c:bubble3D val="0"/>
            <c:spPr>
              <a:solidFill>
                <a:srgbClr val="FF0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F37E-4025-A7F9-47B2FECE9A2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KPIs!$W$4:$W$7</c:f>
              <c:strCache>
                <c:ptCount val="3"/>
                <c:pt idx="0">
                  <c:v>Exchange</c:v>
                </c:pt>
                <c:pt idx="1">
                  <c:v>Not Returned</c:v>
                </c:pt>
                <c:pt idx="2">
                  <c:v>Returned</c:v>
                </c:pt>
              </c:strCache>
            </c:strRef>
          </c:cat>
          <c:val>
            <c:numRef>
              <c:f>KPIs!$X$4:$X$7</c:f>
              <c:numCache>
                <c:formatCode>0.00%</c:formatCode>
                <c:ptCount val="3"/>
                <c:pt idx="0">
                  <c:v>0.10311225517805445</c:v>
                </c:pt>
                <c:pt idx="1">
                  <c:v>0.83002070245083304</c:v>
                </c:pt>
                <c:pt idx="2">
                  <c:v>6.6867042371112503E-2</c:v>
                </c:pt>
              </c:numCache>
            </c:numRef>
          </c:val>
          <c:extLst>
            <c:ext xmlns:c16="http://schemas.microsoft.com/office/drawing/2014/chart" uri="{C3380CC4-5D6E-409C-BE32-E72D297353CC}">
              <c16:uniqueId val="{00000006-F37E-4025-A7F9-47B2FECE9A23}"/>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lumMod val="75000"/>
        </a:schemeClr>
      </a:solidFill>
      <a:round/>
    </a:ln>
    <a:effectLst>
      <a:glow rad="228600">
        <a:schemeClr val="accent4">
          <a:satMod val="175000"/>
          <a:alpha val="40000"/>
        </a:schemeClr>
      </a:glo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Dashboard.xlsx]KPIs!Brand</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KPIs!$J$3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KPIs!$I$4:$I$37</c:f>
              <c:strCache>
                <c:ptCount val="33"/>
                <c:pt idx="0">
                  <c:v>Acer</c:v>
                </c:pt>
                <c:pt idx="1">
                  <c:v>Adidas</c:v>
                </c:pt>
                <c:pt idx="2">
                  <c:v>Agaro</c:v>
                </c:pt>
                <c:pt idx="3">
                  <c:v>American Tourister</c:v>
                </c:pt>
                <c:pt idx="4">
                  <c:v>Apple</c:v>
                </c:pt>
                <c:pt idx="5">
                  <c:v>Bajaj</c:v>
                </c:pt>
                <c:pt idx="6">
                  <c:v>Boat</c:v>
                </c:pt>
                <c:pt idx="7">
                  <c:v>Cello</c:v>
                </c:pt>
                <c:pt idx="8">
                  <c:v>Dell</c:v>
                </c:pt>
                <c:pt idx="9">
                  <c:v>Fire-Boltt</c:v>
                </c:pt>
                <c:pt idx="10">
                  <c:v>Green Soul</c:v>
                </c:pt>
                <c:pt idx="11">
                  <c:v>HP</c:v>
                </c:pt>
                <c:pt idx="12">
                  <c:v>Ikea</c:v>
                </c:pt>
                <c:pt idx="13">
                  <c:v>JBL</c:v>
                </c:pt>
                <c:pt idx="14">
                  <c:v>Lee</c:v>
                </c:pt>
                <c:pt idx="15">
                  <c:v>Lenovo</c:v>
                </c:pt>
                <c:pt idx="16">
                  <c:v>Levis</c:v>
                </c:pt>
                <c:pt idx="17">
                  <c:v>Nike</c:v>
                </c:pt>
                <c:pt idx="18">
                  <c:v>Nilkamal</c:v>
                </c:pt>
                <c:pt idx="19">
                  <c:v>Noise</c:v>
                </c:pt>
                <c:pt idx="20">
                  <c:v>OnePlus</c:v>
                </c:pt>
                <c:pt idx="21">
                  <c:v>Pepe Jeans</c:v>
                </c:pt>
                <c:pt idx="22">
                  <c:v>Philips</c:v>
                </c:pt>
                <c:pt idx="23">
                  <c:v>Prestige</c:v>
                </c:pt>
                <c:pt idx="24">
                  <c:v>Puma</c:v>
                </c:pt>
                <c:pt idx="25">
                  <c:v>Samsung</c:v>
                </c:pt>
                <c:pt idx="26">
                  <c:v>Skechers</c:v>
                </c:pt>
                <c:pt idx="27">
                  <c:v>Skybags</c:v>
                </c:pt>
                <c:pt idx="28">
                  <c:v>Sony</c:v>
                </c:pt>
                <c:pt idx="29">
                  <c:v>Vivo</c:v>
                </c:pt>
                <c:pt idx="30">
                  <c:v>Wakefit</c:v>
                </c:pt>
                <c:pt idx="31">
                  <c:v>Wildcraft</c:v>
                </c:pt>
                <c:pt idx="32">
                  <c:v>Wrangler</c:v>
                </c:pt>
              </c:strCache>
            </c:strRef>
          </c:cat>
          <c:val>
            <c:numRef>
              <c:f>KPIs!$J$4:$J$37</c:f>
              <c:numCache>
                <c:formatCode>0.00%</c:formatCode>
                <c:ptCount val="33"/>
                <c:pt idx="0">
                  <c:v>5.8455323932643299E-2</c:v>
                </c:pt>
                <c:pt idx="1">
                  <c:v>7.990593763267613E-3</c:v>
                </c:pt>
                <c:pt idx="2">
                  <c:v>1.5117359105708144E-2</c:v>
                </c:pt>
                <c:pt idx="3">
                  <c:v>4.1955616521011556E-3</c:v>
                </c:pt>
                <c:pt idx="4">
                  <c:v>5.9764417227033989E-2</c:v>
                </c:pt>
                <c:pt idx="5">
                  <c:v>7.225371179665898E-3</c:v>
                </c:pt>
                <c:pt idx="6">
                  <c:v>9.600303669708066E-3</c:v>
                </c:pt>
                <c:pt idx="7">
                  <c:v>2.7617901416108412E-2</c:v>
                </c:pt>
                <c:pt idx="8">
                  <c:v>6.4349906990299674E-2</c:v>
                </c:pt>
                <c:pt idx="9">
                  <c:v>3.9545464904408065E-2</c:v>
                </c:pt>
                <c:pt idx="10">
                  <c:v>1.180386727907046E-2</c:v>
                </c:pt>
                <c:pt idx="11">
                  <c:v>0.14461434465571338</c:v>
                </c:pt>
                <c:pt idx="12">
                  <c:v>2.4810500045760266E-2</c:v>
                </c:pt>
                <c:pt idx="13">
                  <c:v>8.3928982478580997E-3</c:v>
                </c:pt>
                <c:pt idx="14">
                  <c:v>7.4936384789456355E-4</c:v>
                </c:pt>
                <c:pt idx="15">
                  <c:v>8.6484708414257858E-2</c:v>
                </c:pt>
                <c:pt idx="16">
                  <c:v>4.2371281315185015E-3</c:v>
                </c:pt>
                <c:pt idx="17">
                  <c:v>4.2503775071229865E-3</c:v>
                </c:pt>
                <c:pt idx="18">
                  <c:v>1.8564135695889449E-2</c:v>
                </c:pt>
                <c:pt idx="19">
                  <c:v>5.4338052730055063E-2</c:v>
                </c:pt>
                <c:pt idx="20">
                  <c:v>8.6399149377545836E-2</c:v>
                </c:pt>
                <c:pt idx="21">
                  <c:v>3.2014388619331382E-3</c:v>
                </c:pt>
                <c:pt idx="22">
                  <c:v>1.4114433945508023E-2</c:v>
                </c:pt>
                <c:pt idx="23">
                  <c:v>2.6630984511325576E-2</c:v>
                </c:pt>
                <c:pt idx="24">
                  <c:v>6.5313875031185109E-3</c:v>
                </c:pt>
                <c:pt idx="25">
                  <c:v>8.658857155742021E-2</c:v>
                </c:pt>
                <c:pt idx="26">
                  <c:v>2.331349906146237E-3</c:v>
                </c:pt>
                <c:pt idx="27">
                  <c:v>5.8936232375816347E-3</c:v>
                </c:pt>
                <c:pt idx="28">
                  <c:v>3.4594520030275331E-3</c:v>
                </c:pt>
                <c:pt idx="29">
                  <c:v>6.4099972736768984E-2</c:v>
                </c:pt>
                <c:pt idx="30">
                  <c:v>4.1570825135372615E-2</c:v>
                </c:pt>
                <c:pt idx="31">
                  <c:v>2.2652911335655952E-3</c:v>
                </c:pt>
                <c:pt idx="32">
                  <c:v>4.8059396946011686E-3</c:v>
                </c:pt>
              </c:numCache>
            </c:numRef>
          </c:val>
          <c:smooth val="0"/>
          <c:extLst>
            <c:ext xmlns:c16="http://schemas.microsoft.com/office/drawing/2014/chart" uri="{C3380CC4-5D6E-409C-BE32-E72D297353CC}">
              <c16:uniqueId val="{00000000-30E2-427D-9F2B-C11FD0DBFDE4}"/>
            </c:ext>
          </c:extLst>
        </c:ser>
        <c:dLbls>
          <c:dLblPos val="t"/>
          <c:showLegendKey val="0"/>
          <c:showVal val="1"/>
          <c:showCatName val="0"/>
          <c:showSerName val="0"/>
          <c:showPercent val="0"/>
          <c:showBubbleSize val="0"/>
        </c:dLbls>
        <c:smooth val="0"/>
        <c:axId val="1209330496"/>
        <c:axId val="1043429552"/>
      </c:lineChart>
      <c:catAx>
        <c:axId val="120933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9552"/>
        <c:crosses val="autoZero"/>
        <c:auto val="1"/>
        <c:lblAlgn val="ctr"/>
        <c:lblOffset val="100"/>
        <c:noMultiLvlLbl val="0"/>
      </c:catAx>
      <c:valAx>
        <c:axId val="1043429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3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689C-45F0-8812-5164024565EB}">
          <cx:tx>
            <cx:txData>
              <cx:f>_xlchart.v1.1</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solidFill>
              <a:schemeClr val="accent1">
                <a:lumMod val="75000"/>
              </a:schemeClr>
            </a:solidFill>
          </cx:spPr>
        </cx:plotSurface>
        <cx:series layoutId="regionMap" uniqueId="{00000000-5C8B-413C-B012-C2A4D6D76520}">
          <cx:tx>
            <cx:txData>
              <cx:f>_xlchart.v5.5</cx:f>
              <cx:v>Sum of TotalAmount</cx:v>
            </cx:txData>
          </cx:tx>
          <cx:spPr>
            <a:effectLst>
              <a:outerShdw blurRad="50800" dist="50800" dir="5400000" algn="ctr" rotWithShape="0">
                <a:srgbClr val="FFFFCD"/>
              </a:outerShdw>
            </a:effectLst>
          </cx:spPr>
          <cx:dataId val="0"/>
          <cx:layoutPr>
            <cx:geography cultureLanguage="en-US" cultureRegion="US" attribution="Powered by Bing">
              <cx:geoCache provider="{E9337A44-BEBE-4D9F-B70C-5C5E7DAFC167}">
                <cx:binary>5HzZbtxI0u6rNPr6UJ37MpgZ4CeritoXS17kG0K2ZDKZ3DO5Pv0f8tItcWS7p9AHOI1TMGxIrEwG
I/KL5Yug//lx+sfH4uGu+2Uqi8r94+P0r18z75t//Pab+5g9lHfuoDQfu9rVn/zBx7r8rf70yXx8
+O2+uxtNlf5GEGa/fczuOv8w/frvf8Ju6UN9Wn+886aurvqHbn714PrCux9ce/HSL3f3pak2xvnO
fPT4X7++usvvnM/uql9/eai88fPN3Dz869dnX/v1l9/Wm/3HjX8pQDbf38NaIg64YlwITNDnD/n1
l6Ku0q+XJT1QTGskNNafP/zbrc/vSlj+pyT6LM/d/X334Bw80+d/ny199gBw5fjXXz7WfeUfNZeC
Ev/161F1b+5+/cW4OvpyIaofpT86//y4vz3X+b//ufoFKGD1mydmWWvrZ5f+wyr/49xd+U0tf4lF
KGdUaay+qFw/s4gmB4pIrpGmXy7Tb7f+YpGfSvOyNb4uW1nif67/VpbYPBSZ+aaOv8AS6kAwSuH0
iy/YwM8sIeUBxpxJxb9iQ3y79RdL/FSaly3xddnKEpvTv5UlTu666s7fWcDsX+WpMDuQGDHC2FdP
tbKGOMBCaszBYJ8/K1z8KYletsiTpSurnPzP38oqN3elKX45v7vv/0Kz4AOEBUZIqefoUAcMSUQQ
l99u9gUWf06Ily3xdO3KFDcQCv5GQePsDhKGO5f57q+EiD5gnCBFITx8/vwnRJDSlEBE//xZBfM/
KdPLpnm2eGWbs8O/lW1OHrq74q80CzpgTCspJXsOEQEQUUQw/DW+QO71xVt+QcrP5XjZFN/Wraxw
8vcKIRf3xmV/oRUIOuCYIsYAHV8+z4yh2AEjChIv9BU7K3D8XJyXjfFt3coYF6/+VpC4eSjuqvSu
+gvtgeWBQkhwyHOfGULqA4Q0VB38q5uCy09R8adEedkWT5auzHET/63M8dp7KFcvu7v7B5d9U89f
kPCKA00oFxjC+QvxQwGChKCcqJdTrD8t1cvWWS1fWej15d/KQm8fnP8lfADMFH+hfaAa54+1IaEv
2kceaIkBN5R/uQzh5ily/qRML1vn2eKVbd6G/0/b5uW08Gld8uwb/y2DQg4eISHwV1Do/3BnVFCq
EESWz59VOvyV2fi+NC+b4+uyZ4L/X6ZJvk+h/E4wbaDm235mpp6wKD+++vnxgDBbLf16cF/0aV90
dXT/r1+pJpAz/U54Pe7x7MSHBrLsbyD4Y8EDsGj/+lWpA4oo50gSRDBTDOAyAmzhCj2gFH4tBHhD
yjGHyr6qO58BXyYPIMOWwIdhTQQRGtIEV/efL7EDWCEgwUaIU6hV9e9s4GVdzGld/a6Jrz//UvXl
ZW0q7+CeAgrW5sv3HiWVUOYqRTHGDCAPOQmHJ20+3r0CyhG+jv9PO4jCVbqkcZNgdpOnbNn0c1Yd
T1K6zZBPfTy05W1myymciFK3RpblKWG8b0MPf7G40licZTWzb/MsM+fVsIgzrCuZHE2Lz3ToSJf1
oemEeEuWcbHhWBXiNLFZnYfWt9WR1bOIUzUsbzUV9aellv5ttsi0Chkl/kLIYLpEKi1C7VAQsba2
uxES3uOpG8ir3o3tCXNVfTxjJ5tQV/4oHWY5bTAJ6NtALISdNN7lJ3mhqQuNYtWNNcmCjqxhwQnK
4UYRZ/lQRZkYRJTxMnk91XkblzzgJ0LXw/vWNL4I80BZE7VyNm+SSaHXCZ9HvetpCnvTekIRLfLA
hWmxkHudJkURiqysjzs3pTs+CHu+kLxjYe56c4rKXLKoq7ULy1qWGu5Nu6ugqa0Oy97MV9qwfDeU
sjqrFLNDiGyf2ZAMvOwvUj/3n3BhglcJLZIpLEwy3jWYlzjMgmSwoQvm9jybLJ/DFqmy2SWSBSJK
s8FeuWWej8TI610/U5OFVWtNaEdLd00v61PKHT/KMU6XTckQ3ZUy14ek550NJ/op84Vs4bF4HoRV
wbrDPLBtH9Ya9SqaPALrZr0mNlxUad67LLdHM6vkdvao2TmJ5TWvkdwNlHb3sy+MAW0kfdwHOf3Y
WDzeYj+I46DJ0xOeufpKqJm8HlnVnVlucx5lM5LBjjcoD7ZTP1RlaFmeukjmgh/3qZgPCzvpi66t
mm3LbZVGvGbl8TxU8pRV+XjMvUdXC2/kCc2DcYtFz9+X2VDclBX31wyxbDysSY6uzBL0TagIRyTM
+aTPgbzOLhqBMhNKq/wZ7xQ95a0kRwgHZA6TpO6PereQMqxGUKnqhC0PcaDzK5P2Iw2tHqbTZHTX
JVqS97qr7HFgGbuVXSlOZDAXhynpCKipxvq860FRIZeVcmEztLyOKqcaB5vkQRaK2sllh5NxqELl
FnrkBpfOIRWObM08dK+CWiw7NedbNJpgw5v2fdOUySYRdblp/RC8aVk3RZ2uj9HUBzvZJ/WGz+zC
WxZOQAvvSu2zMOnY2yQz27InblfXshPhIrNTqDbH+6JsP+Kga89L0V23XfNJG5dECbXbQvc+bBoX
+YWNF2WbbiRvWIRzMYSUiF1tRF9eJLyEUy+knMRuJMRWm7Z0KjRsmkNfuyWe0Cx9yPKeH3eijUZE
R3AIZUY3evHlqZJMbAGGw+tKs+osQFkRdpjWccF83195kSRpmNKiU+GCgmwM02BS7/tc2Sr0ygcD
HNc0+2gr8Ikb8CZk2tZo8fpYLVOWxbQH5YSSF8G0q9QIQsIijsKapj4BJIx9cDpy32XRqKS9N7Tq
dz3Og50SOYdj4acYl5zFaGBoy9IWH+FOLtEwIhSXKStNmC5J8lqCaqPeDyocG253KtVlt7HZSEyI
irTdVrnvd3OeL2eeG3St8m55r3AraEhMN5yUhNRHVCb2MiEq2aG8Np8aMyY+DCwnRbh4NO/G2U5b
Q4NxChciAfB06G8bVqDD1ooxDYfFmsM5Me2ur22ah6WT5KwTSITUanOo27R7x0jH4TjM3aZNxnRX
NrXfFqwarlGBu3dB0dtjWbZzuyG5lLHrWw94SN1lnqN+iGjD+g/pVBVbSvThkvITbO186pEt3nUk
dSdpOh32iw2u+2awR3ml7KvZtOmFcGi5IIEtY1VV9LKtThvjj8phmC+RN2ZDJB1ea02HnWvGikT5
JNujxTbBOXIVak4onKaLsemK0zwDDx/ZXuNjNha3idb+VgbWvmlNX5+Bmu1VaRf23vNK2E3boamJ
2mJILtKsn0+zYWZ5SNLFbfLe0+2ovI4cV+QsK5dq2YxJb7ZM9yfFvLAoWwbehsGwnHTBoEyoCzDd
MtpiVyzlcp0snnRRUqb2rdIT3c7N5C/KjNFjWZSLCPtiaSIn8vy+tVl/hIcejFQG3FwXLIVT9nhv
aQy99JUhu7S08yHBjfiIx2yORZKC61MlmSNaFVUfFnjyEwTSKjiVLq3bkKVFPIwQ7puu3eEci928
2PFVph1PQx+kdayUskd6mdM4YVkTmSQp3gZVv7z2TJHThSLw71i25LhhSdtHVUbxUYrovZuR3SA8
2g88U63dLnXevJ7wUKQhEFeo2ui2k6dTo/IzotysQge+lWflHXWVgWNs8/OcdekFbRxNw2RJUhqW
o7bvR/CneWQzRIPtnFb1lWQK+6OxNctNTSB5C6e67I+R68Qb19rh9ZTj+66v6yU2iQtCmRb0QmqX
Psjep7tKZL4KZzLRcHaMsZCNetqKgpI3eSfHGwmu5i6ZpAGnS4ZchsqiioUy581rOefFQ0ELG/W0
LjZlZvKwKT2+zXJCxGGXt/TCt824ncCJTmmgtqrm+fHS8OGdTtIPOnWHAC110iqdb0syLOEQpIdV
i6/RAnae83o8ntvknBeiDVHe5pHqx+WoypuZXNsOQHLYa8NPpioX10NlkzBwPYnzSvsjleWQdPDF
ug9NXp7XMwVDzaQ7Ik3A4zaHYBq2XZBvCpMXm4qT8SpN4Ez3M4LQWlK9ayCmvK7nutjhpasjVeHu
spBsem2bJdgIq3loi0pEjSvYVtY8uFGT3E5sNmGHiLoaHS/PuzGFfI+a/C2eZ3I0dGW/7Yaqua+6
3MajddU2hXTrcJKVfidoOV8kWNT3gyPTbnTLmIejEPN1x0x72OceEhPiDlmKstOs7uedHbL2va7c
cjLhWnySS4CjJuEXDenMSRlAuK9Iiz/M1TzUockVSaJpcDQL5yEwJ0WZpAwySTt9ShI0ni5znprN
VAbifBYdOJJxqj+UQ0e2Y+DUSZoEPh7L0VyKGfIonCZ6Jz22uyWXzVmf6CCuTFVGOGEibN10X4rF
XZqmPe8V9YcYNW4z4wDSAW9sKGdhT1tf2XDux1NIOs0m1xW7KAZSHCYNuPUaBWzXUBsjaU5nn33Q
bL5vsL6Qaep2Ze3rERBs5Ku6aRoatQ3Cu6wNTsAnln1Iijy7KVvwq2E9T5WJ0NjnkEbodjmRwo87
OvvglUIzRbdjsyh5PCRuiqVoNNi+LtgnSLLqPua0xG8gSLXxNHr8IPmYtsdL2ULu1ymr74deYbxb
OohGjg3jtS643LClX86QC84szvkrSCbn41znWUiRs6euMxqyuT4vQ1XmZo7qFLskHDtObwqL08PS
eQcppU42o89PKG/EOXgEv+VtWp6KlAxdWKbUvGtgxSkpg9lFkGcu551Xsw0b1MrbAjLr67oj3Sng
lfeQe/l517XzcGWD1ozhLIU6YwH2KGxEtZBtAhnuRvUWd5sJV8X1ggVpt83YpLeVzcpT6uyCIlwS
fk5ryFCsbUkaQrJakjBLRX1piecicqVLROj4aJbItl26bNMF1UFokyZ7i2yGT7qm8XmYIRYcpxJS
DNa7o9oW5fmAuCg23pVnZBDySqVQ30MCRo2M8rIq79Vs8Ie06dWZ0Fbe9hnuj5TSQR8KYWwdlWlm
syipkn6KWAGE2qbqp2oT1A1ut8kyqhs3d5kPO9vN2wl6B6H0tdqxlsfa6mIj6qazmyDTOJrzpIvB
a90NxvtQk77eZIplcaGaMpqMjzOSXpKWf2rxkB4mVR0cTXniIlsGR6jJDhk350s96nAQTbkp8tRf
o7ELthXqTJzwItlYlNCoYDYOHksMKctDUMQSjfWuqiE3BEmOBa8+oRlUYtLgkIgJhWAIE0KJbENT
6GCj6+yt7sYiGrP0xmfLHOIifR1A2hFCOTjuutxfQDlfRfWozihx7aZEwSE1ftpBMfIhSOip5fmm
MlxFizYQG1D63tfkJEVQmnHXkY3vpdgsYzuHts78kbTlsi1HPIRcJMsmMSXd0GrwkWU9yDlULhJ6
rKOx6HZlQTaomO7Kod24Pjv0us02Nasull7ay5GW9VZkaDkD7LG4oYneQOjB4TjOHQ2hbqLHeeXS
V0mjbMyShkdpO/TbFvW9DZkRXRg0Fd0tpbOQlAbzEE+YJ1dzwnESqcLONAp0r9pQFr47FXOfm6gv
QL+qK2Rsp0CGC2XDIQtk8qbHpH/n8qrJoywroGDJvTAnk5tls1nIMFwVKC+zrUgb/aZg5XTnaZqc
OLGM/LBLmhASGv4uHZs+3fqA6zzCCxQ4x4hi80o06VRuga9aDpsJTSEEDvQ2rVxx7VHajGHQMYHi
wBbuGNpZHnJQ5TpweUPzljF/TWc4isirG+8tPwEHY8PSNOpwKtq7pTE0bMUotn7KI82d3jYYDQ9k
7jMC2SlS52lP1SHUWJUHyDXF7ayUiCYyt3lYd8nwHpBlIsMb04ZlmcWlmEQ8zRCquYESjmQ6Pc4X
Mh16BSxBqDKst4Z0zQlOweeDF0Ljm5Tb4rYutImN8H21LaWTrxUkLixMRVlMYZJTe/R0qugZd/Ox
bubOpNnXYa7ff/z3TV3Cn89jRn/88nEW7I+fzr4Nkf3wW/FD/dj9c+svPbJvv+/1x0DTI+X1+3TT
ikP7Mnb2HYLthxf/HPuGESZEMvQjBu7rNMsflN0fi76wcDBFAxMbjxybEsDGfebavrBwUhwozIBV
BU6bAOetoJv9jYVTB0pJaOQJrDFDgjxh4R7nDgisQgLIM9iR/Dcs3COd94yEgwJTEs2gRUsZ0HAK
HvYpCWcq3pQgXhub7tGntWPrb/ohHd9lgx8u6DTe9EEXvKqod8CwFFlzMjOdhrzBqd3wMS9uS9sN
d11bm6PE6n4LFBuPlkX3IWbe70xh+NUk0PQKts9Cl4/NZWrK4iEX4sPYO7EZFx1sW6iDICaw+rLR
Y3ID0a5Owxa7txRYlLtaQWkEVMcQusTay7nmr2xdDCcFpjmUxGJ8Q3OBtihfkjDNdL/R1tfXda3f
TUEOBMCY1uDOW0i1g2CMUTV1wCgSs3Gu6cJ+bq9RSbNt5qY6pI3Xr5opsJu+9+01K1mwdWlebtPR
EaBWPD80iW1jj/T4lswTP3QkKT7ppKlOB5pmH5Qo21DNzn/ogUK5yXtSxnmSQJhhAqIkG6iE3Kuc
AgzOJMHvbZ7NkQBWc4sgMz8d8TTOEVn6uowcFPPvKSQtTVhAV8SELRvQbY2lDlHSQLaqUtzVYTfw
M+6HnEOeYdUbFRTuJGtxWUVULc0QLrruR+hwAM38lQL//94lPGs7POXXMQYW+/t8/LNmxyPL/fn7
XxyBlgcMYwA1p0wIqQXMPX5xBEIdQFcLA/hgrkURCFS/OwLKDzjCWiAJXS/N+OOlr3S8OJACkjKY
uwAfhYXW/5UjgF7AEz8QQH9AMsmB2X+Of5dMSW2NFocZ3mh+4QaYXf39+b+ek6c0/8v7Eg0P+9Sv
aGIG4Qoo0TwHrxEuwP2+zSCv+jLw+mXe9b/YHnpST7fPgUGZxwn43axru+7VKBaU3qTTUn/6sfjQ
CHlBLURDU+vp/rpcLKTnidhqwt1y1eBSozCjOcchYgiycEZbn+x+fLPv6epRiCeNEAdleT6mldhO
jioaKkTTDsoood7/eP9Hof9ouHyzMfkcA57sL3WLmhxaHdseN+wM45GV1yPKkTidla+mOJALZHjl
3DavfnzD7z3Q4++f3LBRqBnk4w2HQsvpuM76pI8Y5KVm++MbPJ6il57osbX05AbKLCPyPeVbqOnl
eCxmmpCosY5kp9wCIXKGe9vbqHVtNUsgNBlud6jKhu7wx/fHj/B4SYBV76qRkAlzN/Ntn6ZDG0Fw
jyXFnxpLW8gZ23QcSggsMjitxxTbbU/qWlVhkCpSwhTTPgADx/BUBUU6l0PBR1ABtAoi2tWfoFg2
P3m+7xlw5RVqQOqoZs+38+zkOwS8TJgMfX6xl+hq5RsKlRvhaMe3lhrzgODFhNMqMLaP9tt+5Rvq
YIS2Q8b5tvByeIPHFjoLySL38zxq5Rm6YsybBqrRra+DZdmiKRi6jWigSbGn+CtvQKYUq7nIwRvU
rM+jWYiJhW0LUNrsp5/HlPAJeEg+B1XtGuCPaiAmLh2Mqfk3pffBp/32X6HfKdSjceIqXmpcAm3K
Aki3jHXdTxT0PHX93Z2pFfh1bVnRkzmJ60At5W7scDNsi3HGZtOajOk9b7OCOGV1osYmkLH3PfGH
lagrtF0qXExb6AWM035QeywCnlqjrYc2oVOp4gZIpRtgS7KLCtrzNz+2xfd0tQLyaCeFR0g7YhJM
Zlu4TtLTlM11+9ZyZaefqOo77kKuAJ2ptLFKNiruCjYfBeWCLjSkpsWXpPO/DfZyDejEzMD8LyLu
gfufgJue2K1Y6uYnweR70q8Q3Q+ylgrekYiHAizgi7Tcsj6AgvvHJvje9is899Chm4s5VzFzgwUb
zGoKoAExm2XPG6zwbHXAWw3NjVjjEoYaoB1fjdsul8t4ud8TPD7ZE4chyUwdDoCr0C4zb6Ry7nIy
KdBUP97+UREvxFK5wnOph5HnfSrjsnBt8gqmPNr+DW0XjY49EITyCkZPqDj68c2+Zw2yehbgu6Dv
yiWQYMybQ7/QSYcwYzKi/fAsV3iezNwKaLMB6+XShh056LSoMO9Z97PY/HjqX1LXCtJzmqeoHOE8
tcncdJs8pVJelsEC4wvQIS7tdkrJXL0rSkXf91U6Vj/R3Pdynsf65ekxKKY0kfUygt8tVNEcZ4FL
oKm7WA1pnfJjznxY+XwZIpMBEbuz05LKjWAjra8H5EW/n4LFyhvMiQikskESlzLoN9SMMlayoD85
jPjRTi+oV6y8AR/8ZFrS6pgiaERtF5wM0AtIlqU4bDSV80XqyvpTE7CxPGSLqvj5RCmpzohUKn+n
LOH8J6J856iKleNQFbT96tEAXysTRyOx6IdmmsZ2P6ctVm6j6KjA85TLuAuaMU49ZgWMLaj0fi+g
iZXT6HEnVA5DXXHaTOqWQyg9hyGqcj+f/Xm27IlLamla5UEgdcwLqGSiHqtyCXvTze4np+w7KBMr
P+FMO3MydSr285iQI8W6Dn2YGgyIy0iGgE8yfVOGZAHG+WNTLo7saZaV/4BZkwIOUSdioRJorDUt
cSU07ViwZ7gQK/+xsAUGp0Qnt33L8VbMQ7pZRB1s9jI7XzkJkUC7PW+nBUYxUh8vlcxD0TX5T3zQ
dyDBV9iH17SyYILQEOfElBHxON8kc032O1SPL3Y9dXBQ9dQKG+jdQ/emClGG31Yp+1nW+j3RV2jG
oqnYVKRLnMrZn/VzhSAXaDOc73du+ArOGYyHNLSblzhISn1EhsluEqpYvJ9ZV2imzcAbb2F3nxAW
jVS60JXY7Ck7fa54VZFFDRLMGniSRZb2AzRuJNvPjwJh/sysOQo6NCYw2NViU+ychtm8gbNl92PN
POr3hXjBV3itEp4tCwZaeQz4A5Sddtgxb5sq9qMUez7BCrJ0kEOV22SE4TDRvdK+zreY1Xa/cpyt
IOsrSIXGRYxxDe/RHynN+00+V3u6G7aCLPZlkagl7+MUJjdOTFHKs2Yq9hR9hVgI1NAPwNTHbZ0n
OOo4gYlMGD/N9vNmbAVaDpNkNliA5mkqMx1bn/rTHoaS9gMVW0EW+NFgwDBnsut66C5cU5gtLi5g
ulNk+52bxwHwpw7NYjO06QADhlMK7W7b8NtZz9VPDv53HBpbgRYGcS1TKhm2bZHhkMIsUNhqaPv8
GFbf230FWtrkjCS5GkDzwW1HIL+r9JTsadYVZmGkqAsCJ76KzkgL02CD2Ff0NVq5Snro3Q5bPQJp
TB53d3srhq7QatHQJIWD3adcZ1Gv7ONEBsn3UztdoTVjXNWIINidkYfWsGKXmnRPZouu0GrhvydR
JoXN9dKXcSF1B5WXmPbLDegKq5OHcdRitsOW+2QMYfqPhLhJ/H4hiq6wWmYNqWqKoL85LFU4Zuah
zxe8p9ZXOHVL55s6G/ttaTMWQjPwNoCZtD03X+EUJbyjcxb4rWxhEtJN5s71i9tzc/Lcw7ROTzlk
wv02hyH1UOSmCPuOyD13X+FUwqR8agINousenzloj1wmMFK5X4uKrnA69YxUDHaOF+iiunCplOCb
wAfK7XdmyAqqpJ102TfpEM+srGCEhjY8bkbiP+7lIskKq9gkpKunEiJr4opjnTu8cTaft/vtvgJr
D5M2NJ15H3tN3+OcXDlGr/bbeo1UN+flPMN4o8mCc3CPtzORe3KFj4MTT0OeNqaUuJI+zsdMbfqM
39Q2qfc06AqnlXVBp1Xfx4HxJipyeSpJi/Y77GSFU2gLj42bFMytFdO9mfFbwsuT/RS+QqkyYxpA
vJ5j2NZ5GMZ3mYAJZJru53rJCqdDyuEVIdb5GN5LR++YBz8QOrPg/TINsgJq3xYEFfCSS1zW3bKp
J/khM02yn9rxCqSJMq0cTAejp3M3R2XZgOj2Z53X72Qxj2+CPzuNlWCmCUofw8t3+ky5FJ8VQdK8
3cuseAVR4onv4L/WguOYJTDtWo7vpDL7mRSvMLqwWudJZvu44wMNsZpui1Zd7if3CqNsZNNoKOwd
5O6G9fMZZ+5sv61XCK1HePkDxgX9FiVBEAV5cmoWtCc/8DgK8tSaGDcNzHyTYCuQvihneau6udjP
teAVRIMM8vSuBp0UWXVVp/UugRHI/XSyQidrxplOQOBv62U47EZywvh+EfQzU/yEhWtm7mGOF2o7
Uaanqp7iqkv2a7PCu6bPdG0KP2V9D0I35etl6KNcvtlLG2gFyULnXbNYMCLL7Idu0ldqEfv5KbTC
Y98OdppH4ePZ5fhmmT28HdFTt9lP8BUiaZXAmxdG+9gFMEpAKnuoE/1uv71XiLSFcRxe+A1gEBWy
2wCJOwZvAe/nYdEKk3Cw27ZAEJIzIyaYdGYwTK3lsB9w0AqUyg3SMz7ACKG47uqNAhZ7P52sEJml
WcvabPZxr2CYY6SuCeH9t5v9Nl9hcoR+1zxXidvirDkcC+jttzT3e56U/+XsypbkxLXtFxEhJBDw
CplJZVW5BpeHtl8I291GIIlBDEL6+rvy3Jc2p/s4gld3NEkJbe1Ba9jlS7MsRAYKD09V/MKW4UcT
OXNoVSAM92tcAqLmbjjF6Ww0e4nxbJBhjz57F5qhbRLGthBjY8rI45LW7f0YbfzQqoR7SJcAX0Sh
nsVGicF186T9qLg4VGABr/frqmzZElmZIfI38FzagkTgu54oKqDm0NECtOCvPzBYHVW4q5nLOhq+
BXb9jMuHj0e2YpjtwhOMaGI4w7osSx2fxgWAfICVk0N1RJjtwtOINcE8esOLb9vL0pP7bR2PRShQ
yr8uSqsTEiWCTWUq2TsFwOEZPBN6cMV3EbrUBpjLZZ1LAPlfo0AVrRGHipQw28dnHHSuZnoqKY1p
YXVoijBqfx76nHtwlcONwpTqeQKagX+pp+2+SeK3Y4/exedm5kqmNDClC5XNVZ+Ml063x2AY4R5Y
1ce2y1ZghUpcIflT5/unhE2/wxjcNvN/T+nDdBegC4h8oENZU/bA2qh8WkzwEKzEvT+2MrvwtAHD
qQhuVUlX9+eECm6b0u/HHr0LzxmJRwyg3ZeS1++3YbgSrY/twz2Qaq1SyVtoKZR+HcV5tTU9Bar7
cey9d8HZ+KiazCanMgOTV0buSae/Kztvq/pPH3MXmjbAPHgdElMKvcZLbhLevhv5sOW2pYsrjr3/
Lkgh4bB1so9NqRr2VYnoczDID4cevYdLbUA8Kp6AaUTpOt2tkwnzcI2OXdWFe7RUTUXcGEbx4lH4
Wa8BtAuC4dOxN99VuGIbB2mImMqYNpE9e7a4KO9SJeTp2A/s4jQSdZ0uqcKW3ILXRtMPzXisFw+T
XYyChzKiYcajK5e9zqR5rhg/dA0V3mQQ/94YqtRVelydKVmlaRmkdH4Na9scQvqCQfDr02kCruba
YCdWBAwdZ8aSRQfRaWGyC1O9gWa8TcKU3TqQnKzJZbT1selwuMdCzSZalijDkuN4fFgdfVDxdjCG
duGZ2VotLQQiygS6A3ni3UNmoClzaBfukU4ZdgnZqDRl2K8vLBwfDZmPvfcevWQa3E5wG4zlxNPP
TWhelRwPNXEQC/51n1RbpGU9tKbkWJkc6hk2H51Oj52HezTSzNoxaPtsxL2NGAtD5esSZMdK0D0U
iRD0WV1MxrJuQHfKLQYV54UE/ODC7MKzBRncr61D3GROQ9WA8/cQxvAHv+guPMG74hWwdmPpM0OL
cIqekEmP3Z6DBf7rN12CDioOW4/t0mcRkThrnZxEnmarPDTDgdLxr78ALDDJoJCCta+FTYoOw7Oy
qqLx2D0ClGB/fb6Ty5IaXQ1lGkxyhA7NoH8uWWIPNo17wBE48gRU5mAojXDTSdcc2l6TiC+HToI9
4AgiQdDbWslQLorTgnCA2KFsf/B83AOOZgUE3sS6oZyipJ7z0FP5TUI+oT52jt1k3v6elzZInxm7
YW160UKRYtYfNxUey3l7vJGivdVBsmDdu3S4cxOZLlb14u7Yuu9CdmUrc4OyA6iTsf9M+qq+g1D9
IA8uzC5mGc7JmDp81qyrxgkqVCkDB7/qoXxy7P13cYvLONl3w4qVZ5O9GpN+FKM6NpsP95Aj6AJQ
YIzNUCagrDf19Grl/HbsvXfRWlfOMgX9pxIKKV+73kLXDYLDxxZlDzQaMTJPg0UPJTNt+jXBpcLd
IvV6bMvsgUYzCTbnWQwdLk6znAP6kgcuSM6HFibaJVfjAtzRKzw9Xt2Sx+FwL7vfoZiS2+r+Q0Oz
hxmNzQZ4XUr7Elp9dQWtsa7FYZM0myxqndXyTg/Ovi16Ulc2sYCXsxBj/AEUt2R8gdDwZN6yRPM7
iXvJ/q6VHSRhEtVgGF9vY0ps7qN2NB/tSIOlIG7s5LdeiGAsOApLegpjzNrPybBsy0lBNQl8ZNxS
b9dlDNK2pMkmomvVt+AlhwTThD8CIHvdBdzrKTmxZMMzrWpmf6nHTExg24G9fIFA2OZP06pZ93VL
oqh6mSMetN+nMB7HMvU0W0uz4e89DbOPzy1ZoYvRJTSUBXdJvdzVYV9njzztwAsjo6dvNM1svlJu
rkMzGV+SPkuhMabVGp1WE9XxeU0s2NqxEmtU1GrQPerZLHNFahqWQO2wMeGD7ao2uyoWzlHpsdq2
iJlcr94HkA/qVhKdIrJCGwmaJJV/U2HbJ8eqkD3aS2/RwiW0m0oeC4h26ACyXiw7GFq785JFlUMh
qYZScP1XFcm3KmkOvvfurFxxE7MpiveOl6qcMnUP0Y9jw8Fod0rGK5ApISZIJfjDUK4IMgnJsrA/
uCa7ysaQmnGJS7uypi1kAuT4k7fmWNF304j4e2ZtQW+FsiPpy8UtwxPYYM1dz2Z97CjbY7wEb8jS
UT6VtZHRY4T6Fcj/Zf5y6CjbY7yMrtd1Hda+lGm9fDLp6DHM79L52LLvUV5j18ygiWR9mWGonMe0
fRS+PsY0C/cgL4IQjqN06EvXD5U+9cS25TaS5mCXs4d5hV0T+oBhR/Jax9uZTlCfy5MgluPp2OLv
AnXWo60CMUPrLlI/7RDdx8F0jNERsl2kDos16+iSvhQkA45snpJNFSxr6c9j774LV2gLeig40qFU
Y+bTPOlHhjt2KFgew2KEN7GDv0eVHToVkq1GgQBLsnxJbHtumuZggbDHew2JrVpIQPaYRsymAKIM
anKBJeWhxdmDvSwBVTpuuh6sWqXuOVvjOeej4cfw/eEe7QW9pBpAph7HcLck96Jj5Ct6WndsFEx3
5U2y6RHiTqhXMcrarlUEadyEzMmxTU93fQhlCsqBt+zUNrouJjtCy2zW+tiBs4d8hSbcID2W9mXg
OvaXANr8L68XfQz5GdJdxMaUdS0UvIYy5skaQDO6CwtSWRv/5u7wX3h14R74BW4r5GFU2pUeejbm
wyCbtS+qpKPDyU598AGEs6cgyFR7QhUns6LO0IxeRBDH/cGvvwtskII5WVrUn9aNIi0C3dbQgxDd
oI610XuAGISRPHqW28lUzWH1oBsIWpVuhDhzcSz6dvnYk8WAXku7kkEFDILRtrXQu5bRerDA2sPE
+OS16Sh+wC0UsGW/fAZ6/8ehl9+jxNSs3ZwtvisHA023rWY//RwfffFdZNejD6dJJrpEbXtRVN5T
Oh0bAewxYjoISA1BWlBdohVyfEGEqwbr3x9blN24fhbK1CFkpstqMekZEmuQoo2bg6ky3AW1hcRq
1+GLQvZqC77r1rIfJkC6Ofbuu0Q8tVEH7b1Ql6i1nhLI8aqx/o2Wy+0F/6FV3OPE6g33jNz0XTlt
VNyHN5VpOEzaY0nsP6TYvwG6rORNukqmSyZTCHC1aTrei2TpxLEw3QPGomzrGe+ILpO4a4sxS+9k
FLpjeWAPGTNDV0MktenKDFrq0P3UUZHM7fr6v7/pbd/9w8LvcWOZlW61IfK78tGIkp9MdXZWJOyh
rIiurjtWY+0xZKnjFZwUoIVMFjYPuYjn9hZaJOuP5WKyy8U6aKZxzRrszZi+LTN5X4fVsW1PdiEL
JYs5JQbvjulafGoMRvl+CbuDn3cXsh02YyCBCjyHianery4Y3joRH2MzQVfv19JTNV24EDqp2xmc
vg6axeUMqc6Di75LsJAw1qTSncJlOKYS/Zi+BtDSPbgwu6p5cXPnFtcoIAQg4VSAfDh+8QruEQef
v8utEKSpqmE2qvQm+Y7Z0TudiM//O6j++TQjezQZ5OxwWw2GIEirfdVCxnhZ/7JsPCa9AdOtXz9q
g/atE9Vt2Ye0wsBxSq+aQ2nv2MvvMivMGpbNG7x8VQuMnUIK1wa5HctQZA8py7hPXDxh/hZCCNlB
NxZ4hKLtunY9NHwhe0hZulpoFrZClaHg7gQBYPLSg8/3/tji7KLV8QYTLjsGpzqst/6+JSF5onSI
l9+8/X868v8+j+EW/Ou3hbEt3ThfsHXgpKGfxzDslrtGrqO5oBFb6CXOIj6dxlht/WPg0BU8DkkL
QxkasuiycOqvSRS4OM98tUBdwUGT/xleHBst9Di6pvC1qPz3vnLNcukG5NxiidvtB9NR9LAO7Xzv
GrFeWAVtxcxDA0PkRDeR/yBC8Fte5U2n4kPXwDoDyshJ5PFfjS0EAfLzqR1EAJeTJpoaSAVX/frj
2KLvjhngGkd6IySf6ypsn1YILT/ShsKf49jjdwdND2uHHtNRWdKN/AXB6tcsrF+OPXp3xqDXdBBC
t7JkHjhbRaMr7affCWncUts/bJU9JG5ZAl37aZPlOECr42omr+wpc0A9nCw6hPrKM67Eoenaf1xj
/z7DCMcs5tEaQ2t6CPg5klZd/ACl6EPrtAfJCVct6BGh0r72kTgFlf88t/R363TL0/+0TrvSICR1
s0izyJKrpXkDqjp6TkW9fYOpQfCbyea//cTt3/9WYJIqS2o6wKJh2pjkJzGPZmzy1WDYfm0sGG2/
aar/7ZPvjh/AE+oF/lL1GUbwUl6WeIPYdRuoc6N9Sgsguo9NlcgeRFcLzE4qo7BoHQ0AdOOfcRAd
TGDpLqADCI5gENDJMsR13MzsZWbhbw7of/sSu2BOGLCcHhzck6zHZL5maoovfZrh3p/XqyKH0AVk
Ly8c49m8aZIAMh0QEgTXvf4jg3PRsQNpD6SbXDY2jTNtmSTxfAHmOs0rER5rVsgeSLc2GEWyJRRl
E6WwRlidPqVZc6iPI8mueCB8CJVKoE0frs095OnzqOfH1jzZhTEsFtTUz3i099G5ysaLbuih/hCi
tL+Gr4PqWjNlEor6DX1I4uBh5MemeGSPoQOsEIvEm+o0tHa8b6dpLoOYvR06NvcQuipOxOpYgM0e
1tMZBjRR7jIVXY49fRelJJOmiknQlEkzDQ9AvX4ea3dMHJbsMXQ1T+pgpUtTKkfVZcnm7o6M6hgU
FX7mv37QwEHHP9LwSWjadjwNIn0MEjOdD63LHka3tWRcJtZnp1lHzXah1H6E1QLciI49flfdiz6b
R1hBwXliHZ+k6svW9MeS+B5K58S21bpGIaXmpcm7pSOFV/FvTt5/aXr2SLoV6HwPhh+CaIJPDFBj
xcChKHxsUXYR6iHSM63z0IC1pF3R1QOMlyrTZccAaWQv65VpB86FjDMQrXoPQXRVmYd+k80xHiQ0
7n/dkAvvqi4ZIZSurced7StQAL9Zmf/M9v6hvNlj6SLuQcXoalGGLmDrA2k0/JGAknThBygl9WUT
Z57lybjq+MwxXbPFCBeIFXKcA3eXccnIePbQvaffdBLTtaxSuKUcmsCTPQpvC8YQuhvzrV0yc31t
GEkXCNLDseh0bF/sAr1rmpmnoUhOmxEcB5RrF9hOwiqZHes99jg8M8vFr9WwnJdeDGedRvY0ZNGh
STPZw/BQssVsYHBzCm+6XzYewdSOkkP4amg//rrlhmSNpmrGw+F3JnM1RWPeK3oM4wdXnV+fHokF
bPilW860DYeCwaIox0Ti+6Gvugfh9TKFBTmr5vNKBfyNggAEri0ixw7YeFdE18CawjiIzeceyJq8
l6Z+UgmbPx17912kRxY2UiEf53MAS60ikr6Gg2R8cGHor6veGBv2uIidz9CopC+d3uR3TnxyrAza
A/B8LGCTsazTueu4KqBcDUWYqDqmekLiXaiqbGaepfF0bpLNXOJqhr54ALu1Q8u+B+ExS5lXcp7O
zGoBxNX8AfTq7eDDdyl5sSMksxI3nV0S+lwSaYpEHqxV9hC8WC48YCNW3WvItdjZ/SQG3pvHlmUX
poEf9FgptpxrsGdOmRWiwHl87PKe7LFfHjSIqllRWCUD/T5p9qYFPUavJnuRL6ExUu7hc3luiCH5
NtDqXFWA0f3vdfmXNnGv8qVCOI/JnqUXXql4fRGLbvTFcQrPqcgMyIL/+2f+pSbaI8GqlVVR2OKP
gBN5cFppXBfdthxDgpFo1+sOokrmmePpdd01JxilAv7Ruz+PvfouXGWL4wB4RnMetsEVjR7b06Sr
Y4lvjwTLhojMOo7NeZXLetEipTkEjP2xzLdHgjnNOPfGmjP8zGC8OMmPHg56xz7pHgfmhY58j1nP
eUhFUsCaqi0AST0G+yd7IFiXwKM3SavhHOjAFK0fOlj3wJrv0Dfdw8CqKFIGtsHDuZlHUfhYqyKF
TP6xWozt8uoSOoycTZ1e2rbzHzwZtk8t6X6nW/8vobRHgVXM2nABWPkcmxB8lFvBMdDwdzPCf3v6
LrHC4QbjagfTxijA6HwNfvSq+3Bs0XdRKkMaVvDPSC7Q+aoU3IGBTpzFNv1x7PG7OA1Vz3pPTAYT
b90BgNtuXDzyUHXpsVjdI8CGKV1QxQ/ZJZvCvM3ovSIHK7E9+AtCXOPsKB6tI6S/Gx6iOwZIJHvk
F8wgmkokYwZzP0gfSRtGRSRSeyyt7pFfLVFi9q6PTlDhuuvM8EL4MTVBsod9oW5CmaR1BNswCxfa
ADbrzeuhrfJfkC/ICAnDuuhEYRgeltGgwLsWVi8fjz1/V/p2Qzi2aumTS9SHGyTUoym6v1H1fqcn
eOtc/qHTpbsgbQI5RKmtOOyyg+lurmDR+jTBb7KG8eiYVNdaeyvezb76fXP9/45R//Sju/BNHK26
tR3VzUfNdlsRqkbR4Swlok5dRLXBG3bsNexqYAQ+IrdvrTNdcu3VwIW+oLFupc6Vl6u7isoF1TfG
LGB3HezYe5mz1nlrcxQ5w/goeZgO79apsiG/bkGUjDI3XtWwuyUsa2DibOZkQCHUc3y6mw1tX38b
jNBLmEcyafSVeQm555NDQ5/UJzeu1hSwsWy3N0jI2bXJYwmLH8h8u2abujzMloDDvddBGl7ehYPk
kL7XmFnOOgevADbkUEBN+u7jQDUamTZp05960Phns8C17cQB94XRJlZIFusKl/XSu2WD65Ik8KD+
BsNkkiwwEoW7oM3jlNfiS9dEMvuh6wVGPyBy+t7oHGpfrfvjBtK7G7x2W95BNGoqrG2mUJ4SECer
s8eVDT0HtNqmooJle5sVK7cu1id4PsfkIUxXnl2aePEavLCxd3dwCegKWPGu/B1c05v0RBpmWSES
PqIKS3V6SjUEcPNtrPnYAb/Z9qI+zRn6/aTAhGSDvd5sxs7AsJryBLyRFcarUYKyEWcJh0E2vlYP
N1WTorLLszBQ+rTojn4dZw0DQOe35MfSeAfDZdPH8skbmvJPYqRJ8sTmirFHX4l0qU/Kg6MSXTK7
hFBE8DxZ1DswNFJ8r6GB93FX1MRn8ConUDVGNaZJ7+Wd4/Ax/D6muunrol8xDL4mYCBlH8Itge1o
oboITmJ1GtxkINWiOhuAxeIB2oKCTrLACBUOzCiyrzTGII1euexSkUt4i164FHB85ZvVBtMUF0zr
rbJcpweyTPJsDc6oJ97XS/th22jdpdgOPV0uLYunDU7EIqJQiRVOndDXiPRLOrOuf8g2j8ZPxGSB
UaEdZgzz8yyNE4oKap4ZY3AfZax9DWVq+AUCK3J76KgNMdUmM7TVPK6Z57UGd4u4ic9AcnKIrBG1
fKcqAGfGrEk0vCWxDtOTqKa4/Y7eJ4VZOiBT/Xqa4MQ8PcmF1PwD4FmjvrQuAU0o60kf3/s4oPIx
FFb6P5tO9QsYMyboo6cRQSvO3SDgvA1PyXb8LAKdwmjdR7LmcZ7oKBueCJxVw+8RHBFTl1d1puvS
2nWN72HWG/V/tJa7uIDmPQEbvbYszCDtDKfiH9Vsa1nncpTp95jxcfgMdrkXBW6XkLvA8+jdO6D6
phT/cx9EP/rWrP6q6eDcB3gph3DqFoikH22EbX5XS+qf5ozUF0LHtH1ODax3zyRtBvF+lGLzLxYE
DxrgJhq6AenppkTMr5Odu+6nxM2NeGj5yFzZ962qypFmoXlYxiyhRRuxiH5JOY2yP0MrqydQyIN7
XCP5H6C26Ly1cX2qIRAUnLbGp/YeHhKrv4N4EPsDrq5RdhoUmI6viROqe4LrdxNebd8s7hyMot3u
MmcIh2/2JslnwitZvRdjVg/FAH9taCK2BAbjeaY5jPxWP8Xm3UT8TK5s4IP6COOOqn9e4iwRFyJk
n5xgZbvi7LRxasQF+OnQvBuzlf9Q0AToigojQ/ssNmJwlIh+s2ce97OpTwS3VeuDbCFwfKnqZQC9
JkjW+oNIpyy6ajiE83yuAsO/C5G1QwEHXgkfari6VwRGRxHbrpOC8fZptpQEsKHuaAgPbm+HLwzW
xdl6ikkdQs5ww1s0QT2ZvN0C2Ld3N0meHIJ2Xj6NFsS0czwY+5USZzns1eoOupywguDvUC7Vf1UI
YfhZK0F1wbWN+89uhD8jBI60huRZzqT3zdXOYMl+cPCnM1UuxjnZcN77wfY9nImRpuF7nsh1+mGX
lcWfYMFhkBAk1Gqy9wpPuX3IYV7MGW6uuOk8d5bqOAf3s4tLlYWZPK9rzZTL63BO/YPdphpTiw02
VtkdqRxqRDDZhLhOcFkLcm+aJnjjsYQftIj4EpwmsobZKXHet58M8ay9W2dvs3LRfVCdRksr98hg
lvNCwqlt3jA5ou7mWa3m7ALV+Hq+zyQ6mCeHkRgMuGWDfDdXVTwC5x2J7RG2wq0sem/CuYgGkwTg
LZipgm05wQ4K389EapAxOri5vjQbSehdjyvj9qmH0h2MjFcXwUAHuuLwjjVZeA1ZNs3P8TQG3Tfa
bKl65IpN2GOd0Er8yVTqsRM0JNumc1+nzXrBX7a151jLaPrI5Sqq+6luWnYFiZardwts1UOUEQtR
/ARfJlb95SGVDE3zSbRwX+2buga2GQws7BH47bb3op3dcDe0mgEzTIEhJudpgOthvs6uo2/4zfTT
Ggp4qyqIxoOTnlHRR8UI+cW6CHA+VcVWDdtbS/nM7tIMdvV53HUAq+rVpEHhhmWGpZzp7QYCyZqE
BS4UUvGC143jZ9i31s1d0NEIN0ewig2WD1r7vrsHdFd4VEWd334ga0ydhEYqIeHr7aaGkYKJMfHv
PMkiPeEk9q66pi0+PYRmOdzNHi0O5PEZ7heTuZJZZPPdNvMsvmXuTUAToMYyTlM+Z4hyAr262i91
Afd5515Ztqksh2tayi9JpHG+5ZLZ1jyTOUzhbG2mIWpzNa9bfHURI9tThN0v/minDRY0+CNZXz3D
cr6171OJRbz3tDXbqWNLPN8h/wcDjLRnqtez9UliYQ8M/12Pj2nq9bJaGeiPSehm/bJizdb7sQUs
9LldG9EUUSv66Y9tSGj8RdPEpTqHQhjpBqwUU/WfcCUPyQtU66PsWx/Bi/7rqEZJ0V9BEJEVuoUB
+51OZrjNF1KQlPf5GCwOqVBtSB+o9iAZy4N4TU4TRBp6B4xeEnyHqryLCoKk3l79MsoPyYL9fZbE
Kl40m8fMVSdd9DmmwEUUzKVVW6AXjRI4IvbJUlKVxHzN2Ub0+DSIUYByHEK+8zJkrerfMT3YQOUc
DKxvbQ8b30scNtH6HMKTHvq7uGfNPkRpZ8VlVXDKeRmpYH+kE1xeTlNUYRSQNsHMn1w3VMmFmNbS
Z9w/se69ksnkH8K2G3scmBFiA7B4ANXSUkJE1byrtMqGrUijqH5xQL4ExcYbvb6fvB1BiAbvldoC
MoaVLJIsbIZnOWHGlAtdq/HMHHi16gKKWnhOK9Z1J0Mqii/RCBW+i5bh5uTKp1vxkwJaKeoiS9eY
nvQyknDJpd/c5xZu8H2cew3W4ocB5Db2qZ54/2i6BRVXIeo2KMIWqnCuwOm+5onlbP5MF8ge3NXc
Dsj3yUZQpjMQeIc5dywK5muDVyCvS9/NSUFjPp6kE0sHY3mE+peYGLteaCJVCGcSA8mzMGpYemIK
8OB8YqG/ZEhGds5NXLXT0wLoVNYVmutEPcqpcs+puxmgeuPZw5SmkpxTONhsSKMoOU7GRzj2rVqD
+ip5F8MfW1Xh+r4zS1jgjmSkX52q7FpUVkR3KNfgminBoukxac/N1oo7MQ8Q1ojAq0ayZTDHnrMh
72GGxE+zIfSuRj3w2eqEPdSQUtI5z9pxKkRIeQ3N1oHmfR+1/D61tfszAvunfUcROrr07eSzd2NA
zQuxkHhFC8Tmx5qn1KN2CiPzsgYDYLvzlhQcNPJ3uM8BWRvmpQxq5KAhv3MmpR97G9RnSVsOs3u9
zQ+rVNlzbaGgf5LYxkW8LbagomruoijKHhdeu/s63NRXV6/tW8aUKRrCX1Vs9Me4zbosr8kwAXay
KCnHfCNNZqccht7CXRys6twdX2n9iYfbcD+3Ls1O2M680H7x26UzbXzvAF+MPtogTd5qZRlk2enc
JcFdpZPVqrzCzk1Bk3eC/NnMlZs/xjHnLl8bvaWAcoardafmpgdwVW7zkE1JTegGOOuO40TRxzSs
b081X8Pgfg0jsLFBK7Xk3oiwyp6mYJvmywqeP/nkuaK8yFy0zg9LNMT1V1SuejzHMw3o3dAMTfTY
bquC2WvdrSq34WDST2xRA3ke2cKGM2QaXAdJgomLax+smfoSCHgJt0Xsmrg5kakVc77EDUrRbF6S
pjAKNYrNKxYwpnIXu6X5saUxGx/XrV/9d5hSWZRDYk5j7G6F2IqHvAVhqD1DRaeipUlV075uIXr/
c99FTF/mBOfOCR1NnVzHG/zuPCaasmeQatr4AfhZFp7CbIuzawja1PazARhbPy/TnA6kcFm9ivtp
nBjhOQRFUlyP+pYq94rWOKHoggHZ9A/TpCacC6JLbPhu0AjJN4lm1X6RscyuUY8rMjZpm3wJJyaD
rxoXrGiTtz6G4yKG0KLA7kCxlFfLitN9Mst2WnVt0s8cnP75U2pxtv8xTWNG21OcjAHyVdXFwfrG
rW+3Og8oTVg+z5XRRVYxRZ8mn27uZwS6v/rTNGCzndMWtoXvnRJbBsGBuDcv8HiO5XbuVqi7llkT
0P6FI8pwIhJmxhTHk9gSDAtFB1rzXcuIsHdMCkn0KfIGJUCuOOc1ZOB79B+o+NqxcOtwq0Vg4zLb
13Y2prZlJmtpPqkp6NdL3wZzdp2mbInxxXxmzWmkalu/yiwGF4kLmU1fZyvH9TLURAdFJpfwoRnr
ihcjLsLnR9e2UY1PkjQgA06YshdmWEcUpSOHnMynxUdZCoL0WD32NR1LW23p+5FRN6M6iL0fnp1S
KjfwBs1BCqsXBn+xtO0vzqaxK2rYqS5XzyY0aCJbknyabR8M+bzMdnpNQpuInyusTdKzl4SIE7e3
vJrXEzwm7jzX8XcHo7ymzVkfZNU97JgjHhWT8m2AetSRoNw8dnCJjB8m9zMO+/Zb5htxQo6Pquee
TubcBKNfcKcaVMEV9S2bC4I54pQH6TxWBeSV2Ee2zsCfrVbUwzUTt4yB1ZpDqLv2fVMgIw36U4wR
Prm0QnTzaQjixp7XDUQGNH0B+HU+EWHzlLaWoGFunHwCDvz/uPu25UiRbMtfOVbv1AEHvzB2qs0G
iHsodE1JmS+YMqUEB9wBBwecr58V2d2np3K6umfqcazqobKUilCEAnzvdbWHJpdM44rM7bH1AXTc
xKQYycHmY/NFYFiZL7qeh+PYc92UmXBuSSnFjQNQTJF/QexFJbNC4d4pK1PfjKOPAW5FDsl8aLgo
02516CWB+8PfS27C5qYfw6G5MbkdTrbr2uqNmEXUm1bU5glLZ7hRXgjPCH4eJg5u5Sgka5ZofqYI
I/kwhPnoJUf8hsSHGHNG0sxcbUO0Ttu0x3jfpgLE5oRqPLEA3cV9c0j73ixpY7ExYrDp4iWF48UV
SVDiw9u7mjRpB6EMJLrIFyE3baxHwCujt8bqyOeJlq/LPPXreY0WV31CzEdLzopJK4d0DKdOnloB
GQ0i1JYlQ7F5a1EdHd0SVBhmU8uXCr7xHFW9Guc8vw/KEMtrPmA1Shiq745rlXsL5IV9s2Y1KEda
JPkIE9G3XKOa40BqjM5JDm+++GhHgBA4szDzo5pv8cE4ryNubzeeiNvxEeQEMecZtu/m1syojLxE
Fmk8qRCmm28VuKOv0ao9xNwUdCxfyraAt6geu66BbEpFT4rEo0zQ1lomc41KCWzMqM7DvW/qXkqJ
HRGI3LCtB+uCBPeIJZfJCuSOZjVnZdmc3MyxZiaw4wRfMGDrMG2xiE63rivW+d7veo+/znmv7a2d
ZCyPoowLJTfK5rU8TEW5BCXut4R+r2dMk19qV8wYsNe4Q6hw3fbrJ+CsClqhCQu5WpIFZ7nZL9Uw
48om/TMJy3ALSDw4wYuOg0RQJEInemaWf8L1MDebuBxLBKWIQC/nWVhdf54VFtjEGGBsN4FHmP5A
b3xcZ3WbG/LkkVVNF+djK7nkLQqx7gUAKPJj7baXbghD/Z3qIeb7JSgaP40i5AqfcZAVOKyLhZI5
yxlfRJeiUggqyXQNoBV4nBAC4x8ZAm38Ez5YvD5aFkYdGs78Rd/EHeCohHXhjFjorjQfPg1leSFr
riG/yP1a75HP7ZE72MM4a1OU3awzYG7tui1q6mazhaCnUynAY2q/6lkNHnrg1lEcvAZb46vfqB6j
O8N8lwUm7ip47jBnqosFTFKnkJGPg00QORGQk88IxQxNR0/vJejk6etMXDzgVbF83M2FFHNmaNfV
myYMRZ8RFG+MaIM3ypVbDL1NfMojpExBY9ZcW5BQCtVmVSnj5ZiP0B+nkMMXMc1gOPcHxEfnCrQd
GJ+2OLJpCVfcmscu2uM+2YKU7HGEJYCbgjqBL26tsl5p22yjxQb9B5e0bjyMSEE0hqj1RFYDyulV
A9tKDSJgHNJJ4TiMUq8x8Y6RjrjlUAciFM+IxlXj+fqZWzq8cBlVUVoFS9jeUi6b5cXDq4m9pAzG
sLXba2gv5u5JrFN0sddF4ZR7bb3gjIEsEDk6Li+KW6eCATOZsSHzJ+xkWM15CkiZYij3BxXrb9Lh
lg0Jk+PK/zDj5PVbiwxPzIW4zAGbo5SjNcchbq24pWU1FTgRRbW+1yVA1y9VNbf1Nioi7c14d7tQ
o3KWGXkfYarB0UBiHtFth1t7/1F2EZ1FMiIJ211mHlnxFACGkGi5AMw5fo2RWlk/d55tvbu2AK59
P13ncRiznWhIyqce8a1wB3WmOZQK8D4+JFEXbg3HfMc2qIuz/QlGp4LO6QqovMVALw2XPIM4bBSn
uQNgfsYQIdi5tlE0POqmqs2RF+HcHjyL/ukvYF1yP2V6YfAutMqzScPJ7J1bHyE8954drHz1VtSv
pTEGAL1xVglzkcMIPb+iPp+e1gbKrVT4A7BsGTYaSRqm8MZvgg1d/hTOQ5kSjRj3alqP3oqWYoN9
qS2bw9wVoUswZlQAK/gy2r1rdRzuDcDEedfUbPWfAZ5QepQ1CI+08xV4zg1sk74R1zN8xQp/BQ68
bW8IsWnIVOUluOZuWDe4CJQKRQrA1g+gIO230gsAazMNJNslDZqkROL6paOZKTmN9uNi43XfRYvn
ayRXkdnGgC4KVEK1Ng6qMw3MMDzTAeHRH7yIrDr7gAD5tqGljR/nGQh01hSiKmDCgu7mTmrdsFNe
NLp+nAXemJMjoh6OvkVzyM2En5WguNmt9K6yXBXHpTJx/QnzrMyn1LfMyT6rWqGAzkWIopJ+anEx
d16KiAPmugx0Bxfxtobq6ZrUyj8jqM0fgjSOkfOnNgqI92APXM0Gb+zIq87cLQZvGqghfBLQ3Ux4
7B5DvO3wkMS0rNdPAInzZTvhSt7G68rP2BWYdyJeHoPZYj5CusiVrRBk51eMdbu64j09r00Lg2lA
XDt+nqWN4c2vLRIStiP6eF2ZBDOjHFQOgbbE7wcxpQz72/BFTZEgdy3c5QPZXhMtA6xuC0WHtTBr
PFVprOa5zpwy1+KscWAXavJIHyIYFud9rzsbZsXkOn0mA+I4gAT5oJVaZ7jdSmCVQeINQeBtQcWM
MmtEEWO67vqh4wkLlQzfFo6y7FO+FtXyAOd5NAJiLHOzvoeahsXXrm795uCHcHQdfIBb/Q3M0WZ8
apC8W35qNY2WcxB5g/vuelp1Z+cKbwCOsRCRYoIBOA4YzQJClsMATVM/RjfWV8Ocjg79iAeDH6HK
7EpInUICzEANRtFVRTiJbQwB56WZUID6yZ/rYrgx4xroI0e7F+YCvMIcku54dCjAHnhUfQWa4YVZ
RYXXDcikxCCWDhqfdrUB9l4DHMCN9LrNzNd5JPbMFKbO8wKDi0X0Bqrwjl7fwbjDVl4kvqHx7cCn
xoOrWnL5bq/n4zu3cInDMkuLQ9/GGEV83O+ax9AYMuLaK6jqx6QTA8yj2KTRh8NLX/pZSKgHFUFY
9PmFlHyct7iNIvJtarScPsZq6ZZzu3JFXzAMsGhJqr6yR+f4urwIrrrpFqd2Ee4HjCuJQqZHn6Dz
pLhigt0y4cwFT3OH4Tjmx6GEoPoCPFjB14uU9xUbfF9jOafo54vo+AZ/Xi8S+CfIvFlYVwOcMH35
ADY4KLJpQvfsQwUBF85FVAkgoi6eRB4/886PIajVPmD7aadz07djImFripJWgC4NU1B8xn5gXy6A
UWEv9cc3LGWr9BI2gjCuEoq77AiopGkhak+Qxd3NxXaBCw4dKHqJWPkZRlJnTWJndHX0O4WVQ1bp
3CMmeT5iH15okJmwBGOd/TlhwE8aFeYirVo9NBs/fq2iJzb9OSXvz+kltAknYMN43FA+CKw+kv5J
vf7P2SUtouHiXHK+xWHlY2ONJ/9mwD3z3/Vw/0E6jv9zyRX2bjJC/oLx28NV0JetHE9q9loErg2m
w3ZLpgoZ5Dzuyd0yACdK0R3q+WnrLVg9/vWv5SoC/SfShp+DTgrgwYv0DN+2qE5sMvTbLzdQKvUp
piZwHQD+xb+xNf+BciP4yb5h+sENURiyLdzHPX8cXZvbrCswbcKqioUs9eE1bzAbLk7/G0vmHyi6
fo5CqSBGwT2d0C0TKAAYkXGx6QFs/ZsX9EeP/pPUpUN92MDLmIKmVl9rEzzPosv/nErv5ywUDMu9
6oqcbh06BpLSuIO0TfgnH/wnOcsYBKNuLaNbAF4bsDYyyQPAHP/6A/VH78pP13m+THKksWTbwvcG
nKxTjvUbZ/CfevSfg1BI3YWQIuB9wcKGINAxRqXd2j7+6wf/g0/ozzkozARq7pYKH5eSx+R90FLN
qc8cQYmJIKpLOgvp5x6OCtr9qS4w+AB/L+YvRTFzBETQLboX6UvUm+FSBQBp/vUL+nFt/ZOr++dE
FF65kE2uiLZKxCXgrli7GUgu/vlwwcieI8y/+D86CjTbya56qlb5FOCTRvf5IG2JjaEoN6iCe1+m
ED2xycgxGP31p/vPb8v/KD7au7/+HMNf/gt//tZ2zsiiHH/641+eWoV//+v6Pf/9d37/HX/ZfbSX
N/Ux/PyXfvc9eNy/PW/2Nr797g8bTMeju7cfxj18DLYZfzw+fsLr3/y//eJ/fPx4lCfXffz2y9u7
kjrD6mHkt/GXv33p8P7bL4TFfvi//Yquz/C3L19fwm+/3FldvX39J9/y8TaMv/3C2a9xGIONJCFk
CCy6/t7mjx9fCX8VQMRjIVjEI5Tx4bLTaFgsf/slJL/SIOA85oIGFPv6L/8xtPb6FRL/SiMS+PhG
ygHa+uSXv7/23/12/vHb+g9t1V0r9Tj89kv8w9n8j08Tj2COZciGIzGJKP79OY64KAqEKWkEhlkY
RfYmqO2blqxLChHmd2HjDSfMES5rvKg96QnQOVW6OAD7q05wqQUIm6DiWWhH32OD3aePuLflAfJp
CZSrJ6/W5WaNPAZOi+bHCIlqGNPXN2ajuxYIZGiJS9iiTp7X4OiIBb/CbuhKieXlSvOl0yqfSRu9
5xGmxImqYz3gMCWqAYoW+vWy7TvLUyxHciMrHnxqqPQE5rayOYZrpG+62q23OuDqm8VEnjLB2Fcn
SbnH8823Xey8LYm8ok86FhXPBPG+qfGmLo3AZ2QmzusvFPxQVqx41lyFhUrgIezeJz+cDhHUei9g
weeDh87ljIPQyXqt7jtZt8hHL8djFTh1mI1Ybq0nBGRsdAmTYYCaMqnbxd6VzbLsPbB1p7aY7YNT
A12wZIKtKJGX8Amhs0kBfPIRMoPiMpTRnJAcgaie4nck0tOnqzToA4Hd5lWCf7hXvg//ky/iOylA
4AH3h8ON5fJxqhQ5xMQ9V4AF7lC8EjyGdU8PFu/1aVS5PE+l0M9Y4PwduP4wgfgD8HBRp6bvq7e5
7+SlLEWJpgYZgP1oZz49RnGlLrwrkeObY2mBvSgdLOtfmXR56kWu+8bW/LsDc7ZmPF5eStLt65Ie
rSX1RkLpcD9dOUwpqvqu4nP8GrGlO4MAi06hMuHBYoZ5j7CXAVMxQCdAQVFQzaF30Ss2hcRHovQ3
ABj9rhOFOgxL6ZK6NPNRQbZ0mRvd73kTqRTaAcg9tEduEDr6AR9oQF7DCs/sozbucfBUe2zoMGSA
6jhNkJbTbdbCFUWqvE6vCX4J6q5gbX2JyxU1QQBOPpEV+fS6sSYtAA68BMPqLo2LcyimJv/sSD9l
OPORwQ8eMMOeA54lQNr3jZotuJiy7Ya9X+ZhZjVUQo3Hvts5EhfwauOmJ1ed2NgvadmS5YDC7ebC
Yv6piLDSxzXyA5BTILbQEfCnuPYwyjaqeWNIyQblLUOZUublSV4XwaYybEj61bkt8GMw7M62qef8
PmMoONtEq7TIZMNmqhjElaS3fNdUvjqold/qxewQid0lXKzdTS7yKKOVSOmIc9ot3W4tpgSAfWKq
HESS0+lM2q+0dLsgauSpAOyN89Wv7zvQ+luIew3QCpJEQR1tWWDYjuRSnwTxxecaI+IEJlZP94Hs
5wemu88RU1815Kl0Hc6D5t+qSbO7FUEQ+84z0RZHe46bz/URlQGRihMQXMD6MA/RgwikS1Rjxqzv
c/dYxHJMIM8FFg/HS7pI9Y7o9YuR67JhI9FpALPWQ8s6C2B9BkAR1OvO1My/5W01pi2UZie/gjap
HcJogx2Wf4yizresZeENYEJcTD4PNtgs4seQE7yrKKTHzQNsxTBNfdrSdt3icwxSL3CzBgHaLS+F
ysUh5BVs2zW2e+Lz9rhwT8KDNqEPra3cAdoEbBFIRISaby1WhAvm650oVrot0DYG1rXgicvdkhUG
v21X0zKlKxjtAJm9uzqGutnLeZt0zkY7YimENhELv3ZVUPb42607j8YPIDsdl6MP1PzFaW9Np7bu
zmM8T0e/X/RRN7PYgwTWX2eqx9MMK1gq4tp/wEXeAfMveQ4ap2cSCMQcfmKyha5wdA1EUPBETUkO
ff5lKHDj25RShNtqqqAny1nxjr7xT+Hcw3Lj5M5rkKyHN2LfRBD64cCgr5P27u0wX5zEK4eipZyk
Ts3kQLKscEW9gkhYN6oRVVq5cdxCHAPpo2mg7ULIDN2EphwwHllc/yNUmgNUGbtRU/9u4A2kM7ZJ
yiJOPZ1PkOfws62oTW0ImUgdRqdqhbgWxOSjXqflRFuc3VBVocCg9JiEhGR+r0VY7+e2CLI8n25K
qPmrEHtPXXnLFiJJqAwGRFiO7bzuQotCkZDiDk4D4JRLHvYbq9bpIy7Ge4hLPoH4G+NkwgPAAdO5
1w7JTyYpcgXJ2MRy8JHoJ0v90c8GONh3wOhAHkGN90U2MX3wWTOd8OhpI6Z9PhWfxxp3/UY+hSG/
EAVVhgfESAGp3Qyj5yegVrwUTpXybDy/Oi5tHR04FKIp/CzQEKk4/DyE1ZwBsq4POCX2esw7SBuu
VXq9zWkaTOiM+ZG4+rqsvECshhtvuXLdqfX4+KHiyAN0slyPQSfxS1V6O1AGVeA6xA8Dk0ECYGQD
MPDVEpAzlTrZuVovgSpuWlMSHLMN1JyQzyCrqpetD0ErbqpL4B+9HmG86Jg7hwvk0guZElKOkE1V
4a5tqp0JAj8Z+yrsQDKoOgNzAoxsThbQOGcSiQJW6eojQBILFgL0o69QJBDzGBZzf+7EB1/C+bvk
Lr/0Sy2SOafkREeDrNtphiE9a9t5fFtxDH1Uqy+ybvGbu6AuuylxbOlxvAGefrpmkz/VSABDb6xD
98W1baC/d5M/Zq6DwtVDklOGFDlDE4lSj2fcekCGdPmyG3oNoyhx884nOshW0aASfjZV6pB59uhB
6HtQ0P4opH27vMzCcnhCMhcO6V7cCg/tpokS3jNkDmvatRhRoGv5aCAAfeogHUq9gbOtjRqc3mGo
4nvg2c8Ln+5aPSk4g8vLKM2WWQHqPLSvwWg+GWQsJ6Guw/uAxu1WY9PY4tiLbzTanuXG+Q1/rejQ
JC3GioLW36oy2oVtsV8HeQKsvZ/H2WbzHOkiWyNVKFxZrdoUWB+bodq0EG5vA7/ft9TeOc9/qP3y
Gw60Z+SCvw802vXLTC9dUfTbIojilFUQWVO3Bjh3MYXl5YZqxrOKrdAyDJEPXhb2mtBF/QWhYsDU
EXSXzQsfMsSL2wtUS8hG76AWA6ZbdUA6/fAJt19xdisIigQkTrTBCK8PAXj2MCovflvLE+Q1Xian
Odz36+DfY4pzj5BRr9tomuldAPaAqgo6Jwyw186Ek8UvOu0be8OqoT16JUSyA6VNQgcyZH4Xxsec
yDFDmviyD9HpmLbGe6scQylN3zRgNh2O6LxnG8TSG0QMsiVr15KehzkP7jB+90fBJ4h5wJkf+7w6
KW/pP9tq4c8TZN8wTcgyTGp3JZbGUTxAFtLdxnkQ7MDtvIlG4+eNTbeZcfokC2eH3pMuHfrxtWfm
rZ9aJGES6EWd6ndsrKtj7gfeC5VKvGrgWBvZl94nKPkyxboCzSJOWqj8J+9j8XKFPuaA3UPCWaRL
pcH3xcoMR9bXzX7s+z1WC7YHM8rwpqKBOy+87o4LHFJF22ThqO1LB0oRjIEwn1vZBllN+6sHgfUe
bjwhKKC5HrYAbw0+OzJPS6eu6orY2zKOoOmVRnQHMUj+Sbuyv/cLIrK+7POH0HThhUkoLzCDzQ8t
afSLKSASRwd9lCCY2j0QJF5CkDU2760K+K6HqOI7CIt8tyD0PhU9JmjE8UVnEkRrk6yeVm8SqrYz
nVbwvQFcQqfWd/KxKDDlQazWy+fBb3BkNAjUIzYvLgFop10RKv8SQDaaWYisE1YOwyFfVbD3uS6+
gIwKkpxwks3erN4jaCgvnujoswMFkUDPwkA62OFzPPTFQw1P1iP0qeQ4I/YWR14gJ7z10H912AQ2
uGKqFAIkHK66vEfE73Y1tMTABv7Jlnm092B7QmXplKds7vUlGsbhpJA2sVnz/GPWM1oeQWCzrW4c
RrclzLf1ysTnYDHQ/WkVPswrGzbLGPSnYqgY5k9G9w5E2xesrEgeUUX80Y05fBhYAA+lE+0tK6S8
QMos9zQaMZBHuj+2Yezj1Iji7aJ7EaRE3tXerDe2uOoaZRwcQblBNUziCiy6uVV+CcRioUOCIm11
FGsN1UNH4gNUY+EZ5ET9HS+0R5BUx081LyMDoXCbJ3PjvtN8/TaqGppaxL6m3SwKcOhIWsOzyCSa
Ctw/G52f8rK4THWNyTGIb0jnatih6JQONZUv0qtcNq/N5xY2CAgDKn7TWejD6VptERTsUuiB5tN1
yS+TUX/0qISiQsWndozdJjcl/BKur57LknjIboHwICtxzWXNxK7x+6XOrDXBOcIIBmMI0Z+g6IRW
p/Wn5wJ0bOL1/mPlinwb5VvwbDvIwetjrqb7amYZL2bcXKByTCDS94rAXVy+9mDQyJKEbrmtouEr
Pp4gRxZVQVY6rRl1BpmTEAdh52bRzqxBCOLtKmemIT6oYKnglKrYrUXe4Fr6lwL3T6QIE/86G8ht
23veZuo8+Lcil+9FpZqsjqS5n7oGYsFy6PfTEK8bj1Zqj5OiOgbwGSQ9yPxbu7poN6wcni1a3Ew8
9As8l18cJRQBqOuFMysr64qg76fNhxzBQ+SFEAxPEVxafVMlU9M28Ed1Xp1i8N2X7RnxIjOUjdN8
VrgVQkbpLdMj/EL6s8oJLp4QuqdvJterh9w1lE0kftkvfupP1b0ygfewRFSN6mCiK304wpSEMZNO
l1bV+lKNVfAFJ6C5dF6DNbc0+MGrGkzQKoOlSAMvfrXhmj+TwEabfsLekozSYT9VGsJObepgx1Q8
7nhXsAejl/roRmYP1LX0IVxQp2onYr4xU8V+xkorP7cIjPq2QIyfDF2HixHCkz3eGogyYNs9jPgh
9zGZISNlUZ3KFu4UPED0il16fp6sVI9jP0eXGlq/XYkg6BXkq7kN8Tu9J4rgh1nF+FyQ+aNrKrLB
JiSPJawbty7Af9klj1MA+xNwA4oC7EF7wS1O22CjognkYV6qxDnv7FVQq9ZNVECnD7F1HPTwIDVB
XCUEclGM6eiCufhdzB95s3ibWEHODZBE3fjK3xCzChAEFHesCR4E5lASGJsQYQdj+wQpwRuIxpvV
gQCrZvle11F14L25gashBLe+gJ4Ll5cBy4/ANczDwN3Y2H1pe+0dJUR0fzXX/g1Z/B1m9t9o5f/n
iGYQAZr+z7/Dhv8HoPk/h+FN/Q7P/PENf4UzY/arHwAuFH4YMcbja1raX+FMEf/KaYy/yqLIj8iP
r/wNziT815hxijJ7hm+GPAcY6N/xzOjXgMQ0FgwyGRryIPh/wTPZDzLlH3imiGLfj/FMaFmHVgbP
9RMz1ZYgUEvI+fd5ucIS5S9eGWxskIcVmrgswqREuzZ3AmbyEmqHUOh0KtzIod6rQHyXI5+gT4c0
xWRrOwZbLfyVJqGitt2jQSyXu9ZFHtw2ZtqQIIiu0Dtk0J7m8hhRmDKTwoomjeJJHpiGdJjq4S4C
wHoPtz27YFqEgpx4+ryQWB6GIl9uLIkeRdQNKd5Bt/O7wGDfIOMNasu2YOOzKkLgP2XhkSuVov3M
ZquBdxKXjU7ICJYKRvt2y129ZlFtySYEGZy2fXyDOSu4TN5Q7OBA/KIDKaEiwWpRQf+Trv4Qb1sa
vncxoekM35hWNewZnYTmaKBrgluBO1RdO96vcTwfa+mX73HPprRxwXDUwfiGSjWBAcY3W2BmV/QW
zykk+8jhNboAwXpfIU7b+otrsKd5F9bzpK3Wr3FfHrwizIA7vix9eEI63jniVTY6e1RRsJOlr0uo
o7xvUSvmbb6E701z7Z5sUZnJ3N42rsVEGD4VcTnB1VytG1ojkFEVcML1QfUCP8WCKZq/sso/VybA
TR3n3ADntLRLv4mLHk5h602n4KpQJ31wVKp1Oyej3YIlPwHdcFebDpYVOJXUJioUgV8i+urglcmU
Yf79GjJy6ywlaQMV1hc1EOUSWA2LbyRnMOdVCx7Bht5OB3P0zRjr7RqLZU2pgp/ChbnvJh6hdoX/
o08gYllPdafmsynrWz/o5PfIzC1s3rACBIWHhXvAMkFlM7530Lqiysh7ABl6rC2GqaAIYFhfPRNC
uzrne9eIOzgm42xm64Mo23vo6HYemKm7Vcn5QCfgc7If4T/y65zcxVPbZ5K6bw1Co7fCa76o0E43
WBkPHmlWzMZopH/gHCJwjADVafGhNu+Z2KJ8at7oq9oPFRLuNNb8FnJh+jBi0AzOnGNzhxhaB32m
Ed0ABxTUdHaLDHUrIeabC2/D44b1STXhxWZNh2qOpGI2nlOGM6wBPJkrf1dL2D1Sz6vIgxEibpIq
RP1PBhWcrrMGGi8Im2DDQnSID/3EZuBQCCNPtJQs5RgfeJbD8oI8nQoukwQttSWs6IWZirMXSTXu
cap2Y1qSeoAWDANM9+LVFZyNuJ7FCGEvuuCbBPVpIiWT0NMFir7R7dH1ZxxO47KZt2KhTZAU2hjx
iOoY2h5q2ngtRIxyjfG8FQAHf4CkMi2IVzGcoPkPFVUsig0sC61KiwkS/10JWRYMNLSfsQASX5bb
XHlieG/JVKq0DdCki3nItWWikdz8xUda9oueccXEY5XfYakRLoNLEEZH5pay3WPuaXxoRTylsT8v
FtsfpiaawX2EN4vXkM9OADTxY3yqK/869ghcCnKFX7zS6nEA5vkB1S8SMWQ5z9AOVjKo71hbqWq7
2kiLjRqnobiUtcZvH2B/uSumhYwbktemAdEKcXUGTVNX7ZQteXBgvRmbb73xrNzGHONrSqBtBtQ2
BeubjuEo6RdbPsR69VGNyPCEtquzMVATXmiHco8DGp8AnfQTxOPtemRwUnwBdVXe6Dga32aQ4PDS
ofn9xkL9oBNkHVUHtbD1TVB4g8oBXgk2PFUjf4Kl8lXoaskG3bvPgs79FikLzX1YgVSysgDdrfX4
GHHebqdpEJ/hTjBlEo7R+iXw13dok/PM+FY/wzqcdbHOgCtMwKLhvmF4XAPhjh9Q5ChAga4AtaKq
BLxBjncU5euw+BbQhSSN8PpbZ5pg45ULeqwKWLJI1vLazBsC+R+2ibV8nmCUh2gFdt/HCmBO+ACv
8JRvG85FttiBnQai4TFxZvSXB9pIqBCbqIceyW/q8rHhQfnusQb63FkqwE/CRPIJtSzj9KVo19Ec
V2QLrFsArANL+gJ6O1m7fT0vX5eyyqF1x2c5SETB4pQU3YodfKhSswzT3Tg6eRt5ukincFluRGjv
HWSih7xk1b0AxLeFlUJ/8lafn1EKtXy+ejTvOzSEIEcbwTxPSDd39w4+mOZuitv2q4bjGT2r63zI
JwV59wy/6RvIq+DeG2KTcDLGt8uo4A4cg0p8xZJvXxpZIw7WaCpBMAJsrdN8DMV30ayA9Zydv+fl
NNtU/i/qznQ3buzs1reSG2CD3JvcJP8Wa67SUJIsy/5DSJa1Oc/z1X9PdTontjtJnwAHOPiAoNEd
W5ZVxdrDetd6ll+62VNr1DgJXYMEJqPaKNq4BCeyj9hTXAoTg1tOylH7oSwt9RnFI9nFlI66W+y3
KjtbRT2xKkAOMAq/eSp1XdEQRrr6u3C98mNwjfFlrEVfrWtSe2vl5Ax6rKRLCddOS32HEUjeaJI1
+U0G9eTJSGSdn4uKDMUeKICtIIAbQ7Lxzch7cUsNkiJp/WmXVGEpjorByXuJ9e6iUuE9mWWRnekv
xDTfdKH7CQiU83Xp2UHimVUVhMGsX9RgmBfBTZP01ZxNeBvlsPaEq/bh6MuNpR3rFGnRHQZbpExg
bF2snX4k5u5iYU63XtMwMVnIn2Kd95f20xRZxm1YEPldTbqt+5XS2cKx3IgxMC06L0jfDTUB8sYk
ttibywxjhTv4EcMePQeLlK1zaZIhe8lbzUNXan29ZwwDgzABcD05csuSy8EL+y48YLMzmr1pm+x/
tfZUcSHCacx3tJhH4mJAjJhXEzOaYWsQAfXIT7r4WquIHx3lMdMELox0lKvYs9KRgkrf0ee4MNQc
DMU4XCwmUPpoV4tjnsckWTA7+kblBVVbPvglOV+uMMbcP4R17FTPBDmCKUeNSDKM98KX5qZI+ciT
h/cZP6nhJnUtbzd2tf8UTrm64L0dGSCGrPsIxOSs7UXufceb1hVNB3v2s/wOvmG+99zW2w12xB1q
HlDDDLKS5za0qbksqNA9xbLlXaiyuhp5IIaGjB1sE1IU1Kb0XNXbeYypsAkfTD7wQdPG4aZTJhe3
rBpePAuLd57E+lOC0BekmKzNlVkp/WQ7OtJE09kdFqOcDsvs1dW5KYnz7KRNJnavJlwsKEGdI4MQ
fbe7FyIz77zWlTeZEclP9thN9S6LjTGELJKyLOeduvbkJkl+MMjlMr4eYt5m3Jh64899/zgxXKgO
1uylx0gs+p1tjsUybEZnWpGQknpP3324sbh/vFYW6slsI7QvdnlfuxYyeYxFntwwmbBicc5lU3nY
pZ1TvThyU4juSas4RdVByhkNZ3llw0getSuy96qvhl2d1lZN2MJID4jcIfAEeDzvsBg4gpUOtKHM
HPfZkLNBVVPkUhIWN4m1MZn8bWvpmj0GdTaC3ZWMEN44UefTdj8SqB6nabmDCtAA4p3Lb7jHv3W1
wSims+LcDwDmOqQEZMYow8pyOl5/uJz9cT/90cPxsznrzzeeqxvwh64COfWFWZaYYu0yw0QLsqVh
dmckT//9t/FsiRyEAuOKX3GfwwKNLCSefID2eZ1kak0z1lzbf4UTvbI3f77AXd9fC5EBE6XDfe7n
H8fyDdF5PgUsCzTa1+S6w6tu4UagyTVEwWSk8fdswLu1QksU3l+8mOJn7+T11cR3w3yMER/2G/Xr
jxmDbzGqRnYHu4mrbXQ9CAgvV1v7ejgYxja7eLWsSTbZ85d0LpnAcpoYTP8JVfTJ/v2YgbiXXQ8e
BViM3TLdTy5MHiWJCxxNMi2/x2BdBlVjnN215C7TVeku4aoitdcg0v8FNPHPPxA3YdPlyk5UQag/
MYkZaLjgb6rDgpWc7qIUPXw1lPFobno1+OzxOvPkX9go//xNpakAWGKt8Lj5/+pVa8JQoxf5Ld9U
L2fpSs7S3RfU1yNTtvr1Pz+Z1yv9z08M38yilQltwWV1Ej8/MdqXosi8vDuMmKbBCYr3KTW2uTl1
f/FT/fmTJnksHQeGESKH/BU0LPLWglMeF4e4z0V3Z1sVI2RdWE7/Fx7X3526v/xI9P5wi+SYKBDf
rx+SHz7TOiXO5CxOhtxnqVPUc6QI+ynSZ9QP2a9x5QusKPjr0ZWjsb1Lx17a957lBGxE0TsQEk5/
lTWAUGmwDuyn38+Hze9nxf/84v/pNbEswaPlI+zwsji/sjk1EdGuKb34kEaR6R4qr+/up3LisvRf
fx/Jx95x/KuShKHu51cEjZzhh+6jQ4GE268bV4BI1SEdtr9/n//Xct9N/K0p2/Kj+9XB+JPp8X+R
zdEyeR9RzH54V/4kDK5f89fib6/F+9/Wcf+jQPjPL/7D8yh+8y1MihZxNWU68E7+IRK65m+eixGS
VfZXz6Mwf+NXXIEFzxMUB/v8Xf4hEpq/SSWl7zsMOyzsivZ/IxL61wXhn58u/k6eB90K7VBZNk+t
yTf68dNVNQYKeWHZGyuJP3pX3boNA0TlPyVhla5MNv1sdjmSGOFTrMWlWtQXt9G73v8K0SfDZKOZ
FS3PgJ53VexsLYYhyXlJmmM3ck7EZKKvxpDRfK6F3KWd3nLM3CULx9kqKKNwY2fVyWoQOsAVM1pN
6uKcJc2e6QbkDnlRjXOL3rcba/tih9YtWTQQG2+TjrbkoDdeVj+S1XlcJsCBSoKuQytiipl1b0v2
OOt6k+TLzpmuDJ3xxq28Q6/zMxmW28KenitpB1VX3LPzYb+Zd1muVgl2KbCIT5zYUcZC+6lVet+M
yV1OZAq2gI/5zmn2C/QQ9v3s0ml3Lwm8BrEzfO0a/8n0GnIgvGTaxAgQXofL6YYV+ZvRSSwOOd3w
2eaHJ+9fnHrQhf/Fm8jGhkbLcya8XxYEkl2ijUxG91ldr3WhVrmbn/Fz3DnzfOc2+NWjiGDs4m6M
3gmY2f+Va/1nZzlPkc8Wh6CtHIWNVv5KzIfn5pU+6VduhJyTq/js9Q2xHOQgnErOBm7jnR2mane1
biX18jwUMYNKyzEOuZLxyl19n2XXbEG6qACFIMY2yyQ9LJfzlDV7YD8pdlVtAFHiLoMFIUBfztc7
VB+yhQ15N49w9ChxPU2Z4ggb4vP25amemmSFN4vtvRXf5jGcOaAul96E5YgVKuCz91nW4hS63NqT
/lQwKj+WXGf/Xmn1Xy2k/3er5L/9Xdfv9eNM5o/vfV2X/n+5wRl6XC3S/3548qkjnvW3++b1/Xsb
/bhG/vGVf18gPfs3nlphAnpSyvfFNen0hync/Y0tnH3ft4X0hHcdcPzDFG7+Zl/N4JzCJWs1m+A/
F0is5Exd+Erft0mcUxryj/HOH5+lv4+0/rUr/Ncnm+GJw/JsXt3lLj2DvxyouqLzVdM7w476QNKp
fTPfFSVWtQBmafOGGJCeRtOvq7/4RGGG//kox/bj27bi1MiJh9UZBNzPK3PfXi+SzjDsiK2H27iR
TvXK7HA2VzEEHPA1FbYrMDhj/5KRgV82k11WaeChjPW42EaYg2ZGBj5oYVZ8CesQ++cMOADr6ay7
wGtkHZgkiyNWzLDt96OwCq5tvQVNzho7PpZV6c1vmBOR+8C+7gRXhS+5nU+vcyn859xM8mhjimG4
IEC41TrtFHp6lKHzEBiqkmCwRP9S2G4MSstBcMnzkx2XMbF7uCWLwtBXvCU1NjwgFIyYrHLdhuW3
AQmHKuAxufh96n72F1WzjhrJuckr61qAYsMMMLQKPxkI+AkGZaM8zJ6YgiKcv7vASHdmLrfhkIhD
J6YECSS696Le3Q4Tek0BmTYwrOI5BrIVkIvBjzyKx8EzXEwQAuM5SFInwXyX5SUtC76074pqZMAK
cE4woV9jT+cLm9q5dkziKevMAtoBFrVm4q5uZMVK+/bJdNo1YjdDMNmQdcy2ZEYZF4RLvKol+X2A
fQGzpYzfVKIWhe14N5JMP5t91R2WsEEMyFqmBGWfr0smKyDAyBT0mmRyN8buBuulXLcTFIPO0f1B
EFneMkNxDsQcMEkMgghU0/d4l9p4J3GsBkB3FjIKhdinYdJvw0rnxyhnVfYxQ8LMwoC6jA1mBmED
GW4BQhyKwrDfr2fnPdFV1DBDGbfQNLCHcfZ/mJesTddQsuy1xj0GLHIKQSMliSmBJXkQyta2x+1y
TW4+AjQn7fZ1dlUKnm6RvO9xtLhfdG97N+4cW2/FIPL3zp0TN/AI9kpsjQQBdJmemVyiB4FmjW8T
4deHbsZwQ8/JMZdVdYwol/icY07ltU6aChDsAhx/0zhjvAStj1kVM0ipgMRhXb/PsyHD3Bw6lqbA
LS3WOAEcrD8QR4PJktk5a+FHTxZe8l1qRIwyHKOp14AXzXWtikVsHMPqTFA0yrsxiZKOq7aeh4sw
uhmcQTTro0YeJjBrkiUHyATZMRTpclu7EgZETSzqAWqPyV4GkSRQNQcScNsClAPtrvBfPb23/cx+
KhsEzZWnPLxpjtcnOQYWGxXPUlV2B19meGZ650Qrz3cBN6lJ4EkyGCBtUPF1fZzHzvrOXoaFTebW
cwqrsN91kFc+CjWGwOChCzUAnmrSOqtldoyHK/1oq/yaCRwltilAAYHLoKhNhmoyS6KnXsQFyk9t
nJrKtLYgQysZODp2H/rFKbBUEtrYZotxF9rzu9LpW5tHZ2tIdhVnk20/X/PTg8j2Q+TLO2WTeant
/nxte1xRop2e/S4G1mJBhBYmlrF8Mbp9UtW3hVrae9gZ71FqIW5DVUbbzvTeTNzqpnDddAvHx2fs
m1dbnbvxfRQaHfPL1jv1C2DlbpzKN84WcCtpLL0154RERz6H4zls0+kjJ+Jvr0i6xyeftoaIB9gT
jJILVMhVMzvWm4v54piJPjv5rns3uTkoGQcAjlxTYduq7zAKr5Y3l3l44BVGzufSeOkwHRNEagMs
I84noBeMsIuhv/gSv+cqikNvTTZ5OMJQ+17JmvWjLW17GzVVuPbF7II2sAOHkh3y5BO4tzHX8QGy
Rn5vmPj/cCfRgWvCPX8g2pHKp8FYGtAcc9odgH0O3zoj72/b8Qo1jkpikBMpMqi5QxTMXQm7NZET
RD8nJLxuDPrNG5J2bRSOt5fexA/muCblDyOvxiTEJw/QxMnhfcTgOfInTDzAekxvh9CGZa1DJtGC
2VzuHLsswg8mVAQTxvlgd4pvi9KvdllT62SleFLaQyJTOJxhnepNsyzmvIpBRjI6muvmPTbmBDQV
5YJnVxWYnkSYUH0TNUYyrbAi6ZspGh7iWaefu7iB2+JK77sZWT1Da0mVs88HZufUAzbwqlKJvRmG
wbulFix/dnmfgmGyGibDYfGOE9O+b6c6fAOuZdmPLfSlPrjqa9267EBqXtlpTbKuOB2UK8PSzSat
muWGsLkMkt58qyLMu07eLrtMWMMJthdVXcWLMfVX+wTJZqhIbSoZuAOFYpif9229sisPaLyo4+5p
TIUdkVFN7Fu3dcdpMyvYPNkw1vezV1xCSagdF1SzbqvcuM86ojwTBc38oWEQ029ptk28tgg5rgXt
hTSlHPBtJpvRs5sTVPfAcBp4l4hc/AhAsQbzHYDTt5n1/TC2LkcFU5C/pQg5wD+LEm+E4OI0mGPk
bazg2bRZem6D3gBrPNSCdsoI/3IJU/OUOPpZS19vaghjwRiOLM9awmjobHjaubFEDzndKleP6hZV
fBPnytriahDnaCJ7mBkY1k0DJMLE2CWAINfdAKNjRAFbZFVOE362thYQynD6V9dpBu/QuOEsKIP2
SsYbpuVTmA28kPnvwS5e2KwuwhssieUubKtPoxMZT35ZNPsOAfV61HCZqTfdriSZuGMF8ojmVNDC
0waKNDGsNckGtVeJBK2Z+PetMfPxzYV9N/G+wxhtu0A0w2TvyKjFm3Ry9a7x8FFK2Ug+8LHtnDgu
tF9i7/qmRsg3276N23sVc09NrK71QPuF4xcEyuzB7RbzZPpZ+sEoEHsBW87BgtD2OcFCuu4BdA3b
0THLJrCRtNfaNcMPULT9Xjkz07AuE3hhEjPcGYMHG7mMreheGz47Z8oM/ai0Pe0mkchX32qgEJpi
usN3l2LOqQrgZmEv1BGQN9PSgTzcUVNWST7Ick5YGqwn3Jnh96wNF4JNhZfvvEbHKQuTFR6SznSO
gEev7YpTwlRfGjFYhamF4q/nQe+I3KW73BTWs7Q9ALYOHEaoGRMcUQEbtk8LE9sMKa6SN6HI7/Er
Gk9M4pJ9HLXzKZmS5VofMLzYxAMAdJPGuQZdItJuBfmgtveLY2eaqb9xIrk8pck8f+8TeDXrykvT
hwYG+INPqowxfawipNawD0aO9tskTNtnby7N2xAl+xiFlrmbr0M6Nj+XJAfPgX6J7dpe57mZESUx
pqdhzO09d9XhYvjI4J1Q5EDb0rvJEHtPXeG5L/g3sKnqunyRdggQmvGy6vRt4yXqLLiyLpsakq3i
ObPRJfDztAErnrWizDw+c5VmgOg2za40qMsjbBFPgVtzs1j1LdfnVca9ARuCE+a3TAWjnZ8xoRFM
7XAMzN2DAvF2cCv+BgWc7k9SDRgTSdXKpzAcIZEuhkise7YI9rdeu8PMAmapdd56EIozcn4+Qamt
kgW4VUVkoMdfGLiZ/5qQSdwYgkqqmDzrDl6D2tYknd45tJCnIqkTBwRUgDX3UA12OZ7jQ1UP7Rc+
tMuD4becNp0J2mvDN/EMU1CvACHPyaH5K6Kj9+XUiNsRTvb0WkoxkQ2Z4Mc90ieuIZxXIOW4iXDB
C0I6JkZsxM0UBrYYTHbZviPWqrzB2EE6Th5ye9RPE4i1j8VIxc6flS43y2gjUjVme6lmYX3pS99+
woIgoKo1ApfqorHkJnFcPOrciN6nUSVH2iLka23DrsBxFQOXGis1PYCesb839NAc9Ug7wiqPp/ph
bizWioXqdg5srcWq5oA2IKyRsmQ3rew/K97u1zR07U+oggouYG6rDgZbbcvNAhy42Fitx+cnTyiK
knOCGOHoGVIKtqhmxXRvjg+VxUO47rVB7qtnlLXp8lkx9kv59Npz4lnrkv3wVFqJr0As1dWtbtyI
vIchBYzZyiXlAaUZO9ZQXVkzvfwCrz3CieVXz3jd+lfBlYicclU/NI59Yeq+1lPWrunF8U7djDFN
8xwyZ1Tma+JG41dd+MlBYWt9TpbBeGEE4HgbBWz1C0nX6Th047xljlLeCWxhFw3tiuSensL9VfSq
5yo9cKKOMPzZgIcAcyDtiOJ1cPVw7kpD3dtR1Wxzw91ZXenexeT8jx2DgXU/9MlDYRv2DU17NHQ4
Pq6SgCgugo9Xm2Qzszk8lc3SsOK44Y2OvK+9xu8x5NOlr0wmnFPdYExjVgCqlFnPByEfN4joRtsi
j2ISGUX03Hh+/3lM+ORkRtF9TjKt1+FEvLEgMX2MSdBeGHZ9aDsyA0Fa7aHmOHufXY0YE10W3ykS
WNhBR7EHnq9o6fO746JBbZHBGp9TSyarlgjTbRs6yT34drmZwYcUm9yquvMU0r/ZGCQ0lM6jy4AA
sJZVXFYkS8fqvudO+lbPwr5EedFBYPf7VeuVzd3gjOmhdOvPvTnF5XryBJnjGOvaZip9L2jIQ2yx
xy2vkcKQYE29GaSZ5AxErPplIFl7MwyoGJlK/ZfYrcOvYcya72jOaaqth4dZl2TsOIvdFp1eNguY
iJseWNZjxymPHoKMhN9iVDQm2Db52JZHfmhZ792q7L/GcVNswqWLX2eUbuB3PldqqxjcG8/lsoY8
yKcrZldZ47vBR+6zp3gjSQPSjOaKwvMtAYzkpiCj8ZxRsHh0qjB5Nkqeq5aaEm6CQ7H2rvmEPJLW
veub4hhek8bG0GdP01yJGyotig+b4oGaJppCPMEF727NnD1vBSJIvntMmOagb/LmZOoW2/YSJnpv
8KBZGwlC2gJRm/afESE7vSalUX3upgoAoedP1mPqzNWTi/z6imsGbcVN+7pYT35dvMDuCV/Hzszq
la9ZX05t2RDdZfV7XpoiVeeE9gRiEyq3cY2mXviqu5H7ldPH8m1QhXouKaZhiOWWrxOUYowhpvu5
VIg0WPTLs+akFq9G1g7+Qkm+puEk28aDaz/g3rA2FtL5nleyvUMfHW7o6AHblPc4PYcauIjwwg0g
/mw/95JQdNSW59ZjwQBBVr00rhlvdZob2KhSJ0hyE9iJG3Qs8WVQlGXxXoJ/nm59Q0fO3gAjRi7U
n2eoS9p6LrhtRKsqneIPWLVAuBpz3pB9n9QqXEaMVWUxz59xlZoMrWL6ANzYYKRNWwhnAjvkQi2Y
HedbTgHNeTaH6Av+YOvJTQoeoNha+DsYWFPm0qOQ5Vog8Wzn9UcLgNSDkjwXwPHD+aPkDEpw02AZ
Co1lHeV1uXYGw9ipKX5LNcIW8PdV786v2eTM646tORi7jgh1lJjXw9gzi0x5JBzyaIaj2Ok+Nk46
AXqKVZEkkp85awNKetrT4RH13kMXt/ZdKEN4dtqmh0TCGLuGfNODQwfJiSmLOhDw5nEwEP2OCxxC
Qi+RvG5TOUP0jky7m63Yqlo+acZymvrZu4n1HK0RPZqd5YfmW8Tj81ZZwONWKRkCvj6rTyoynZuB
G9SW3obugeqX+3mJrB178/iQhkZR4BMjU9AbDjhAw7dXcMCaO0eYd1dN6AulJDa5n2q0mE0bRXLH
yS4HX8Z6dRO5Hj7nsXUijcXH1gERYdkT21ls9LelW8spyp5JQaK7w0VWF44GmQ3XPw3v4OqSRB3d
dt8B2cMwJKFctNBvvXDmc5mFPsxZAuzbjg7sgk2vbE52g5YY2L0IP9ca9h3AqPYLuBeT0qA+bYmL
wc5r7cG5yLivQfFSY12Sb7+PLFPemJVRIJzhcTv1PlRTWZLeE/HcnqrOrE6xHXsPysqqLVBVlDwB
I/plbofuDnGt7TaObDnSAEtLN/VgAJBZ7CrZaHv+5i9EWzuhQcFrYb4bi04PQ7iEj5BawxWlRoI2
imoRKyIl6VYnvd7inF/u/Bb1LRKwPHHA5d7NBK32shgTkRHgmfySIYu9Ih/9CpLcPVZOlXwibcIq
OJUtsCoJ5L5CvLJWfKjbO+4E4llFIBnXpjlw5nLtvWzZzDo8UJBZCTmleLwbYXzyuquLeB6x3s25
5t2sogl6dzZd3BBecD17xqHLVHU06AiCYlfUX02InmtDl/G6xSnFYtzuua7vUiuv7waz7LZN6qEq
LhMbKf/pMJH38nM2ueOWjpDKXRdRQoMTzQvdxpYRn/FyQG5Q3hzu+rRuLDYess5W5rfPAMQtEOGk
YrN+TqIVytWCf5Li5Y0L6ZF78hhXT5iRc3MbO+00rxd3SIqtQYSwPA2Ex5BkK8oqoa2mPJBRqo3P
BfGuo2dGCdozh+g0iMCOPixz1IA4dlX8GLkLWJDMNxB7F2Aw4zqp4/4jcZkSLv2ovlIypB48ml6s
LbBog/khgMZs65DoRQmpI9yXWaZAZGIXlg+tB8YhGP2YDHZK68jn3pbJ24Ajb6FnYTTtw9Q2oTou
SP1PMejil1qG484Ann839fIKgHHq9gLJCBqhgNxyX40IcXKw8zu2my8OdQ/r0IOASMjD/2qUMtpW
eJpxX7ny2MJuek7aBBdN4U3YqlQkNlAacM7N3YFXYdnQyTSR+sQLjufZLx+7boDwHM5UWLrKOXrU
dd3LGdbpOgHyddb9wqywq6X3jmqgHEqAhM8UuGF0YEyTYa+BYjOPc4p6CRpdTi84RtkgkFDnm456
700fXeLKJZfBFNJ/SruwOGsqeuxUNemaBo7pJhTsBHuYKlW+wmPdvXkRIWFyrFh4cTHigVyhOjsX
r5JyWlXjnPlrjDJGDaoapRYgNZ7ztaQOYMs2Iu4z2+8uchbLZ4Tz8QIav5gJYWW7uLDbXddW8pNM
gdvKqrMBrBijuS3JnAMRcJI7cEoz9/LRU1+7Ko2+xJPKTp1hDfcNlVk1EqQV2acaKr3JW5Dxzwhj
CTAGTllB5xrDy7x0YK0Uh2vavyaCNXCm7yaAtNh07RTzZ8oLcaHaajECXQn9HtLojg0Xv9CjDhF6
V3Fu5o8JXP4N8WEu0FA5HbZTOkyUH3GRmnLp3Dal1T7UujQfxCiLu9lwCpzOYVx/WSYvvlULsMfV
UHvqxmyNK/W/aBOIx11tfVKRL4g5+AoTZk1yZdX26J8rgorukSrJ8Fuc5ssr1m20sjHiwLYazHoM
1/jKirWaJde4pRmyzzxtwxAUWcxOgOo53bXUmH8bje66wPEhcix+k4v56iCtbrkhvu8eo4jyKPAv
gNKRs4O+9c331u6biGYydj5om8YnZcTVZVKNe5x0Up/xUg6HRUb9B90q8U7x2Nar0fNJzNTdNH1X
tDmsm6xfc4fIaHhRXbEnNOweHdbt9eCW2aM9UU5mCECcSzr370VSyypYIDXuqsws9tfpPGc0ndev
VkUgYaN7t3zgioT6XRXtp3SQ3sXjdPZtqVz3kZ5g/tGwDrV6qF90B6ODsqWZcUfstsaxI2y46XkN
H4ux7b6xA+Xe6grxeTIWS4ZBwXQ+3pRtdN/nbounOnWYHrC24KqEJQy9pevuc+lmp8riiyhrjSkG
Uu69mrBTrcw5778uyGrXDXkQN14PJ4WBtYIRXYzZQxrBxQyo7BLVY8jE/DKljNgiDjcYpGJ1YbhV
HDLTih5a4VSBSCccAEPNVcMum03TgCynnCm8I1ygjnyZJuNYG2+TRUcI//kShUO6seJyeuXK7N32
7rLcz1P+XlvOOk+vfUXRNROS+DPexDl/jEc57prSLYMk8h/nuBWbVGUOOyPS5aFrTYeaAaqfNokw
1ZVqzLlCuXx45qpb07hIsgnDwrgduL4yoelROIw4Dw8dx/avblSq+9A0gUHZcmoebA703AQyxxhW
lA1SaTThLIwHR5LNhLP8RadTc2a6+g0bt0hXFXGuO5ze7s2oSvsyIWd8LVzPduDsh7rjusv4Jup5
mkZT71lVwytNzKOiEE0hbXrxUYFKgWZg1sTnKDSEVIPs3lxj+uOcB5SM6FNvuMVnqdmyIMZwZIlQ
OFNLjOSrmbaUq96qnpmndoec13cT1R1xuggQs+macuMBay93WCxsdlM9MbTquvyrkmF7w+yw32Rq
9j6GtoBFZqQZWrDlfTEBxDYUQhCjCGBE+Uf4JBxk3YS5lVx6bjCC8r8T8AWknLyWa49pDnJv5bxW
jl3YAdZ04xBS1ray0Ugo0kTHuOkmh0XOd+tqIgUXPToFMx/pW+NT7E5Y8Md5eoPu1T0RVgG4qtJr
1RJ1mf1Z+YlXrhayEF/rlPnlilVBPyORcjRZcu54UF5YjIfec5nDpJ1ko0m76AZLtvkGo8/LN2MV
digpMxvXXPjqEJauCYZEguZhDwYIVQEdm51Os3MVujw0rUPsrtICTlMSZvNnsC2CuU3kb4Wo2POx
dnRYhMwSh3YIiXndufFy08chq3c3ivSIAbal8AviNADk2f1G4UuMlmcy8VulU8luJeIqNFaWPwPk
yOMI5G0n047HnF2MhLPCBK8oZqnP/jTxbQjramiDRJjpLbKtT9nQMEcRRXqaBneifjM0jAMie+6u
naa9/h/099CU08fiEzNbmmRGBqJukBeO8049Z3FbMUG9sHlxdqEkh5IGh6390Jn5tUhULNMLejMx
Zug7T/p6u8oJbm177U+0xDEf3IyxmdJ8l5k3RKjEe2qX100s84kNpE0U2FZPnMbBRRD4iMOnJTet
I0SCiQIBJt7SuorkeVRC+27EBpKfxSdrIPeejBdqP+5hsYzcrtsXwmUNhUBFdvCMwth0qdWux7ke
vluVk8BubuJbcv2sX1jt165rFmcwcyIIB/4NlERH9KZvzRfTqGOgSVF6Qw5IbMqOPAjJqKGNA+l0
L1FfLZdmGIpzmZJibIlkbGwR5ofMcs1veP7pB6285pz3ZXQHBIAG+SomIdBn4/Kt1TLaa0K6h4Zo
7J7zOjJxCQB++7vh5b9y/gCA5H//0Rz5b20/P7p+/jeRIkG4XbG//94bdHptCrxL6euPvqA/vuoP
46T3m+OwNOOn9f9u//k/viAbX5CN/5FJqYkD+QdYpOX9ZpOtNtEV+AuwrmCF+8M4aVm/OTh4fJ9f
sfkX5f03viD8RdWPvkmFcRLnv5LK50/CjvuzO0e1DtJqB9QekP1+LuY7+tk+LK/YDl26Jt92AV/x
Udtds/rhVfrDn/RjwgF/xK/fmQEVnijLw23HCnw1Rf3o2ERxkYtaMthRod8AHHTNFccIzpuIPZbG
CLIw1oldIGcrhJXlYWqrKTtkQ7TcxlZbfWDmowCHgxF6TMH45QWXT3lKhC2IDMeQ0YEdOqzRZjt7
93ZWTy389SHaSicUQYQSvlvU4B4N3REOpIoOS82McSGbtbniGHc3akZYOFi/JSYxqj71thT/YVox
SCi7dYHBJoeooc2NMoR5oqEPIBs+PQAQhIegVA2SAlYDzg9pXuaiMJwZMiTjrfQSYs4e3w/YW7ub
AP9fZodtuUrOiUzam5RB7WryF2sJgDdyF47TmC8e5zgN8pKJuFSG/alzW1qW297S6Mt+c3YKAk2Q
8hg004iTw1FBf/gf9s5sSVIkTbovNJQYYBhw67t77Htm3CCRGZnsYKwGPP1/CKmev7pnpmf6vu9K
pDI2d9yWT1WPOv16Simy+DU1dviovHFiipnoHeDxIycqAn5M8ncRcvy3XsQuvLRWWgxlgTvB5rSC
OwOb/XdEsp2UbQ1tdsvoKPzstWGFpvjUAmYZipdJLB3/6fCM7SLtckajAqrYVHLO8R8564QUVos5
BiJIrjAfmSvuh3D6JYcz1/LULRQ/eScAVyR7J5+9e8ymFMfJTlyn3cQtVU/V/RSv1ULQqdlRl8bv
L8ov4eNB9qmOtRym6zEL+kNiRWS6QG8csrRfrqpp1C+Qh7irNLqz4p0PLPDVwVSxc9BfLCadnN6P
Q0Bg8T521mNbInMwiMVMZG03Vk25lZ0Oe/IVgzzReZSuhl+xvNIjJnKGNH7cI6nCDOCWVwTzHf8O
q5ljKvuXZ/lYcuNhrPaj14f3iTLYnsRoxR6DWoW5CJPamW4EqTYBdryRwC2gKo5lmIzJeEx6V8fa
e/Xm0WdiDVkq2qmxggU59QHaUduRPKp9PZ+jsvNpS6CQ7WYYkv69qRwepLwR32JRg/Psff2TVyZ9
7PIqvPNzjwrQZi7map/KIfkG+z3lNk5Q9uBkFdIx0YDxnvkAP2VxEvvEBDvst3Phy3di83CglkxN
20iORYSNL+OGxdh63gMHdw5ZV8xPTr24j5UdcPk0tkPwOivXkhV6HKafTemrGNex0Q9jZIfvjP+T
N6I5RbCXQVvfhEWR27sgjNXruN5SuIfb0545w/RR1n33AiYK65NTteqjSXFaE3624MMBoeSuieta
bEmF2b8srLFPSU8Z1+hl0YOaXP8bNTXMOBIXat6OG6h4jgm1U7Jjj7neD5VXPtWqkftuHpTZxE3M
cSkiro4Fzh0w46VJ0GP+aAvL3qnJR9hPGADtE+EERzsZgYcmMdynsQ/EicICTI8J+NLH1oxETcMY
PXbhDs90GuoKoxZqPsymLIxFM9PcEfzPg/yVuyx5WqZD2VrD4tc/haDghPipW54W1LAOs3rm0y84
OvSdw6jnuDaUwFR1FmT3Fk23907v4xUgH4k5YoFX8JDWgfvKW+ptaq1wh6tAq30kVfsUQ0ncSS0N
Q0OvfCjs1YmoO6U2mpTjN8rpaoa/LEPfGQOpdxZz3tFAV0y6O9+uvC2jMyvcNmOM0yqeNEMcKyhp
eeVDztmd/sf5bOn+MsRqJmEWZCElnGPFsjBSBFwzp13GW9Mr81pQNrpsF1lkwDDHELKsgHD8Pe27
kXP14HkauqtVAaWYRXaTIfvdW16gX4J58qi3gFAR7CNTyW+mXPRnEy8tZIcEWiNySbiOXZw2BqZX
JIwl4qCd47MdWZxBSY7lt2UFjOq+FrFJ9lKF7qUeVZwcO+bQ4WWm9SbmXmLz6YJam1IG3GTWh4lW
MReCU0sdlFNF2KI6jZKBcoQrDaTXzuiFfnqyrBZ+qj5rgSjST7T69ayS3mMMt7smqmmjULPX8U9s
Dx/c1AbDNa1dJV8SLJcwA12skTlueJLadx8h58bKW/91yNryMpZjfrVkgoVYUFl8WmeqLSP1YcZJ
aLPoUTlsbmWfB6hzOSv1gmLDHYvbNnZYT/ooIEo9TaSPNike5BKxWOTokIPf/p6HMXlolaux51ZZ
vycSZ26D0oBQ6TQHaVAHb1Udt5c4Dyi+y3y2nVitOV38hVelg7nC8imX8/no7V1+84+lB1Zlkgi9
QngzHjnl/ICiX9xKSuiYPpgIayG+edABjsa5dYriWRjqY1CV8GX4zWYAZDdf12rGk89EP3kTFOHy
Rq/Nk9sANiQlozZ/Gw7O+ZuLevvM8qvvkenVMYZb8r1mf75WTjzR1k3F+vdymELMiNCrFFEHtQ5v
M59yHWeAx7HpQLDwMaTn5d0MXn8vmZXdRhOUDeF33i8Xfsg2iNLlxeOD9DNUFnzPXgDIneri6Mh0
1sBpevrZ2qJvP5cUMNmWUanvAaqxYJ/ypjkPuDWGJzLqw3kQTl5cN+Pof/eGJPm95NAZtxBeR+4S
BdraZuCa1gI4nNCez8skVyBtHAXfZlurD3aX9EHZdjKxbOkSJLUztFhz617j7t00HUQPpqZ1s5Uj
HXrUAlIbubXcVu6ovfR2k1t0fAhwegJKzD4a+jVu67F+G0smXVUbTbsks6ksLTtaxTgYMD3FxOCP
V3Mi1ZNi2mUYyK+oB1Im2YFJvaV3Ja8E4sjc7gdKaRAKneBn4/TuVZXgFsc2giENQChDeghk6nqQ
9veGdpyXfHLlD26/YXHialWTN3Y6WBg2hpOEeYrf/w6UlTUbIMfjsJepFzwKV8FTG/AhwIXL46jb
JdOQ8emESQ5q1LiA8ALSwCSAMYZiOR0w5F4No6QDF2QNKFO7qjgIrYhpiRfv1BaCYUKwMKrdsMHb
v9uc2RTrdIHHpq3AxlmDnO5UyoV1x4RrBIs7Q+v0wWO41zkCwyVtUutHlLa0S6WexBiat4HYamqq
312cJnByEeTeYyQ4tXW7OUMjdVkFQgxhhi54y36qAi3lKR4xibBRLebFYIpnM4aI1EHQIGOF2gkn
Br4GPLkbNCb3UaDJBofCUC7HdLpomFm6FWMr5fifANRa0GvRSv4tdm2jw63b2+rgkVl/M7QVbTyL
5NOmjRJ7kwOqYZC6Ahbo8hy3YRUh9va29XO2Y/1deNuqJ0RvJHJWxmAN/TMoMXBb84Yid3gZi+aH
MdC4o4QZnYDq313pjgJU47zDg1KdqJ2jmREbiHzImKPiD60CDFJtAU0mkmy5Y3Q/R55Hd90QLDAM
SlQsAi88ie5vupSyfQs7hk8YhJx7f2jb6yyZjMV3LPzHBf9JvRd9mDxZUL9vnMHw+vGheJ2kYbmi
LW+pjkGXzW8E9LvnDpQ/QDxMP/OOtuHORnXSw++Q0+BPmcCs3qDWrvQWFz/6tuR289sNOgDBi5Uk
z1LPFFDXnSNvTOdiB3WsJIMSw1MIY95Uyc4eZqi0lg80YGnKJ7OwqGBOizSCVTn7NH1UMROZqO8n
B6+6O9Frlk/zRfIgcujFosE9gJ1WEM2kmVPObsI2VjXFLT0qOOxzXO3i7LVFCzUSoUjnDSzsGfD2
wuyKqZW/ctqa1t8bJzDbOsxcMETNYMiaVcq65EVEY+M0p4B2/QTpo45GjLtuNHMSZKNkUgdrB6N8
bVMkuM53gdamuuGEBDaQl9aX9Yvdl+VBM6RRzJO1uKLQGtt831H6tsWOUbzR+Rp2F7rlkl+5H8Nh
afyIUxGOY46INopmT4m0U7+KwS2eTSeCT8jH9QkY6QT3kyK1NY3BNQ/1N/vIcPmLA9dY787MOTVU
rlVROe/Ewr4KmXRXmxBNH/mxIkKIPwZT9wa9C5CirOvmoQ1MNm4xOYfepk0XDtiDxTWnk624d/y0
sa+KoAVJMbdSPPvQLDYgo35VC3Ih87QAEaG1fQynY2lht/BUbF8U9IPbuh85QiY9BQiXtAzEJWop
dWBZ9vJzn3ntfefGJBNlTgMAsFOueeMEWSd1pDhDs2TEbdXZp/I7RqKuDxaEW7L3oLLqyg5gOJmm
PpcwFG+nJH9JFlXuei5f+5qhddVJVKPa6neOHTtAiNVdxwfgLrWiAGtur7HGScG9geNHW49dspn9
Pt8PM4F1Yh3ZLhmKYTONKEy526bHqrGrByP78r6c2xp+D6fGdS7dRvyYWRbXNRyyPXZn+lXnicPF
BGXSDb3uUNXFaWBj22acL2PQKveVasWrwI/ascBmIeit7o1JNHbl1FGPowIsThHmfPCq6c5PrMns
HG9Qp1pO4TnyaSXgfOJAxfQs0IohJI8rGxYIXsE0WPaiLarbhATfZRlbIxmQhtjfWbx/gbg4NoHo
fus5ye/jES9nP1bhd2oTg4ufOO43pwFiHrCBbn1eoKEtqPTq5YDDXcOV8/Z8x9y6X5Tr+9uJojFO
vEmnn0tC2CeniSAtGyrQnt0ysa4wZQ+bEaH7RB3r+KJp/HqPBrHgdhSz9Xsc/Kp7p6yh9DkApJgD
qggk3bHNchOwkmK37lNaeomk6+KTkAbuETvhZInblw0sg53NaQCvkDkU9DlCdwrCByB+QXawg2Y4
DJ5BfEwEfOLtkILM4prJSWGXr3umDoi3blwdsFAFSBz5jjNSd9Ffy07Pr/a9V3IZARGlkdihlfJQ
4LtdvJNXck2gQtqtpq1Td4AqEUhRrN3KRnWke/uX9lLM1RKpdd4FuALP4RhO4alsEEe2bpVwiDZu
oX4FsUuTFZOcqw6E2+2Md8Pf0ufMwXSwM/WzLWVfb2TcpA+MBepTP7juo+wFbOs4ECyJUaAMnhsq
HbZad8Dd09KfvWOaRlzOiTyNqDSjI66HVusTRGNOT31ASdOBZq7+Zz+Dyzz+ez76f2nSsZVcp5b/
ZD76q/0o/mE4+vUlfw5H/T+QWoIwtEXApN3/S2iSOCXzSC6UX+Fw1ydX+Gdo0nb+8AW3l1CSifBV
6NHl8+dwNPjDYaDKcNR2+F6+o9S/Mhx11Eom+et41AdN4NmeINbJoBHm/98PKcMhsyh6tvO9ixdE
RUDjMTapIt1iNBuuq4z5VYTr/kq5S30irtef67LNiy2cYH2T5Fb/Jg0nSYwNSfaNcJ3xeNCrmqpv
myxGSIsxcjADrUNMz+UdTeMqOI9KmfS69Zr6p1y84Yq6jLC9DEIxXhjqdBgPsaT9aQtLTOX7npWw
2nSUQ01gJYVCrMOfXmnPK3fBGChUMjdrsR4XJKc2M8IiHi6may/Eh7J8X3FZuPboH7hauqYdqIIW
6q1ZjPMWEdB+7hLL3EEVoxxiXEd8qoLqO9qBIj+VJx2QuWIILxisl9uuMhgHC0tgshhR48aLwwlS
7E0btdZFUTj5JCouUYc8D9NiR09ig9s3XgGz2IH8CtIl0LS7xMdPiykeVAw5HKngHjWmMHdqRHVG
qJEUCDuRBEin6TrwCTnYE9wkjhFim2al/t2Qkrp2Bivt9hiB2ut6pq34VCcwf7YKEgiXB5PNHL0c
JLIoh/x94LRV9FvoW+xIJrS4cSqj85+5VS/6PNO3Ve9mmgKIa8cq+CY4c97llKCeeGckQflsPMEA
nHFFz+G9Y8aKNsgwa6d914n6xXFdiPRLVk7RUcVtftHtJGJuYO30KnTuPzClUz9Z1tx0P6jBKzdc
SXlpgjhYuI5nqtgPXue8NUM6vHEwkEQqCtkFxF5KMWyl7zdXWTlUTxJvIKnFgHofBGIbrI+c+mTe
RiXlmMnXwul9LaLDup5m68rqrWsspH2W23FdedlZWISbZJ0d56FjbrN1lQ7X9ToebPVLfi3i0eJx
QmJGw+JOuiI8y3FFaTdfy/+w7gSQGNR787U9lEq4eIsoQKUG6WsLIcbAdjJ/bS3z1zYzfG05mKMp
rf3aiLjIdfiClilnNrVuVZDv2baEboff6msz41tU2IO/NrlS51AMnHXvi762QeFW0UO57o0r8tsc
GLnxGTRf2ycaB1tp7LCrNniFP4evrZYhliB36w3tjgkiM5GNoeqEkL7bl09hmKLLcfuguHMsSufL
uddmr3oJbwt/mPbV0BqfzJoK9ZVwGBsMINngTZjsJDqRvVaOEUeQmsvexz11TREv5b8JG38zOSTg
0tz45mYOq95+sNu0fm2NS9UowFvixmbYktnQ2UWGJS7/JNv3RTePR8iQ3XIuW54UjBPejRgCLC99
UAnDD3AT2Ij4avUPYGPLtTNiBN2iMJQDhpIon189GZBcbWa6LOINRHHankcQM8R12zFj/lhmefoj
sihDNUOlfuS0wugdB3NAr1iZquUuzSl52dp8ZIZD6GkldpxaJ659IY7j4KxC8oB3LkaE5cYC9vna
Q+Rl5uz2HieUibsCJaiJM/gn8qYs85uoS5jGxxQ7gyxtmg+AbVcV+c39l9jLzGLDUNzl4jzIre95
/LWb//Ao+yJnPDT7nJTWfeeM/dHWOv+3+Pl/rMlzV0TH/7y53w+fw8/kV9vOf1U/HUKAfNmfVATn
DweNU0L18xxkzBUm9CcVwaP1zhW8V3/u8Pyfv23w6g8fVMIKUaBKhqAZ2uCfG7wNbAaCghf+jZfw
L7Gl/4v6yXk9kCA/gA8J/pODxF81yP///FiB9z1CaOqwcm5gEvnbgnV8kzfDdIgpFNKV+/Mvr9R/
I4D+PU4L2fIffvQ/nCwINJE9EB3sYplT2pVgjsTpeNJ59MM0GEz++U9z1r/k7w4yjmDkxInKE7C8
HYcX+69/aQZGQFHSQKwFKO6F7uV+S8xOrzGL/DB3+psAbHvknaYToBi4hfkjW4AWGBXV8G3EJ7+R
S/yalfk9H+QbyMJbdyi8TS8wODcR3hIszJu0zq6oHej+NzDMf/Prc6SjWRGchOfwQP2DTO206Ftq
RJlhblafGNkjEtS9xV41ynlv9Qu8a40LA+FyuufUlj7JyLsjkEXE0gHcL4bmG50XQEED8d2S1XXi
0qJV5z9iH1EkKdNz36DsTIZ/65SsTVWwUM9sAox7SdVsg7k5x40jnq1KMGCPoLnUkKNJCm78BRFV
YJ9JEfmSR+llp3g2P7ocMxZqwshUZorGfkv28MFP8keNOiabT+YJA2bUzfsETPTozwrvvlv6lCaF
zPlsIkbAGuEhJKo6doz2d17AHzNV7qtsbffooKo+q1w8VBaJbZqjkkfGicU1g+35Iyt7HwNmRngy
6dsrJ6MoQpJ1pOjcDtsdBpkUTK1vNpJl/ST8PD6QNpp2HoeaiyTneh0E+bKhDbC7N0SjT0vZEVck
MfjuCsfHTpvWd6RYKuIDa3MMEsL7lEdkGU3i/NAebVh66AUHxSviSObWCFTbjQhw/BGZJmtMavBC
Fmlhy1w4CVX2wap8/Zmm2Wca1+rM0AQ6rdOYA2gRYLG6RTJLLlFekEtNLo0MX+JRORuft8ajZui0
htC2OovSk6EvYleUXXMDOm8/DfUz047qfwHwOas54a8fp8ATcv0ISx5JB8DVCj35C8yN6ITd6H4G
Q18UeL9Tb6mrrW568ERVEOvjyjt7TlNnul6SwXpPIs9mkhA0VKilTX0NT+tlcsbtMkacxoch+DVV
dBG5uSiOnRfBjQ878Zhg+3/rmmG48adI/P5aEf7t6Hn+592vmPNWQOT/vKndfCQf7UfHB+Pvrq1/
ft2fu5r4gwQW9hwun4EQkG3+c1dz/uDCiJ/H9gIsNVy4/nNXc5w/BNM7ZljEu0N2AL7ob7ua9web
4MrBc511+wz+JRiazdb6D88nRCMpWfBdN0Cqp7/h759Ph8jN1DsWUXzSbeNJEXXc4TijmWZJCP7l
fcjIrQTERcZrXFouG+ug1P6amVr0Fu4DyrTQETuv/lbOMgxvOR2u/6ICQOU2yl6H5O4ZAyUT2/Zr
elt8TXIB3BT6wQO4/gY6Po2fBLCP+oF4JHnMFEsGuqeE1gvvVVEoxALUYn1MNNDKflEQNNSIbkDZ
FKvwnyLIjPnAp3axiu9J7tm/7ayWJECUg+ycD+EZCKz16OQEagj+LmO5wyQqPWRfu8lh0WhzLb4G
5946Q4cNZC496e9g13r1GN1GX2P3KuCY+Yja9I3at5mCLUsws298B1XRRIp4ZppwvF6mVmZU+rg2
OIwvIQAfMt5NpqgkjgFDoAEEFmjR9ktHoJma/jYzZikWfZf8ZIw/4kU1nXttCXeOD0sXjMXJCkBQ
XNpJDwnkzo7BwEon05u5CwuyBKsy4vR2zrBLrHsGV9hdv4opZpVV/ILIm90GyQNcaP29Q5nx2h6N
psNADVYyLD2SrTi6N/WgCH1R5vnGd8PzNMbtfeRZQX32Co1OtHxpRkzf5WM+I4TeVF+qkioGGW4w
zKA2cYWhEdHUQOM3mFC95Ub2cNkusY/8uBVmoUejxXT11gaLGY4DFenjDTL5HG69L40sMI53X02T
bUhkR111HYgew8sYFph6iPfaJ3wyqG8dZqfwLBgJ6CtkNGQzJhnDSEucqU7OFPRr61rt1Pt4cfjv
/kvy61xoJIc5z8fiLOa6m/cYlx17n/iavULGemKekVjFKVulRb2KjNhAkXfjtv2su8ieLjx1uM7E
l1w5tswFdp5dhxS8iwGYcEekuln8pd0KCx0RpwOhGPgF1HCG9jCdoHfg+U1AaaP0hxiZtjPpkgs1
aSCTUt3mgONTJPXUv/fR4V+6bgCd00eNdeZ6nVwCY7B+dXap34DZ248IJN37QhL8KvTy00iDSLPJ
+dHOU9Ry1qAAMe2d57SN0a5tSj+b7SD0/JRW7vJZJuVyM3qiNdsC56h915KcRxevc8cAo1/0eFpE
XN6QVG37E8wtfB0iG8vvRPaaO86GlMq2oQZZEYkQ1JHlufK5mRPNxdIpVbMJrMDt9znlnteyrxIP
1/KcAqeYqau6GlzWhE0Xl/Km1faAaSOp6QxxszJ978Pamfb+DBFA0YWxbJllU+9W00a3kYGIXq2l
iI7EpLC7TWQ0C20Nm6JNiHJGcnoL1/aEpssC0tVkob/PRcznRoddf4f/CdKELKm1FsX43MWKRBak
dNaCIpwuqZTuPa4YNAoZutlpGGvaElO7oClC4FE+NaKRL3aZd1cwuON3L3eScL/0PT1LpEA5L/ku
aiTRfA4mKMrJj0lba11bEmDCgYYw8HgUzXPKyOPMTFvilC8qQpb4vtyNjHwFttpL2ovbLiEI7ilY
XvHvVT+Jo47hYSzcKT5C3KAgpkQXQ6Yx454uM3ObNDXGdq5MDCAo2DNP2qQRZiNkI7lLGHh3uH1K
Wk+UE+nLCFlpOE4zTudNtwid7XJX0rlBIBhPkSea7m0kXHnHnLzGGI/8bMeRX70EGZmbnZn4oGxC
zCK7yKo9+iXYBoOfpTW7m4JF/+i1hsczeYPMK370A20HgVNnKPB5ewiHpNkxF8SPEpali0yY8iNl
nDYnJTssHx24O5b9nP5dhg9h9VwTIJNbG2z7fpQU/JWzhStrzldbk2P8cV+RHjP7QmbZgxgAEeDi
pECDdKMnLfoUnOxDjVE9nuJUDPmNdKNlG8QsOdvMdss9bHahNsvQDvdRmsfPiGdVsRvjye43nUuL
AIQg8P6b0KssBpFxaF5CJpML65WdRoSzmzrFECXVQzE1FuUwcwW8PR0qrQkVrcqC4yX6MW2oAtmy
NuBfQaqhfzVhLuucV4pKwUuRqj0XB4oNbT+drui5Eyce5sXCwIXXFZ+9Trcj54Pu5Fig3w9944Wn
qsjST0UI+40BU/1gjX1abkDPLz9zaRUciX2PJPGUDUENbyGlOQa8wEIvtszzU+cVGNtSyqApV1WL
IzdBsL4IFXlxYfIyuwcVNnNAaF33I2jQ/UA+Vfp5jSPf1EIbuSMKQexD5rgpwiHAZgDgoLydVJ0+
ukEyvpoZqS2fmTYdhIVDl3w1pW0xyR7g+eEyP480q7Y7k6FKrySkRp8mxVnXN3I+EQC2byMDemhT
WwaTWb3k+CYrEy81g2sCE3Y6JdEdgIhpPskh0yE0IYWyZRkoQJhWwu9QZLyHzLGuGjdLCa335eNQ
hmiCGeS0XYQseXRZ5HZRPFqnjMDA6vj4keli3JLuU+C5utx991rcQ6j0S/DWp4P7G28TSWg5UfhO
8ikhljvmZzGZfMMasyp2cfY0y4yuTEMCbUf9BzHNyUkfiUL5F7vxhXMc3ZVeGkNuKTAkbrQdx+mW
9uoEQwTuRW5jiQMhxcNp40fLxWog5UGeQQOVBd6w98Tu42s15lTn1AmsZya9OF1DnC8J6Ql7W/BL
H7OYxN8GlzXsvCQ2V1ZiYrkVyvR7uqtmf2Xh+rdjY7XACGX8KY1KvkOnebZsNlZq0WNJQfXY1od0
InVSJkrQLOfTaoddiVjSZnYXZzzLqlc/GivR4mhXhWNdxiw72xLBjQF/8CAdxtS0NdnPBVaxd89G
Grl1s2b8rQK/MpwNcpoRVJ/gx0syY2E0cRaqYuZA09Bgm9pG3s0n2j/i8JN0eTq+1vj41sicXX82
nivaB0OTpr9fZybcT0vGkNdpaPMyxnE4zPTNRPrTjQvwFRA4k/Ec4eCBHchxDnuNXZfhpYK88NSI
AGUzzS2MF2FXu+d6UuXy6LbN49hpyBhe24ywNUJDi4nvYl9zl+QG3096Sr0ZWivVBv2xTdiy+qIv
0dFlMtFb1YDk2XAQ7+/TpU3OJZP7S5VZKexW495xkQQFUPam3uPaAmlZ62IfiiJmL+cM8tni8njx
Kj/ZMzp3dhSFOBsW3uDVos4a0CtBqv4cVIWqPmYonvrIQhs+z2kmP+lJoh05lm11N4Rd8zpAjd1m
mNLsi5vPxXXnUJKyLZrYfnOEtF8VZ7XbDs4iAJ4xxsRB8xWIjBLk4B62kovxQ+tm69Jm8pMNstix
ZQVf5VTuWx91H07bgNkk4U1sP3ZyTSVS07zZqQes0A4Tn1KeiFH4lhra6rWJh/jZ1DnSOPA/rv+c
F59MA6Ug4ElunG+wbcCcNUthfvayJLNlEQe3o3Q/cSb/sCfImsOcPGW5Y58tx2XlJ8pF525DikGd
xGKPy3WOK24+UPU5ZLdpPbprRanlZ8SwsQufHIysJIdc5GHWPJ8Mt7C5nh/SZtCHzm/cCbBe0D93
wEu8berEzlOa5XZKJpOtPJlz/djOXfzIs7+clhHXEfFotvldRQ3afRqkcht2LjP/onMPjsWpAGbA
L+YG2Bv0ahUhDpd55y7DL/dWwh3CP+VAKoVRsEI0F1fYNyDzhntpJvw/9JAQQUv3jUrocC/Deu8K
1W3HbnzPB5OSjO4wBJJy89tw4yaeR7V12D8aK1qOseOk3zSvLazLicS4SyV2fUqt0FLAo2Sa7oVK
EGKQaqzvyIyDdclWiNZmYOj0YtyRAT7JWZtWr3bEc1wEoJ8jNtrbWK6Xs9rv8prdO5yeIOSAAa2R
uHgLveW7m0LUcfgtFOnrBJ5NwOutd9LV3VG6LeE5J8Z9SNmUvKPQWDxzwGWFzRh+HGYytJfIradf
ZdTMBzX7xRk+15Ke8OPLGy4NQXRpMu38yGrt7qijLL0dhwwMA8kSIoguOem8CVQMHS4Vg0/exYge
+QYjQMg71uPvd/Nsz4eZAYyBHvKDj6+67vICpzKsBXZ3xEoCbklS6N2YwDcVEC7JJHvlnSM4DO0j
AAf2BQBnpA7ciAU0IapjuVVxvVEQnGm0Z4brvHuAyWjX6WkU5LIh5GoZRmHiohSq+aWNOlsidrhh
dki7Kvkcm9Y7j8lgfwfDuOa+vPaUa5b5xcF1QxuzYq1h2rknYgkWxgvADhJdhupKZg60YOmo7l1a
TXS3zjCPym6TV2ww4L5jqrvyQ5QV6gGUYt1dmhrmyq4L1yK7iEQ7HO8J2RXKCZ6d0Yk513hQX+4C
HQDRi/s0/ExhdD+5XfyShGFL43WmcBlC6uDRXfwDhiRxpJ00uMwdBa8Bw8WznlJ9748MKXULFXbP
3lwU+zkdusc2oqjbbYGU7NIq7X5mfaL6A3WPfXvy+woEtp1QhNcv4x0JGtqpSqbZ0JGoE2KTJrT+
IXsjdgXvw28MU8sjISDSdUWqrkkvUM2jAYOVSWRuKMK9iv0QU13h1TAcmnI85VL97AYOPLmKYeM6
FemThFuS04hjlxWceEflvtEw98njhmW2RGkcVPpZjGl57iKoeEUa8HpnnJDJ9tzK0tKX0uv4hcZa
3wdsw4e0b+N3zhQlgMV0Vk8y/6AixtuTx/E46FfuLp09WFmy9s6g44g4614c2wDnIAsn5ZCde7TT
yv8ciBacItHKs6vz01IFGFfVkIOFm3R1yMrWfWpte77Cxyd+hK2srnC6mA+cLjhvohzjXdjPYjoV
eQ3+iUXS/FxQlQmO5naDS94LCHrTabdpHP727Wis5sPLQVvs4RN711B0mGxPnOlz9ItjRiPgSeMY
5jHR+b0J3PlW4Vaj04QS5mtDyAmAkOmXX3PWoY7SHIe/WZbB8+wpdT070JNVV0nuxBTtoqkL4Aky
+1VYU3tsERPXzeRbExJj2ixUx990ikW0V1mdbTVafXQs6zA+EQI5NgVAvqqn7c/GvYTrCXjbC8fd
hsgH+sV2+rpz4DTdNZ2X/w7cJMQHWS+P+CWX73YRq8eqJixGUXDWbRtHzt2mEoMN8J7lksnNkTa9
s6ES7ZiAq7uDIWfzB01kkR2vrjjsgM49uAN2qtjvveux4H46+LL5Zlpx5dszFmHh+d5jQXfdqSnb
6QGiFIMjkZQB9IT8W1O44lskSiCQQ9veYr6y9ygyzkF7mB+Lzuw0DMwtJxrvPmk8tff8NL1osLaN
Ow8nMKe32A0Njcm+vJo9x+YgFS4Y5KjopirJ44484hvp6GEc2YxB4AqOd0C4rlmosj0fmeCtsoCN
kdlqaDx2SUjjEHwm1ROOxxSG3bNSU3cwXY0foAkH7y6I/QBbfKbmG1NYZs+KC4XNrYrD3MPmXZZY
O1eTnel+zzQNM3LSfbeQWJ491fQWd5Wle1nGkNNenLtvzZSJI1Aawbu6iJOmAGTbVnG/9zsiapdm
An4vTGJ2o+d5nHOW3P8xVcUH9vt0O9Uk/GkNKn+Nsx8dWR/qR3wqhuNQZN0WLtAkGZk3Kl9xg9gl
sMn/x96ZbDeOZFv2V96qOXyhN2BQE4KtKEpUL/kES+6S0LcGwAB8fW0w4uXz8KqMrJznJCcZEl0k
Adi955x98riu6ExYIFz5eB9XubipIRDCwWIc6KAAMd6sQuUkR3Jc5YHSUwCsnXUmRawCyLczB7Jw
OruUxYG06BC7ZQ7EkcVJim18F49pd3DHmd3UVM3us2sWzpuTaQEoBp4kcJaOounq3cS8gTuSgy3B
AWf6MSe59UQKSP+Ckw2Aafadcz8nu9R15o5GagwLp3jAcMPvivewl342jmHKjWbJcc/Re/qKYV6c
M+mYe5ICzabVi266o/oTV/xEcNPrqBmfJokgNc5OZHIcFuRfqHvEgegxtNzpVoE72cH7E+d/CI3/
kRX+haxg0DvCLK8jTP5zaeEKZSGLKVv5VS7/5Sf/FBfEN3Y8cPMxn3nYzrx/SOae9c2ymBcoC0AA
/8URZzrfTE94/AACO9v+pbjiT2nBNL7hgzPpWRFIFdx1/y1pQRiLcvCr8kX4Cf0CXx6/jiaYpfb5
V+ULz1EKiGyad4VhswjNe5oLOfwbVryRvdPTEOuE7osktwMSvnWTblPLjOBAxCrUWEu88SUm6GZ4
ULryifY6nbPtmHlP3th3W0PF3T1IhnJVGuDkUwfMwqqe8mQf91V55B9UrDEuqb3ySeidJsdT47Vb
6e2xjqoyuXV6OAGAONgEL5O3iI+tEERV6eHK7xlk2UDNxTTBixazhTwIi97fVSLG4w7iF+2f6Dxu
LQ909p7KQ4fTwxCm90PvNPtm0gQxw7F8dcoKMGAfGv0Hfxw4KE+SdnUjq38UEhpTAJiBYKQqjHCn
nFqQsSGJUa1USYbQsSkV3rZWg9OFK5KZB/p9cpN0xpJ0ipsluCzqWb8ys9BablAjZSGpB4Nzn6L4
6Ht7TktghK2dCCjRihxmEpfa96oPfc5o+ZRcV2FFeofWOyZAjBlEIyqRHEdT6DPMjKkrAzgtLYNB
20oKnAfyQ0BB+7fczBTZTyhcn+asWV8xcSeNYoC6vuZIPp1GRT/sqnOYNVcwcNgLOfWY7Q3NVGdt
1oa71CKdsXigU243ccTxr1Haq2zsSVuHjSurnd1I96yZTggH0I7oGJjlQOaKBV7+WIEphMjV6R1b
3Nmtq0DmnvHl1hCGA4qv87dZdBYBH42+XIK3M3b5pKWIGNomcKZUoP6s+lDzj0ZS11ujLoe12crm
XE9afY6Htt1bXdXcxzyhGJ0ShzZ6fHlUFTvgPzOnqN+hp403+pBSPcHizAwqenWvtLYzN66dMVKM
8Nxl4g01tF2Asp3dVDRuG9M2htDyIqZwOpEWxxbnZPJ5rKvkBRG9Zjswe9x78cC+FmE3Pxigoc9l
5LJd68YBqoqvblPCshswhRg7yVOcevBiQC/4eop8lOvQUIsPoPPWvU0aNJL8k9QMv4ImZhxWPTnD
KmzDKwPi6N4s4IWUjIA7h9PHc8t2NSAB+oSeXTCHE30g74514kiElG8+u0NQQEpl9/7gWIck5i9V
ve6tmXDlsQlbNsFdMj3VEac7t+/HK6sDewGEbAjwLpJhcqeW1WaBcXyVmWF0NnCc31nmQHqF8txb
vuvWrjYXv0mMjvflkSa4I5lprtPeMR7mSM3PGruIfS68yd+qtBEAvznwPudxab7QEl4/Q2jpv/oY
250wnIOrvH5vZ/xu6NEJj2tKO84TUJi3hkq3u5LS8XflEzDlpCf8B7hO2PtiqigDLHCQphE2cnZv
5O03yprmdWS55rua025a1Zq0n/AeRLekm7N1q4aCnqZUwJy33O9prAFxL5wwwhgjBxahgoLuOjEO
CUG3DyFDnxNSowN064g43aaCqMjK19P6yyRM8rx8ER4tNKSvWChVr6Gr5U9zo4u7qRjPooJdu8K0
UbSY3AzF36k1wzrHEfVmWVFMUN0eSybgPA9vqDHpwZNY2X04JtFnwXkG5XAY4dX5Zc56m1vz3qJd
lqy1FVpfGadhZEHfasjuwt59hEFNrQobB2K3uRPdt0VUvrvwlD7NgQU3Uac6P8NeGswArBbOQMPD
K8wwbwBNpgaUtK+/RvAmxZKE48b0iKqAdEDbxUaESdnUO1QPm0Zi3cE9SCjJNdalAS4XWpnDoXWK
+7NHVwUBjoyLpGa0IJXZmfI+MvOGDAu116uBCfIhhW+3cV2rOZAacY+Wm4f3UW7bb6RqsqtSn8Pv
mpIPel2M12nUI7fU+Jvv/NbNin2lqHIZJIZfsrhRf4ClxGLQ0CbzwChlXbuZB7a9yeKE8BFBmcwZ
/RufukwibbPW80bk9nynXBmpvQnH6CHUk/wxHiLnu4k/fDMMVMAbOKfvrDJVyEy+e03MvLhKsr6I
iAjGNTrZ6N8WkN6Q8UbnikpyreUiG0oyaLqi47CTnattPeKCWJlorzhxKaAVs0y9i5o0Oprd4F5N
fli8j7Lx3zXacXYN1cILOtVqP4yuE4ROE/NxMBJvM9ul2HhN7IGta+ufURipd4I14Pkiy+mYRzSs
bat5gILnskokw9XlqING+QXppwXix2lj37Ot2LJi1CaGDAkmMRyr61Rl1raichLmLZuflVCUB3Tz
NB3ieMjuNGFrbtDqHh0WyZjxvPVY9t34NI7j/jQcjt+xGtS7RgR/xHhlhvcxPP0va3CK/tbI+hjy
t2fTXqwKUZ5CShO3ZZ9Md1CPU57srWzvykrQwSqJjK6MIhVQOiWPOjopGh5eg5vdSDlGWxEX1VVM
3Ixtu5WaH6JQdJNrJAD1gNAkJRnOpBas0qA/uSJPnnlmZ0kAh6Cjbtmvhu+loznHHCLkjpCA/+TH
tHoZosWY7lUpXQKZ2RP2ScKZqA4oq0cSlpaE7ibTI0F93T7G5WS9VLXujuvRaQ+JdN16hW2quhqk
ao6woc37UfdMvL3LwkbqZOO9CCW+mtV5LiVvCP6qcqWJrntx/Kbi6D/MLzp80l3esXORs5evUxJO
92Sh7GvRWsDBJle6L53Zxj0oJovjkBPZdOGmbe2ekjhObnIaK14q4mInDmyNvQubsidHi9vgmk5f
740SyhHDg/uq02q3o9FkXJuazdc5sue139b2UnWdHWK3wFfms+azaSOS4gmHYV9u6tyH2+Zg1Soj
XT0D/xCwrMy2ppXE8DcxlQH6KpvNER0/j69cqqYP06R5G9Rtd0cd7RYRhqiClqZJQKfp8H0yIfmT
N7DdILdE9uYt1DFYtZa3b0Pdu2E6js11Y+jDZ+hIfwNmJWg5GG30OiHabcn3Mqm9vWL9t+q7zDka
nfdo01O+U/7wYIihfmkhkewGu12Y6YPHHStFOl+qVwh8VHmUsy0adAbYpUyDROQ+USC5N4ZlJPfm
wrS46jVsDwGdrB11C5Zpv6IVTT9q4TFkT9zVqZTIfe7q6aWjar70VUEywUkQ5UIGfMwQ9EOM/ty2
a1xujat4E33krsnk8bkLU9MI8JJl53QquVJ9EBLratK0M3LcY65H4hwlNuWGlMloxFNRN3oSrmvM
MiM9tHqlEc8q9McuS619mk88eknubyM9tqlHGaxHRc87b/l2JmNXF9I5yULXrwtdQVNk6wSQBqeP
KOPiUBgUOJH0i87S62rgwcaNKBLjhp6vcNW0uroLEU2vszk3tpkGE5nSZJ6xtAKYsYPopcQawdbc
ItWlN8YI2C5qCpVtNFagxb5AGj61ZEPkqmWceXYGB9jH3MFZXJu0KLjHhgPicx+1rre2Rjt6brjX
8QSbnPsaASVdW+TcrK3RlDluO83zCbhSp/sEutK/IUIan9nf0KUEpn6yuImN85XXAkSUruHSD+NO
124uWCfb5eA+Y8Zx7rjZGewXGz1+4wLWtwgsJUdojRAk10z5IOYxOtWZ03JH7SokiLn2oPVq8ZdP
aqVbI8sJCHecNw/l0n6zyqkrIAApoAju66IztxbmGmb9vLZK7pqToa17bIDka3OTTc2sF3xKHd3q
AIWhTG8wMjtm0OK2edc0Wz5g1KHKpePMvq4hWdzOIu/fKuFi3kDQKk8A6qDjI1AFMmWRsZrsYan9
dvM3ia+h28SI68UtS2mdwHbTQIR2YhzdsHpDXKHGMBIu14l+WHv6CaiurPgq78PB9AkJ9Qw6gwjp
k8wEX9Wg6BtZXWm5DZKlLidsTBByX6SkVHbXubp39CelxiA1o+SpAhUy3RVVO/VbG1fXl2xt4Nk1
27NpG+rdko8UHjzDPOLLcdtZNiNHnldYdLzYmHno5T6UbW+655ohRmsVkLTpzOKswd0fJtOwb/ui
PJKtsV+4LTn3bsXjIElD/1gOU/cwThTbcJqaX9QcCTwLUE/JWVdpF7TxAqfmljS7/1mR/H/FCSzS
ePhk//l65PG9SPL/unn/6H/dj/z5Y/8wXloOB1vPZEXi05r4j92IcL/RTmv6HAJ1UGq/bkcM6xsd
4Lg1dQsEp3mpIPxzO+J9Y4/BdgRPvMCS62PX/DdKFn+PE+CXpOOW/3F4NVM3MXj+uhtpUSZ7d0T7
oI/7TPMn05DWfC9suFotUpTWZVe2HGmLkMjvv7xT/684gbX88l8XM4sPlWOIyXuCsYc/9K8vPmqG
nirBrtHItXkfdpjdtSX+1Y4S8CX3RGiLqQlPa4gx5ukJTRWG/rMEL0rkeozxrQFnxXM5z+PN4OCD
J7bvHMt2Hletk1hXTevDNm+lf7ISyRjaUiu2D/EJTugVuMTaWtwNvu5kp7qgl6Vx3UcrJoIsIpNf
KOaKmRn+/61dGWguvStPUVJwjExgT1YOhMfFPtCtHLTUG4E15tHAqMQ4VljgEafIpIZGao8Cbkng
kvG+5WgzrwSRk1OU6eUu0bTpKU2ICAAToNCXUPEqzt1+Z066c/Szwd8t8s5hXtZrwdhqSz0bEfNs
b4vGvBYOTxxqK5JeHTT0EYu5l135jghquIsSElEtAifm1XjyvtOnm1oc/2rznnQrSBdJKxEZY413
De7DfhpSeQ3TU9urrImLO7wuAwLnpL/BcqawXQd+NgX6XPKjpOzUq4oizr2ap4qH0pJ0NGjOZuBx
iQO2O3olcF2ElT0YNbkfWnrB0kb77va6T+rLHl30hBFgWS97YhhZyuLZTa2xw7U/jjd9DfG9b7Ps
OHhjscvJjO5MHAp9kDZedV3SFnqIoXfurSFWjxEAtJ0fKiztbT9vpfQ0yrP4uKWR6e8gIsDdlTW9
XT7lcbtMY6ZhxXPtg9neUipWnywt21WmcCiWQ2RbCcrr9gYnYugtng9hpuuN64k6tjooHKCgVIKE
9ZayST7+tqC+p6/tA6IDtDnNxBKHuWTNqVK+wFXwXpbEzImOUL7TkXP0jMZaMTVFPBqh5zewFk8W
i4jHgSMRo0XfrZEyJCI6+xOHQC7cpwb9iE9QPsIZBRLhoP08eJH0DTQHfN0A5H2eNGuslAa1JDJR
31Ovt+gIpPUDREavl0ttGcLgJjaUk23teQanZSmTVGaRJPONVwrrR2mHHTCachmPKLnaTYu5X1mh
+IS63z4IJf2nrpMmedwlHZAuOYGkL+xHK8PNvaZrvRE3dox3dwO/rmrX4eCEaimlpgXRd8DCK1xI
0WrMQGkfuixSP8CpJ0AHUtO8TlujNb57HpTcWThT4EMp4cA4u+kPObb5WZHtW+POyB9lYjp7ai4O
skycPdLA19xpkOjbkcxkaVlfEXC5Dx6J6X6KnOSE3To+ICmzBQ1rGoKixhpumJhxQDgJoNZ+NLon
V5n+z5QCiYNWufNac3ItKCXlpUEkC2ef6U3arCE4ytOMZL2ZrLJ9scKc3FGvjBu9mp13GrvKba+q
5MuEZrRRmH7vS1AND5XyjfcC6siZLUK/C+OQt3D05FPIgneXD/ACO4DYr3HqNM+gCqwn4fn2IZaK
LXI9AfRzssVU1feZ2tU0mxDxKlmvBZADjPZnjjgcHWOrjSRyb+6xB6qSCjQaP/naziGn8Cn+CkMq
z/f2pJNTNvCvzXvMDzPulCSlKM4lvzjFyCu+MxceCy7SvnCXybWCI55c3L0aEZwxHZJ3vmnjtCoh
VXFDEn6ir7WEuzHqPfHaOKvCdCtqduFQ4vsCMaoR/nVXT8XVbE2G3DZ2Blna00zvEDae8Z1p1T+D
thkOrJPCF2lhz1qn2qA02MLLiiEMWVkcBzggdOig+oGZ8dUxmhz13KdlJw6AgZJw3eDXuzPgl8mA
rf6wCXGtv7PGq2+6NpYmXasUPlEr8TYprTTXQP/DXTnk2kPZW/UnJreBubSKN0qwRqKTri+BH3Pa
ajBMFuUrX35wNMVMPDcA2OJbuyzsEJhZscOlb9TgqqBAOZNBTyaL3ZKqjbexHmC3EK8xtkWsl8uS
uuneNEjl9kZgV3ohWay/NgkuO72ZzZ9J35mBZc/+2u/mdovbitKJ0fU/JEH9Gx3fTLpjEUJy3nBn
HKP5HFa7KRpBzfGfJcwYzVwBuhdUkBGOJTxsc9GvKrtr9lPa8g8osjmLMB3MikW/keImibK00FYc
KOuaeybbr1VMF22+qzJ8W/gunL4ICH/M49a7MCcLtyLxCniEarEFSsmjh60iqXywbdUItjJbAJbZ
grLkI4OxtOAt7Swfr5sFeZlEcG1WmFW6K+zDZLHoYNE6CKFFeW4oQkaH53KoF5Am2QHnDOo9jjd+
IazbdBjcG4ORNyDTVl6DdVHcTef4WPgNY2dGV+MK4Tdl0QH/gfXlgvTUEHncNVEuMAD2oFiaKBOJ
d+5YQke6732kU8H3tp8Sf2Sf58uvFuva7XxhierdqG3lhTDqL7DRwh7stUf5xp2WVTurc8dzrAz/
Hg9o9Gx0UEurJYPO6hlmTh2baJsL3zReSKcyjuJbKRb8qbmQUPOFiTosdNT4Ako1IcXhEljcjKzc
LeqXMCycvDm+RoTdIJLzQGZI2dl6BYRVmPHjsHBZB0hV4ATsJrsxL9xWdNobG8MHqygSMfdjh4lp
sjv9GIe4JRb664Co1C88WEABRsCZbJssrFgOsD/xWTlrBUYWf6y+oqSVgTKteT1+0N0OIaUFXaVg
0GauGRR1HW/t2lIUwKeld8Ysjz3HlRiY19kFaFuhhhzx0kEf8LFxUg2fAb91OQh9FQsRFwcEcFxv
4eS6ZgoyF9MbU5Ia+AeRIaSaaWVmKEGJ7NtPMtkAUGwv6X72FyxKcUGkDC20FLFwU7ILQqWBqQdO
pVjQKvlAkwN1FEWoDmXi1otVeua0ll3AAzY9xnLq5j7AZwqZQEQOz8N6ARZ0C7pANTo0rwvPYDmq
uCv8Z3AOkENs+PkL/mBeQAg2PqFngw0yMP4hya4iz6KYtzM5fW3aBaVAx7AcN8aFsFBMvn9uZD3f
ZHrLnLegGNIFyqCbZkrwHFDDKBdmw3jhN2SeO9YHFuU2BDb80Hx43MDrYEGJ0mTtZO2nf2FB4PKD
C2EpEBEQMRdahBwpxSmnFIqEPlbtda/5sdxQJ1ZdxwtwgjGVl4kuHAo+F5gUZNnhU8BO4SaWDMqR
1+2FYYEsAc+ijTRWiKC8hnljR9qEgQv6Q7lOLyyMGve5u0ovjIyMA7GzdSbQGcOFooH/HeBwOrC0
vPLdZvC24I84dDCQX/WDyD2OPfrICdhleWBMNrAJ+Kasl5iKHusZqgeIffeFizodrgy7tY7Fwv+Y
LyiQYaGCTHU4MDC7CJE4nVWDJDkCYFl7id9yZMWFdMRAr72T0U9GAgKzKFdC5xi1oZ8BKInJ5DBs
O93Fm8dnArgkho3xkudD+txOWKoIRC6QE4earENetdSNtI32qRtpeJVdoCg6T5XDhNTooFlBTbHU
AlDBtdu98GnXJxB4GJfoH+sOEKQZQWRuHmcbiKDvhN11UaXgWZwLqoU/nSIZQdZtdO3xpmaVFK9F
DBgQQVVSEsRq2nnsdLPB8vz385jxOzmGKdPXDZcoMpOqYdu/JUSx2RONSGxg/YaeH6ou+lEm5UNj
1K+WXzyYTsmDVcQ+injyXRI6u/v711/i43+ZBnl5YMSezekOiVf/LV6ehdIsMkpNNvgO2aXOdXnN
m58f//5VLhPt7y/jm8vEqfM6jv/b0DnJGffZbPebAe7fuh9wGgVCszRvb8czqn821AWoXh+/Y8nj
yVybOIBhvA25ejXGyTlQ2ETRAkuw+wyM9Wl5ywLX1s0bTdXTq2kyKCT49miM57nYnTHEVuH28kf8
x7LyLywrJoR0MAH/fB9z+5HI+P3XXcyfP/IPnwroBOwoRExJfxA4/e8QrGd8W4AP9vLVu1hYWJT8
iXYgBOuAfCDpKnTb0I1fnCqG+LYQ4V1+xsDHgsXl39nFiCVO+5dLAHqoZ3gWYSvWe7r7O2A+GdzG
sysWCzUnBHbihcNxvx01nTI4Bo9WSAT22gg5EzmsP8y8CK8NF29bSNTnCEzT2MBfL4CAkxOqMa2Q
dDfNTvT0vinR7sySY8VoJLFgG9+Nm6jrPAOKkGqvAA42r3Pi5OvexFVICQbbXTS/fV8McHRlH++b
JipvE1vY3aqJusHn1GBzzywIPhHsm2wsm6bd4kszvdw+JmMS4tUGvb0Je0s7qbSlWwzfGt1bBbXq
nxz42gIrpuH/4E4N41FX3qly0uSq6lEJl+MqsXPHwpqD4MRDVI85Mmag5umGT9oBHLrVo2mnZfrM
yPqmZj05Ya54DGk2D5yoGA54gNt3cNfx0TbhwoRttzBf7fykJ6m5GweEcV0w8mL+jw8D0gTHRP0A
pCHf4s2ZNz5v3YYaXGq6G+waLJTVfYtxEdKQd/IwnR6RlunjldkHLszFg0vQKPSc9FAarLUcMUzf
x7lyKamdCarMOpzHIEF1yLmbW9YVfUEApPFnz/RC9sBn2VM73lFjO1BzHtKI49G+veTwR5ViZI6F
92REs352Jzlifchzn5xFYkKLSKPmFpIE1EgPVOE7BiE6fxRk96MbMcGvlrr628orFqty4yHSFC0q
15FJJWcvxABno9nZPUpeHflnOQCWD9xOUCJZcga94uiaBmENSghIj9ckwJVYHmxdW6JxqCy9gRBk
3iRQlb7T/2miDGL+IFFSLX/SkN839Ac81Z10Nmi54zXtcsNtZ4icjxJsEIGY0cMBbap2ePCMKoa5
m1jmC1xAujhrg4BGrVrjznd899Zlc1GsnTasqEMT+b7geLm4P4bphedi9AOoU3onse1vLC2O6JFL
pim6VvxJw5boX8VsnLeUQ7luch+DSNpD+dH3bhaNWxY8RR6EGWvCphbVCdpyR+r4gSGT4UQNW6HF
z5VqxoDD7HDTd7zHhhTp2yiIRDhVOzDCcAzxiLfA3kXmm+gn6scZYlZundiB8ZZpbRW0FPsBjWf9
v8PJ03FV0y23U22bqBWKEVyPujVb7Jw+GlCgkZJY20C+PkUavnVWDjC2scqTavzxENUKS3w6i4Yl
bWEDDxurq5KYNidz0whvU4SMdlUu2AawvQT1TGVgw2r1RNyVSS6fDRpouoAuSXFiq9S+cnYssbe3
NZOs8Cr3SPFrP0L4NGV/KJuIDnZ9sLzpu63zIT1Ij0Yrib/sA2UDB3dgsEet4UUMk9+uDBhgxgtl
peN4iFMMIkD0B6oMK8vO9J+WG4b+Nesc3OIO2jwfBWPYSvXCQ7vV+PXEX4bpCRSYsXb6rngxzBFZ
N64SvBY6m0PCC05PPKHnNk2UytKzjXD6/IW9qdr1fqtBr7Pd577x1bVhdZKHtF4+5S32KfJzLpZ9
eoD0DyFSscPUlp9aECvbgeKB7dClQFLJj1u3FQ/+HyVx67e8HfNAtJ2zH7mKuMPW0dZjlH5UiUnC
PtdnAq5BjsnqIxq66m623fAz1eS0z0Q/f7T4z3E+6/xiYkMGbccW2+HdGFmOfEwIuXlobNJjPxhX
3ng/SWxFG4E5wN2Khv/0EKWWsaaTO1SbJCVhtQ9NMCbroldFfioJsZiHAsRlsXHMRPUrI4vmx5TJ
viB9Y3dEem1qzde0J6LHc6KLhsCTfnYanUrj8RJZ25pSACxuPfIhuR82DH41B7pf8VHm0W0ui/y6
9RiaNXscR0JLbLRJq3C9Kllf9W4601mCxW83jWPBmrtVT07SRGzufVYSs23W3/uWPydgvUsBvFRj
TVy3b6xjpGmwkhtRsIBHVhTpPovQHoMwKaafut2k02rIJv9H3GjG0hywWB/riw1yulgi3Ys9Ur9Y
JW241RPORIZdeTFTFhdjZXgxWWIHw2HAGhLzpVh8mKqIVXVIZ/a4qjZtdcoXu6a1GDcNqRVHYuBA
WkIALyj8I0JgxW1SX2yfYsQAKvNWf2+6+d4mArrw+cL+QR8zTKNIgKSToeiLgS6pgboLYoTue3tx
mmb16L602Bl8KqJqQLwZYRISdRf5Tl6kPAoVukCf1PTJnKU/OUanHjo/YplZLVIgspJ/bLiGV6Nm
2vcGpsUXTVIfxQ3bvqImB9xy2kZrpabT7OeoEL1Lrs9zsuvZn6/MixQpjZzk/UWg7C9ipTnjB71J
4kJqKKN0F66ai7gpW6acnZ3b1hcHJ+TP+iKFWujxT05sDctvRyulstSNdglq/lM6kijcCt3tavI8
JGc2Lbi/WwD7CLDaosVivCj2BiGuasWo31h7hwLIMAgvIq57EXQL4JTOWmZyXnD/F9F3HCgU8waZ
vxFj1G/bi0BM6zZtue2iHVcOpse1vijKzaIt94vKDG98tgL6deSDXFRokCcI0s5FnKa+jhvNRbKO
L/I1iQ9qQCHVXYWxpss9EjoCcBb38lPmSM5rWjAiAHBsasW+wp1K8WtviThYZkwZxHrMDRsRWZNB
2hXqJEa9noOKVCphY8eoPyC+OFkgyqG6Iq9NR6Ktmp/IZfke7UP87IHdYysbQ6Icnak5C7e7mDd1
xYpzRSI+esPNR4EO9IMXLUGbX+mTTE+DUT15qqHxL5dJZGxoaXKO8IrTTVoMab+mvvxDp6iLR1nY
vs7USR/aZslKD73b34wZaV0gvAWbPzofuKeQaVnlxCmnbUm59hk3PsoaDUsa2Q8rBfqdNk3/lvQZ
NgL2aYYBE9RUrxMeqRxZx0ijjebZ0VGzveipZyf52ecQo+AwqrzaVP2ygkrmkq3PUgm5Zi9HlDMy
e4riG4l1Bu+w66+pLV1i4n34TP6sXDVWTBDH7cxV3eQgpwsYhfTM7jiQsqnPFhNGSlstEQiKDPQZ
fkw20iZteYubuSDYo0tCsGuEPPmiEj9jodGNAc997icZ38plhxPuuyivrytABo+QkuFRdFRfWoY9
vvmNm+eBbPXmR0QKO8HhEls/x6ICusJ8nFXzG6m7zwHYwUqDTAJu0hxg+C94kpWNiZBgOht3XEMF
u+MsiecdBg9zIYK1+isbzlF/WdgJFM+MlnO2BjYPcyLTdmO1ed7so66G+o+XHCkGN2T2o46cEcMF
N4g1zmx2jyRXtYEQtl/vWx4XAWLLfKB7rr6v/EQ9hx3KG1koUxEl45RJefpiqo01bGBpPO01WXjo
p8SPixUdtOrRY7dGeqrhH42VqfghDA4JJt4mWiiHTPukfqng1Gm6/O7Ra++4A+l4NHWrJi6cVfKs
18q/tnXAGWtTWP45S8v2gUWEk+3QJ0FdIBg0310qNOgRqtPSWHNAm948b6x/QgDh6iBx1/hHLjwO
hkkZV+++28tHxxgsyhcs81yMhnzyLI9GHKvuifyxTJt4ziIUBIgH/o6GrXHPt0fFyzK+/7C7yU/2
1Zz4R0JjS+M2shFlL60CyqUj8AzrVBIHQjGP93lekIzUpIhekR5dOoUUbLmcAls6tiuLLiWObMa7
78n+ynBVdFI0IeSrCT1r5Q1dxHmgmCkwyGltZU9HzmUFIUVeT6HbzniaJ7LIM3FHfxeXdvHJTQJE
PFyVU+7pqbWexqbc8J7RFT14yRgMnREvZYJlGCJqVRh+0uHIxWoHCR6vYKgt48qgeWjlWZm9ip1e
bbirUnckNNOg0JeKAiSE1ELdmqfoKY1y/yOiTIwPHaX1x9g76XVbI9tTYob+ig21NX5YPX3IBMOi
INEy8l8TcyPJ93pTmeOR0neckjOhVSie+a2VzuUZL09qBoNG3hR2KDcWuiAOCi9k4HCTfPdz0G6V
1zvfgfLOP8a8KXJoY0sZBHW4P2qzKtfzmEcPPRWLr3QL6tSbRsx/gmfIzUCDltqZoJ26APsEhCYu
LN1kiUexQ5e07dHkstiMhaI0XkfT9shPlOUDdACcWRQeTXe+MDy4TrU1rHvhi+MUEeoM+rHLn2Vs
xftx5nCxbt18XhJfMv5A6uewWAGkbxxR7MhKzzDoijI+RqCpzq4RxoecD+DRd4b8gftFcx1Z/Bmc
jAxwQRnScqfw/kzzNDwiv13RiMlERURApNxtR9+OHppqfvpl/XH+Y6/1a2ndss36ddtFUBc8iSNI
zum+cN3fKISexRvLSnbeZa2R3tWKvBaF8MaajiVxRc0GRJpyjNd//6ILmfGvLyp0OF4IlfCxTcP6
jVFpQnCfQ5GNO0Wg4pqxoDvDZarWlg5tqp7ZoDKSuQcU1ubz71/5/476cJzgqK+TrV+iRcuK8xfI
Xe04SkDSm0Hno01AXLHxpleudmwnC3Zf7odL0on90n9Wcf9iFcciTBeYEH/5fNa0Sv7XH76qm/fi
83//r0ecx/1fmXT/82N/bOR8k3zYIon/sY+7eKD+gK36xjcDU5JJmoz/n6uRb9l/b+Rs+ilxZvHd
9ljl4WD6n+yY+Y0Qtg7k0MLewInp36qatH/fyHk6cTEbk9VCQADsqi8bu1+/UGWGSQf65J5UwBT0
GccOTXn7YuB2Zfjjq+f6S/VxnAN1zHAvVN3naJov6RKbEbl+j8zdbJxGfXQLaSrrih6khkt1imag
RGKIfsgowj4Kysi4HSKcz4Ox1Kakdy466FqxWtuXUqOkJqpvRJ2BR0omLAiV88oDvtm6/XRf2fpn
Qe5hCfTiO+S0WP4f9s6jN3YkzaL/ZfZs0EUEuZhNeqPMVEopuyFk6b3nr5/DNw109WDsfjaFQlXp
SZUiIz5z77luZJPArX3bvnVmXGBiTEfWFeQlK338FruG949GwPL4rn73HtYg3Zi2VUnEKK9Bx76g
ir/3WU6tEFxoa70ciR63ouyuAAR5bCJ7OhRawWArIxCbPsyGfacn47Pn+jc9jD/6oHqN9QbpYkd4
wYnRkgCANxD+mzMyDNqxRWBttw9I5DmaYvuukMawN2NQyxPm7ZVfutqsvg8blxAddiuLSBjtr9G6
53r05dqoLLZvjN3RIQckOdfxdqxFusQtnJ1URPKvNtTep1X6GhgnEs6RAaCxlCUGqZ7sWY7D4sCO
XX42cnyvBiACVoozu+gBUxHgxN9lVvHZSlc7eZKhoNsXZLs3fbTCeGKfJmpeTv/8J6Ip22pkpF8q
fB6b3gd41UZgrAA1YFpQyl7HAeEavVtWhzIdzAennr65v1CKx0N56ZM2frXy8dV2CC3r45FJoBux
f2UTzmK3peinWp1GLWYzkfwSiR3vVO6+uw1OH8kOGQFvQrZVbyjGtKl+4OKdSX9xsoM9HhxDlUD3
kjeUu9HB0dF8wVYPb7VX1atYmfG6LmOfyZSfPPQNKb+ALsBuoXEgsziol01hPykr8tiFauLURuUL
z6v7M+hZs2aamZ4nE7FP2jCN7or6Rud2C0A0yZzCgb37czTZ8aojGXtbzyGNg2a/Jdmg76KmfjBE
MazjBq091Ui9IS24edZ9pg9COg9Mj27TEN1nlsYzy/u+7EjsWtQd84GFS67bdhhq3ztFlllW23Rq
7H3mhQiKcG0W9zar07UhNG0VkG1wYTaZrHPb7/eovouN5Bm8+E3dHTx4Qjt/vpuTIOA4c+vt1BSn
Vo+gxjgJ20YGW9FDHdnOFu3cCMqwfjb8enhM3dQ/9GToohVj19PY8gk1o7mNwy59TkCRE0DndOue
IEw6kIioTbfVvLcqL+YuwSzvwqb2DxOBpCXZgcpG9S8qc9V61U9eVHjB8wzz+IAAHAT9cPVR2wBU
sOP10LfU9LUkS9SxLjrLspXjCShIbh9eeyMhG6dw2oseTSnkRTl9UerukGWUJASofEdJyVyvmIyr
F8MKJHQA6AdMIGont8AI7qllR47gKm56lmGycGDSBCJLIJQAvIF0JmdeTfsC6VE+tX6rdqUzsi1F
v7PUdBVtRKdjcrRVsI9UOR5LJcInNyyohvKSLT+TcPMhoTU+4y3Akusm0YvEMacHVbMhJG/h1362
K+rhvmg686crjO4hxIqK0KiumTV1EiDGkKOAp2NRbl18hlS4Px3Q+Ivizj+4o+x37DWSpU1yEXF+
SbwxJv/FwRly1irn6GkpzCI2+rSsS5cUxWU6kh1LVUo8uGfy5oZWtErnsVrRBepoJ4A4+snDUQo7
/hLQ6C5zvb0DuNFtCSKAdYZiaGHmaXVuyrFdBiP2Q8ae5prUOT5OHJtP4CJjws3G6cELputA9O3K
dOh08rEP90XUXrmHQKvlXrkRuvA/CW2cdshibz6G3/VEgg3ykqy5IKgQK8eZwpWVOVB9zPCORKeY
+bqdX0Wkz4NziJuVgaVCKGXiSXS81UiomOLZdcESCa1dNehFV17opFu9iqs7UAFAQNISGUCK0LVT
FqdwKH6I5ctWrkyMJTjVK27HrxDl+tKLZjagSzHOWMNax13UQ9auoeG1MyjIi8E0Zd6zbufcivPP
YDLoBiTau8u8cc0XMj4EODBTrpnJuGS+Bma0NDvEP4vYQhiosVtgop311c0snF/BZCPtW05fY+f0
wczucy4MoCF8drGFUsxhK2P2QQtHIMY5oUXM5YziRKUYPQMCkuvSFIAgpuCZqPit0PpkJbkTsqXU
3LcJ8camdItvnHuEhdTJrSvRH0Fw61dZop8h8pzQGI0M4WX0VCMd2rca8aHV/JtmNOJtLHYlLF04
eho3+87M6bNV+XunTI8PlYDBdUJ3zRCXYYqIs/Aw4DYNgxJ9D9mdmNtIUzSktRy9joYEwOEKGp29
qKYMvlSkrF3dxRUqVzwFU+2jpmwalK+g3nSNU0imMQMSby0b8Tlm5q63xTcCFwgujZEtQ0v8f7n7
v3IC/L1upd/4r5fPp3DKq4/0r9vnf3zZ38tddP0W7O05Ov2vtS6RA+hZLBT9HNqmPivl/1Hr2hbX
yGwFQLAAwuAftS6cBOpS4aI6Mvha+X9yAsyBB3/t2hzBWlx3cQ2TaUTl/Uce8pdSlxEKSatc/7us
Yx7Lo1pse1GmhHyxyEJEv8dG9haxCsGH1P6YkJlOvkB49JeP7D9pWJma/yc/hwktiaPBBvL5H7tH
y/U1MHoeCOiYsrRRxsa24g1bCNneBWxywRrIey8Nz20I9X4U+PvNuRAIBvbSlXVrUSLX5o7iYwrP
lp4dLYSgsHvBzXgoPnqpjoWBeoZKb2GL5jq249aYJSeigCimt099Hd2hMAXqljE4re+HeLj0sXcw
mS1xo7LbTF/s1L9oUQGGVcS3NrSqNeF4HzaIFwbPrVzNVXYBHrEquLBZVZMDOdqLPHytiWAjvGQT
e+Mu8q17sH7zVgZ3BR9sbVnNayDxnfrgZjb4EBYA/+6w3ELOYfYymqdcyzeytBgFvWjx9AAO6xE5
5qH2hx3AuUMWECWOylNX5eMwiDcHkyx64/js2lwLto9EabBzh+1G+OLm6Rnq8UEO4icPQkqDd63W
n5TPtycwoRLVg/SMrQnQyxg0ehFGjhxl/lK65nJsCXIak0+2u99hacldO7GZAhH8C+HH29fCBCs4
EQBNDVuuBjUdG6M/aZxtK+XDcOnxcVtgp4h+2lf6Q50Rnq5bcjXZ/WOJUQ+dxoYOPuLTcmOSHsc1
IcaMxkCrWU+pgzxc19DU1o9lNvx2qbMfav1t4uAcqU8x7BbwIcLNCCrHLC2xSQd/lXrwDJX7xOO1
iMWG1s8mnVQRdtB061HvzvQ7r6jEj520HiqFd2RQ7RPQZoK6v/M0Pdd6d2xRXuJp81f5MJF22nCz
VSbGWi9ZuUPzHlkkq9sNMQFD8qp4NMtAPoX4Eheenn3ns4qA8fgqr1nnm7q2TqPmS5+zqjzdwwc7
HhqZrRWsaUFQcJQaNzt9UVU1XUjai1+6KT3WsX31hq7bOniBF5WkqLVNuYI9fFSZu5JltkN0/Cpb
74c0qNM4XQrxVNvpxC52NpAU+hVFCFdTP+2BLL3YRtbPXGGEFME9Y5u7biAxU4oNYIWLPV4rZ75K
MS9XAUGh9pjfcfXv2tbwccQE9w1L07UfNTvLZmXYNCw+wgz0sxPcd77BbjeF84ta38qWAisxx8E9
VTpwVW94KSYcH7H8hNSxjvqMnYFmVKeSJTRvDpFkobTW49Cwrgw/ReJsyvgegc4SzcI1TVnO5faG
heszzu1dx8YBgHm/4D5nJeItbS3Z8miolR6Y6d7KW3vRGYRPeeiI89Y4BCY0YXN6CjtTrMpWvdEk
ER8SAskjmQOfJWZPAh3NemuawzKbHHXsMiIhy+BLdjZWqWh+ncyLqyN7KRtxQQe/H2L3PYvLfdiK
7zw29lFJ0saM1WP+nG6Yo+/EHHaUlFq0yRWxgEYVPeCprQEd6xcfRh3pZvcVCROEMPHJ4yH2dW1P
ktQpDbN+JT0LJUTVsd1A76xJcY8M4spyE08BINzQybZdQJ5zKAJjwUnzySpsxSbkOWVlKvkHKzOi
DAX1wVQZdW5QPYEGv3hZ89aOaTHTwIMlDuDnqR8fVY+nZnBPg2qObM8WXVrddOwzk1W+NQkgAVyg
FKx3+siebYxf4pGxaFPw/wFKedSgAHaIjlVoPoy29uA6fDypUYLpJ5ejhZrQxjhsSztnIKuqaKec
ft/rzs40re1UFb9WzJC1jT4cwA1sCLx9hqj6xDYG4m5JmqVROj+mqZ6HOYsXDeu67MdNadHEBHZS
r1Nr3iYY2c6Z3A+zBSCCW5znD4ZdIgPCsiMNq4R1N9RjveYNOxON8VK62eeoVLm2qaGWelp/RDHW
X97DORb1rXO9+0xzbkyA7vSuoffVu0VNsv22ruKTmfv7ybd/GDmQ+1X5ycoI67uJj5V15inu+k0V
SziLeT+RRAqBFyOss8Q4ITAHeXh+8DsNBB4bONJbW7uHtwnUEUoLUFztRFgR9ZwfftNBbuspeWC4
UvMx+9cacnapeB4qtLQqXldSnVoXVOxkH3oiypPqIBF4xIpWjohVVoXeQYq31oqfvLReh021jRnH
qD5bljmHkI5csQm8LUzEVZG/I7o6p6566SpjPyTuqkHb1dfNru+KDTnxKwMZ0tJx5F4PsW3T6S5i
9Vh6/aps7N0Ynsu8eRlT7Ah9snN50p3EeGUNeDF7SEUT0zPlbsPGi1ei9nZkEk+kPlQ36TWAqdo/
VOP4IKsXBwuKIORV0ntkLoVu0t4Z6m6YWMbaabjQsupKtX0aB04uVusLF9kDLY+6F0PwU4xHv1Nr
AmQvwYD+fDrrQm6iaFpUuvXbeHm5ttpohTzoSP0GYzD8xVjzHfj2xZLN2ZLVbkZxs4vHHRIwkKjc
V2eOL2x/G2EQSsbRmWbLWlRnUQ68hPkrr8hzOYqDSt7pS96iLiMyO2KTHd21entREeHZueB48YKT
4NACDnut8CGrHgccxvyxYAUt0vfUn1N7NPvTVSw+WnOXD+NJYUREWGAtI9eAS10ve6P9wF+Ejchd
J2LasXz9mqrsE2raMdBOTuEtsoE2RZBMJ4MCaiE75QTFSuQs+vDRTA8WhwIgO3D1RTut4Lks7WYe
Vqbb3jpNkQNoMLnobvjTMdawEj8E3sj9mTdbWBFIvMpFEOun3FceY3a6fTu+EphBjJ58QEK4DHzy
BNLmLThlRP7UTxFzIavUNkUdnYuo3hkY3+juw2cVKkHfZK5xb2MguVfTKmvVNhn6XZ7W37Y7HIMw
Rn7DB1iZd3aK8EfiJHDBrfik1NlDtJJKPldD9emWrbduwOsvCAV8FiX7eNKYpuUQpU/YJOwrIX/G
UkJ/Z1xHwqHM83ALk3fZaxXAk2TJvDdfZLa4LwL55kfjl+m1L3WXbLWxhi1gV89VXEBrQYGo4IfC
0ZJmt2VYs5TTrWNY3HLwxp6ztET6UBYZu+96OxpirTogjf6p64W77NGzuy6POjntbv+bEBbQhtem
dA996t7DMULDdYDRSc4fSb4PwxRs8noTyOxSejkp1mY1rAjX5v4I15rePrRcRasxZ8Labydih5T5
4vf6Q9jqnAcOLpxbHMbbxhK7NrTvp9jZEFJ4h2702hn3jNfW2KjQH7xriDCHkuVV3gqyyT/7vtnh
oLkjFoJ1aDkcBrdmC1jKXzd7Dng3x5yRGAavqELj7tJIMKAOAV8bDI8T58ZqdOPYzUeI1ZJtVbuC
FwC4jPqh1dRL3Fj5Yiyfyzn5u2QWYh5d5A8h6g4uWshHBFeUqXw00lsn1j56U0xxdVy6YLUkS9s0
ffJ1ph4Z2SUHvJ53rPXm0rKeDsrLsPg6Mv3SBPEIGbz2PZa4ihqycptX0cf5MwIe8MbMkjCENONv
xgTpnjmsc6piq/vuoEKvbQIGtkKAboUZ5HVLr3WWpiOGdS6E/oUMN7g6ViqPeukLeOSxTHeuWcTP
pLw768RI8Qp1Fp8kHuf3lGp4h1nFU4tIE8a6AQZ3iAiWY3xEUjq6MHhyQxLuDTX6O1Ux4udbOl8q
maZP4lr0XYrFb+vpkfGYywp4hPKbi8Po6aBnUXrUNVU90u9RH1OYkdTNDvNaprF1I7JsWDKw5m6J
gn6vG3VxzDvbZ6wB2FNVPnfcpGGUGA2HADENPEvaJe62zYvyxDDUJxGyAl4q3GmvuUV9MjPlHZKq
rQ9uqzo0DRqt11ChMFJ4gE6NrZAYm+Mpd8yOembUo8fcadSzXunjV0FM2zFqpLfxEUhcbNSyb4PF
1DMCTUPujMX74xDK8elEsn0FIST6BaVxBOmqETcAJsGDa+njFbtkcTb6Sjx0NoitKncDZFDPHWBc
AmuqrTs1w4OXG/aTZttjt8jC0XxjE91vBvCiK5td87XqVHvuw0ndjVyY74EI1S7NWwc4/wCDn4nM
fZuwy0SHVV+S1oiYJo+YpITbLlx/Bt2z0N6whfG3PnX9go0xcbEdNAbLM5kZ2lG6dQO/2KZzg50x
6h/ZRXs4oJPemI2L4gVBM4BZjqf3CIbIuSBpYscQyDhq0zRypmDJTJPwPgcgHWCHDgPG4oz/L6Y5
cpMW6dg91jyZI0Dweky3eW5kq7acvkQSMUbv65bME69jTC+fHBIxZRm/yTDZ2SLdB7kJwq5lbNqE
O00OxzIkybKASSMUY1Td8ZGgkpcGgYRYtlcoXyimScpAKfgtgbhbxFrYmGog7y47P9402ZxUAkOG
GD4xoNUDgX52fFvfZl71Mpj5zczsfag758RuV1hklkFk8RO32w47m149G0bjrkGbvcI5Zqjth1SU
qbx1dvfkacalGDEmkXu/AP52RzTr3nfGixP63b4wSptgOBNpcNbFK8A9l9FBAm/ayTKPsrVbBqcy
7GuSwSnK6zBctKa96Zg/s2kzV8W6bl8AYKHtqAEAOYvQdTZw/36LrP4ftvPIlf5p2OHYUqDS0wW9
JjsMAwYD//4vQxfpRFRMgom1TF5o88PjNLTDZUCHuIAeOB50mZXnIfen66wOfOhDKW5GRJpvBZyw
X9Qy616dGN4b8tD5qpnfGlQO7lnMb1Iwv1Nw5rxNOb9nxp83bn738smPsXdnDFBwLZ7a+R1F6luc
MKNPB2gM9bP352VGmVof2iQmMMnjXR/nt96Z3//KzbHEsjJjOlq7277tZ/Kj7zn7yCNMPTMq795E
Yrcp5rPFmE+ZaT5vfI+TR4fLBd6lt264vTmXjJr63A+C5lGP8vpRz+v0yFa4OiAWICNnohuDR2c8
mp7gzJtPP3QZ06eYT0TNz40fcz4lq7EJ9xB0MX+WwRqJPocp7h7QLqHPLP7PYduiRtiNsRO8ZwV1
RqGP7oONdW0dwKF67qyAhqHvOb71oIfbM/bB1XZz48tzSSZLS3dpFUy75Z9LIG9jYrfmm4FMju7b
m2+LfL43otAdf/X5LiHWilCY+X4x5ptG+3Pp8NvM9wRtuOtyvpOc+Xaq53vKU0mwJ1kF4Rl3WDDf
ZgbXGk5vgHjOxN6QIeFxZqqSIonc+LmvUv3VGVusvNh2zZdRKIZaaWuOb707EGA4Wk60KXwGUDHP
5hqJZI6dkwIOh+K8G8jOgIyzcwBja81+K8BwxpOHaASFD8FYUgtm6g9paR92Ktp8l6Ooo7nJG2NT
k4BdrcLmz3e02FcsVerA5hw8Tc24sSwIAJ7lyX2eRZK4FtM8pizroi0gRPpV4LRUCmmDIXqhIFV+
Wnpx7SwUGqsCDnm5CTzEyBXdwrIttZiBV0oWWDRvC/V5b9iVUDHpNnc9K8Vq3i2285YxnPeNE4/v
mCCFw1W7hgh0g8V3S+YdpYYLZTXNe0tk4IhIadh/aGJeNEcXJ6t13XXNwrObN58dAQ5rfd6GYuJ2
loiYkwenl9odGqx4zUUP4VKPw5uad6py3q4GrFlDI7phjwiOUenGu2zexbYsZX3LIOGkC4ZgI4eO
omfe3nbAGUNDZ1ZihL/wxGJyL6aAqpitr2mMd9W8B+5T/nNELcEyUt2raA3E/UK3NpkcoMhVubkt
UcutjA6cEcLWrRPkxLxkPRFOeik2DFMZq+gk3rf6lboQ+4ZE/0f18VTkw3NuktDcawXtmJMEW7tt
O6QGbYxPVBUkwcSwjdAKFOteM4ytFcli4yhiRh27qzedybuGaMHGPQq+QvPZMflD/d4jdSaDPA5f
EXe+C/IuFqkoqi2ozIaFn1VtvSkhBrwKQc+lhGxXRh0umgKp5uixg9cL5otNJBCv+W5KaVHotPP3
mO0JCgBJMe8ro0XgoH3LPVxM7kjX6s39QO12N75O7NHTJ1y7pmU/keyUHfMGnJxZuMCruHZPuae+
jaJOb7EJM9sZOFA0tLF0Mb+RJW9BKg1MuAg2TM23z0UOEx5nA7JaN/iugTItkqjmai/rdEVVgPFg
DD/H0XztkzddRKfG0XkizBBdoLqfDPhaY5z9ynp6GI1cUgq3APIS4u3hpyhzTdPhn+vK7FZk0LAH
1mfKfcYCM8/t6rEzTP2JTLia7tX4GnLdQk8SPakq2RkVB5eGspXOuKig+RrBHXrJ46h6eJkW79dQ
cUlgDQ9XDKTPnSewpbOdKlkId/k+MMF1o2SeXiNnbjJ9a9xMQ0xC7EDUyIR2uZveyaBC+urawRLd
tra0wXNfFMzyD8Si1t5H43oMejfaJ41dX7wcxyNxiNm98LTh0+P8ORpmqUhRoqLq5tqqnKsskALJ
tf9Tec01mKmBciBSCeTun+qME9d+cuaSbc4b2LZ84n+2DP+v2vqfVFsSeyF4/f/WRHn7ST4y/yP7
+KdN1j++8u9eSuNvf5I/WUHx5/37zurflVtK/Y2bHWuY6bL/IhkXI/Hft1mG+zeQC1xQvIQzkdth
oVbnbRP8678Y4m9I7l1Eew7ae8Yv/6dtFn/iP1VWip9KWIaE+mlg6LRs8z8oH8MYErAV0XLWevMg
yZXapc2A+geoxcbV0v4nQm7FDNV1dyiGx6UaEo60QFo7rPbUG1SK+rpDYYQG3ujFtSakCiGBl+0b
LjtATfFwVp4vTxaRA3uUUkgoEGJ8V+x9N1MyRIo/smg+69DT61M0W0sX1YyolORNPTcUk6cyrxDP
tGZDbFsFvfiohsnZh/TZwCx94RL7GOmIqP2+WraMBDsA+P2XR2QTHnHnCJOje4Xhj+ksL0y0EYYM
pwVZA/aukk64KfFQE0hY2dWe4Ur0hD0IqnJG3Tixkh8oIhhAahlqMT+9xINt50vidAqUwpqL1sdz
wmw7sKd7yiq9e2MLOZENocJmX7iRd9ObcEjYYcTxuAhLGZxHzD45evIBy0gTWOEF9Vf3XGUijNe4
PvXjAD5q0fXj2RiNbhcadf+V07a/A1Zl+1YndX1p4kELVqwC6GESQzx7em/dNZal3YJY6a9anrEo
Q7Hd7cey668d0TDryvL9b2fE4bP0WWXxgydUDjE/exugJcod4kHwtN7pRE9CNxqS7FO2BRlHwZyL
DW7C5Id0XLVAXp5vY+rMi5kiFGViOo4ruOTgTR2NvY4vZLg1AViggzGqvR14zqqrexRXtb5mxEwa
n98HD+0Qaosem5sxp0nAKtFE5JG/N/UfflBGh57j+cQD1UYeWv1C20r6wTVMTYVYyV11Q52vYt3o
gDJWcqdwwT0X5Fsgh0ahYmh4mjRNpUtU+uWFyYK/zdMceUJDcFfgxvo6Id5lJ6k6jvxGufW0utyk
U6y/l9M0HQKbBp88jOg0RjyoVd6rzybOho1uDfU+ztG7p5lzK8t+2bs4FdlzBPeggCHEu1XxVFhM
h/3WsT9Cox2PoV7ZS5/qbyPpxixV1S+6XrylAa2toQZQoGX3zK1MNlXWNpgvCLoJH1NmeRXaroKu
uA3EgarCV2zTABv1i3Zw0gVpVy27kqZAkmSasVoUtR/eeA/wKGIwenBjIbOd3gzRIcGr91or3bnZ
TZRjjbIMy9nyH9HXFYOFtj+skvHRLPVyF/NMnXU+PlBxTePBYXTDPRUJAvw0l/ZzFjn2WaSOxdVa
zovTNCd+SDEN1ruk2FT4R6hRBq/+1JMUfEPbOu5N4fXlqgRjuvClXs0OHzneBzaxqQj42MxFnm7g
/HL8+2IofYoB7L0Pg+OMuFZZBq5BAHZvRRgV5zC0+8OoZ+IcM8yr4CR3E39SUjJgbY0Hd75JnYkl
B8ZD0d0cl2zeNlV0jz0GRTcJ09vIxLLamTKyP3m+w99AdpbF3Jd1CV5GM/gwvIQ+uBwchHZeoNQl
IgqJ9WdKMKMVpVa5ifOo3PZ+Sb4t1PBgW7RxdgmgsN661PQPXiXMxzglEbjSSpzFfCjyPsCBiaRJ
lsZaB0lrb5lx+5epj4xrV/lyG/UMApugSL8iHmF+q55lPoM6a+6SuLYgTkzlDmN8yKwlcc5Zlk6E
JVUkVy6U5elHiVB+B+nHP2L6iO7gzsd4K4QwoMBTmd40WmjWODJBqkrk3lmhtL1iU9QfbHMAbF6g
sAnoJnv15CepbtEXjtVXD7WYwaFeLxWRo+WyEkTztM4hYm7POx/lJZkrbCPWhNvF2zDty3odz2nu
lo47vnezsx5VuEQMRFWrwpqLUrcxdoNjpFcZNSxxeXHXNTbZbcVfFkY/ZY91B2mrqbGJGaF7odHz
T8QFO1+x5Yan3vdQq5nI28qq6Y6+TM2daoT+GU8A9ruO0V2Uec02SIU6gkfid2j68s5zS5S/bQSF
SdXZEWY3tnLCifq1StNPQmBy5o8aWQJ2xnY0QDbstC+RBJXMqx/sjVgioTWDlRbF3bedhz9RXai1
rLWR6DaDnM+czTGBNXhy7XIrWoHY0ggvpmYrhrhSuxpapnbj5GcUhN4B2YMA+CMHfU1Oxvg6FjNX
zjP86mp6YBRWvq8V68o2sSEktylVA85ryDB5ULwmOozzpGiMlazCzwgWWHIwbXxDi8JtEUT7Nltv
OGbDpvHs7sFg3HfCyE9fEhfNuaLLVI54b4dih4u5WGTkzy0wr7eI/DBkO7l5Z7CedxZ5QCu7kBUY
a7S5OZI11UZHE1WdswDaMjL6Fl6yDQOdv21zO92S2HmoMHfigxdjOa6mANLEynCaMV2AXCt2XZV8
pGOSHhiHtW9WUtTuElJaeIrGpttmgVFC9Le08qFsQDdPZe+ws7YB3apuaI8pm750YwKkYnSH2XFq
NesnbfyOzjztBOPnogkoZjQ/QaXchh2KtJp7APc/JvvRrDO2yEkkv7IcCreSTX/BWgOiPiNfTfVc
Yq7bjuCo0ZDkzoX/LSj4vhijm1VjvVx6LnmPS8Prh2fPC75dHve3ScgVZc9JBAw247qMPjgQy4dQ
AiCipUotNpfwazMrZ5Qe+eYVRtz0pvlIFn2VDIfIqnC8QKWlqeubcWm5FWZIJxafNVEh7z7feOGT
Vrl20CUt0lRTm8oqqqdcddnOlwmbCFUfZJW290Xk+c8xgRdofXvxa2HvfO07u9iQB8E+wUkYnu0S
CJa7PnOJUu+KqiC1MWMgjfApu+cOwBCexN0ZBgfmVwqyZ9qR+DDU2nAo4UvSeJf6vkhFw4WkxN3U
ZYxEoWE7ezDqZLvBZfsyS6Hv4PvWK0tM3qZOyw5hiSG2cSCQDsdPsMdh8JJdrwTReoVVrcx6DiSG
R+wMGQR7BwtA21c/lt1Tz+U8ivEg1yaUmAUHMVLqPl3ZUltJc7xqVmkd8hzQdVyMYheiYPkQnGdL
sttxcdZpRex9pm+KJsy5YcyG1YvjXOWkGXcM2vpNCvjylAF7A3HhMYtLMnKeiGGGjmqe/a49Mjj+
ZTgHk7/jmhrAF0jx3bI/tyeBqQtJUXcmS9veZP6Mf5/8YItRYKHXPbeKWxndrYGq8QT8I1kO4dCh
QyeNxMcbija3RnwhI1CQjH9rlPHrmMEzQLLCRTTJWnZpWcMbX9TdhamaPtEiDWumaNHGDvzsTi9i
64XP22HELtssXhZFqDbkBNprgSpil4V2wGpHqWvRcZd7EGKPAY7giwkV4swkwbvqhuEABM/iOxz9
MUIDkNf3vKHg3uCXVXf0Iek1803xM+mDz+Tbyy7WYBpn0Zry0FaJ+CFD0T3JljxJEKDhI0uj8sg4
10aahPX6DS96c+LYTPb43+AglOrLb3GiqowsUt+O2nNjG86bbTfMfwjBgd7HRU9dZEXFqRjLlMo/
tMJ9nvp1jTi6GDk9GvLOpiFDqJG3O7dSEtWuGh/Iwq4nEnDaQx4qb5Vpbnawhnh87q06uwxp8JpL
5d3rXhG/oaQod5ZitTHG1pZ0RgbzflRuVCiNdVqhhhoDIz9Xij3DovB8bAaWQeAzhzOe7xAZcSxe
dFoZPmaHRXTLgUf9mL8GcDffCeuID8SA8wBXtX3nGE2hFpPfEjyB8Ti4+iaTgrSVzLHwFX55JJcs
Zci95xEOuMIA2W1qxT0+KOUfc8Wip+lQaGseVSbTXYRF3VtV+cgpYgZGTbE30uQDrGh3z406gMej
5F3pokUwrGsrXYcaTpvVENzQf2GCbG+xW6QH3JxYm6Ou21vCMA6Y9ZO1WRPoN6Sxt+sZ6rn6nOFR
JtFeJd89poJvH9/YPsr5oyhhdVz+SfU1asF4TFDFoxcMkXGbDCqYQvf6Gqhvvsmmno/P7u3Lv7F3
HltyI9mW/ZX+AeQyg8bUHS5DCwYjOMEKKmhlgEF9fW+keEVGsoPdPXirBz2pWlXJpDvggNm1e8/Z
x3B8LEBJrm5HDW49cevms+CBuaZRPJwysx/JcszQr0vsKikOl2PvzT0NdMHQJ07nhyhKO+qFrHgl
X2fhUoDIlNWSfOEwZp4GR8kwi5C9DUHffiC/erxnvERHtK0s+VJ5tfGp9AK9b1PRHEF3IpxLg6IJ
tstUcuiB9XOr/LJHA0UkkJ/Tsh2CIN/7zYxMfYV3LJzkhnTbdPxejhfkz3M1jTxZo3uo10ZtFekr
oCpbMEWhV+MzdyHe4LD1vwcU/EMfXE5VwN/fwBMZKpIXUkiB3ijOuavo4Xnlt3acjkSWP/pg/Lau
HNLblC2RCVg1Hzvfi/ezrRgsWXV/gn/cv7SiHl7xRKld4EXukwFDDMJJHX0xqJnw2OqKga1yggM/
jw0WafCu8Hg2l25vly+eH2lqI8c51YKSFqAOzdCAWRHAaZM882BxiIyupAGfsqpY4tu0DA4mgzgE
hHVLDMJU+/tIZf4Xga1g7XM6oOiLyPsUuAZGBKZi+VNDibRrgjm47seleG7p7x7mJEqPrmlNry75
A+wdObquQs9ihfQvd7AuhnPuLNOd0XUgFJlAk7ML8g5riLecFjoV90EZqNd4jkiVVqgZ0Q4g3ls6
6+TNdrlz8xEBeW8KjfiscXe6lwRVkmJw1zs9+itdD+qbWOLh0ajwfeCbsbsr16nd3ahxO2zy2fRf
4Fa3B7LGvqd5FZztJInwgsypdevHq8yusFLiWWFdM0TXSdgYjkYMtphnhUtib8xz+aydnMoVeP9t
xeuOSKqoryM1ONcFmkVYQt0yh3UCxmODTqO7zb2+uaG4xnduMcE/qsxkqWnZRO9xhxARzECzODVu
6R9yuaiHrKGGpa1NIk5pBnYYcIq5NGMJbbFgGOcKEBe15XnbucvjJzuDM02ilOVvCNLFbVy5GN+6
cTmXlGfnluzF52GxhseAKvROmyO7yZJZT6U5oRgYZPY59jR7UTQu187iNBawKRFfKjuTV1VHVHci
iUh3ssI5iQapFjY93E+MFF3ndbBJXN4EuSVeaR7nZBcSsfCRUBiPXgtQPxoPPYSLXRxAZGK8JndW
Db14A7J72c9e3lyxjzcvyRQ1T4PXOrulsTkY+D0aL9+sb8jQ88l8yT2SHxxQoXqA1WmYJXKjmRIL
OxVwLS9Lh2d8YMiPcdreRPZkHlQnF/rYY+6+LDLCFNKhRe0bv7gwMNtdlGm2akG13e68Nspu6WvH
/LT+azPSAUkyAy3elO7FzBmc6wAZCupxWNlQYBFArIxGjtts7T3Ikl+Jka0ESV6UH6xCtOeamBt4
N0vvfjaIOQ8nQkriMMhBL8HZbsuenlUTCXRt1Zarprxl8PyQkgN8ldoOX9ackI1OtpX+N/d/10bz
l5ozIrtZ3/2XXXh1wP70P3ZVn5Jkqb+p+f5bh6ztH1T/+if/d//h357a37R2Tc+0323r3r9mr11P
luOPbd2//62/Wrqejw2B7uwPaY1/dXTd4A/bx7fgYguwXftPbt7fHV1L/CElWY1M78mSZKACUu/v
jq5p/SFsm5Yu/WHBcNtx/k/oeL5rvuno4usOMO2s800Pc7n7ZlZei2YyYGN1e4HtBQlWhMPzCm8R
6YddULsnctIportp6NxDkGXk4LSuuVBSGznabRWggKB/4V+Y2Ib2ozURo8WQLuVk2MA+9UYFo4Wz
RdVuM12a+jIop732MotMhNYb+8OsLPIOh6FZdnBkDORHxNdcaTUq5qA0QU4MSxu107rklOLOWf5C
KtE0htKayOT2xwyIEpsuBlNRRTG+rcHFoNpqzkrBeJiGwEeMJZer1gBhT2h1TrBuXu+aVuf3zNra
LwOK8Ve2ZF4vUUTu5zLvq2cTeo3CGaBRlK/tmoQYsy7+OuDF+1iw2xOTJDBXbZrRy/2DN5TTA0uA
PpDujHwOn4B+YcDH1HWZpxeWGay2I0vRdToDOQnLSmZMsKt+QRwN25IE6d6wINzDm8PbW6YI2lGG
UkbF+GVvSiVbZOzYdF+aWuKIEBXBUxyPmW7uSBagD9iCCLx2bbl6E2RW4TZOGFTZQWWcu84iBG4o
BwSIBgm/zLqHuSNEEFKNPKFlIWSxrxBn6B4OjtnDo78UeWEzEp5UuW8hAX62eg3eKLOb2yJV9tdE
yulDoB02Xs2RoNqM0DTOTb4QR241I+eNYmyeyq4qDsOCAmLLmJsMl2puIXiIRTtPiY77p7ZtcmKa
lyCFHLXY9b10qaZ3fIPpaRh7tj8kB3e5hNOyj+Y+OCbYOw8Wh4rnDDUg2DMTNRHxhJWeINOCAvvI
0H5AmStHaWyhdRiSkMhkNo+GPWSvTjcwvg5q2oAXEjIJ/BW1JkbQOKdVKYR47NoBJkzkuyiQpJ21
w7ahmxZt+tnDYB0QGPCkUbQvWyRL00tG8XeJLOHPilBFwE8BVDQ8sDM0oC536alIRSV2GIm2aQ/R
mFnNrm/LOA9FbQwHOwv0JXQ58053o/8hzzo4NgB3aUJUXVlug6FcbqMMNN39FLdMAXC1HJkKWLcy
WXp8ldg7D0VXOYBUpV+9wJrFruAZkYGKH19h0wsvlFXpG3tASv05jSi3tmJi4VfMPHZBVbsvQZxJ
f1PKlFjwWhtxgz9TB3gPG7PAE2Oqk29NPcp6hRdQYNHsUZ8a1ozju4/v7cVEp9UikH0mva79mInC
/+wOvn3hjQOtTmHwl2fg3bf4Yz5qiloGsJB8N3Mv7VdcrC7KdrJ+XJywYxHTGCz0TUvxP0P40/ZZ
DTZipKUgfHVvqUY/O3XSfU6ymHZ24c1+cVCsA9nezBdEXdRfM+EOruCTI3B6egMKh+xXsL4jFOHU
o+4hikQOWxDwGMMnR4NRTnNsrlSpDTmyy2TLEM2G6reBD3yEME2f1zwR/UxLQQS54mSD9r22jfQ1
NxojOppBUnydWy33WRBblxVvODRxwp+/KNetrz2vcRj44KhIAsytGzOy7C8KL+aNPyPRuJgWN1XX
MaXlJ2MhTTMjGmSLzT3gAJjFH3iiiE6nat1FRLAwEXDE/JLrubhuY1+MVJGt7W1wm5sHFHQVUjJv
+JIp8Hde3LXbOZkRjCWYrUL887q7QCI5uJdx4S4PLDYOw/rAj179zPCvzZgHYu96WOq7uMmf09mK
6Kz0vscUpyiNj62Y9DUHCPFdjwlIOj9D1EylvDb1eb8vhTDrr73VBtR4bWqKgy9ZHZ/syUC3p0Vp
GXs9YN492JXiNcNVSZO4rxaaZ4oj29GLaufRj2QhQ0lBjeSGN4WglL7adVmdXGCv+kToJEZNAho2
vdno12LSzYOmZbU1O06WzuQYD7QFkASPdgsgbqSMpiEH3HsH7Xx4BWKGqyqdrOo2yNH4bgbAMSdZ
9Q6H1XZBX+5pPO716O8kU5mKYLneTh+EXU4OfzZKn8itXcRGJ36xB5xpESJp4qvN7aVhORqF/Eqe
qXcDzM76xHmkvDVRJ+ytdtJPRTz56W2JCJwFxWSesUF3WX3KinI6Ah2c6J+PTfqV01+yTVJV+ztj
gUW5HYAke4/AwofvDApNKJ1l2X5ylO0pWt44iBgnxSg/jLLut9gFnAGjm1fuigGU18YZ5hWWsUS3
Wg2LQGcaxUPoY9kiUsGQ7kfCCG02bg7vgkQ+eqWE7NpEvzzkgTddmIZpHmm+JI91qRNa/sicGmCs
Z4zu+gWbB7EHcVkb8NFxQ6GK4T00aBx61aUzKOumb1GqF94UWm77ESoGL2ZcI6PJYAjVqRNd4PJD
uDF19tcpycQpTgL0v07TbvuhmbHZpJ9yykGUKN43Z0o/MwUxDjIt6rCP4hIpWoc4CO/kZH/s85Tw
d3z+PLXkPZIKadao4U4031A6zcAOm9NoR9iZgPjV9tbC6jMQDz9b8NHg2hFkCoSRIXHif63rtk42
puzlU9L4xoKmrU8dYnwKf7peeHy+RhBwwZMNlDp2UpDuBkgXF1efofZAVgdnMTN25sB5VycFDrcJ
l6THC9GFnAAzQOCF2CWwrO9ztDx7Z8DqFg1B/gX6mfndp+/yUvhWR3E/d5+NFit9vrh2Go5o+fBI
MR+49lxkL1UwVnLHjI9IV0EGqns5Z7VhfLCTFI1oNA4pJnzMglVotikOjXYl22KQizHblQ1qE+zi
PU0q5knTqUkN67qVKyavmDhL7mqprWfciXl2Char++a3CGtLt8BLaRMKeypLYmTpd4jB21vTnykP
BQ2ppVLB1bg0waXoTSBRuG+Sz3RNrbOjFASSaEj6z42JKw93dz1/Eibal5BMBSiVGmAlqwUmdu9Q
uZLzeS9guyHtKwAbzA5BdDl3+Uoq3yTeILeADpiTe85L8LMQrnykOa7ZPVFEYXHKA2l+6dpZPcPB
SM5F6fgJ/v41jZFNabqOUVyykwSKyE1POhEGL0tmN9qTqGMt1+nDBrneEsq8V1hGMYic6Bf50EhY
7PbjqNbdb/Hagm1V8HnAo5crp+A13U6B74cliqm7MVjqJ4sBuwemK61PvuF5z9nY6uxYyaS9GxC/
16EPUHjeEblBUZDW3pzeKBnFV1PWKY0OuKN+cYP2zmyY1EadokEVmW6vNjGnb7J6tMlzMjgB12wh
S9sPXRYqf4zWtJR03BgUpndO7IwXOuL2MEIh52PDMu48EUKy5sGSaNUcUtq6uMkS2y8/xk5GArAq
zfQ+B3fBHxnX6ihLoO8fIt0XrxQK0f08TJCA/abpBIHHcGl4bdA+7PIyJRNgbjNUqCzQcx8SztM/
5ZEtQbyyR99osisvKj0MO14B9a3UjrynZ5N0oWyC4i5hNv+BCXPwZA6TczBpq33T1iA+EBJKTonj
GC+ziIx2i0qNWN460zRoJeWC3fYkNaCbzA6gCSExjqXwT6KK5491OpPmR2J78RERStOHdg6JgkVA
ZORV9XSAKZpRTjB+BwlIpSxy+ySMgiqmgw2njj7V/9n1BvDR9ZAQkt2ZbrFvBXndoZuwu23o+LTz
IbKSOD1zRs8vHG3P7UnbslNEDmJTpBlcBN+Haii/dEwW2m1BZ9PcdZylaLeQzoJ5ZpyUPAiQvAY+
KJXY5xTi0MCalTXQQJZxxMYmqzowXmvVMSXMzMKvETcUYLKTKkPltV0GjjshRPTap382Sv/ewarV
HVA3mI3NgEQ6+CQi/erAwVj5P9l+XGOf+qnwdrFp04+dKtvF5snUZKcXyKSXidvjEtSWPVjXSxNT
sFq1Bw3Odx4F+81CdsMc3eV0Ugs6c3KV1q92NPOyYPoSMWEdaReXfkwPG2e+a20t4i84qRQw1KHu
VEnbtlfJUlMeEZqu7dCUTWlfY8qqorMjuyG58UdPuzduGkXjMevSHmebU931Xt6iInWoSR7nQpjL
IaAlZu2J2UvSk4NSKXsmjU+VR8yd84yUxZ+7T+Uyi9cgzXJ308zaiT6tEQMRcpYYF1wMVpPeXZeO
kKoB9nWUmWpq06005zRKwng2xSfLHcDlqV6NettGJJlHqTMHl2zf7XjMfanP9lzSaDWdTh5rYWIR
gozpUAbSk0mqvixPc+pmYp+ohhZbhQk6u6ptb/SItpB1v+tzk4gnwmWMsI9pGc94iaIz4pAJWCy8
8xbaSoRXhCnY3JrAlExBDnsNwmJnGG7RvUw55XbTTnN5xZjS9KCug4vBuTr2fnOuBMl/R5irK0mP
JLbkiU3K7U721FeUOWIcL4fR8gkBTVMwQR8IjLKzz8iMB/KodY8m3W0YQzMigpgrOne4RaMbvGQU
d+A2ZkYYYcflMAlW6Qx8JQZhjXfOXoodui4PoJbh9XvPVHTAFl8ZFyBEXwICXKjI4QncJnnDngh0
BkETPClCshfaafF9NrRChzRScYOjPl+jYa0B6tXkorBNI90SlE2YLE+UEX1fUmo9TD+0+bEwjCuN
q0jmL3OsLAtgnowpWMXQ0cwc9IOWrbvVbmyx/ztzSdu8ZTgw2kT8xB1rE5Gt+UU88cZStURpG0b+
7Ljb2IiHz53nM7IDyybWSb2C+DVzFC6OaYdcY9sNc/zUAR3h9/CXDMErPNmb2bUK8yoQFU08/m3M
WyTOMoBp4W1Vm7pMJrntlVh51pX3lUQnxpNTi9mvg2vK65U14DMMtzoZHfOhgmHVJemPzOb7cpHo
YmNHFeFS4jt3iti6b9PaPqRNVjI6mcXy2ZLcDkKSFcTFqX/8MzrHDmJM3T3S2Ho3Lt2pEdX0ylw5
fqKRjfGUoILsIDNpngdLeidNzAGaIx/qYkxvtkFBXfpi65ErWYbkt5AIV7WZUVwHWkN5Xyy/DPYG
F/bUxnlw4bsLw/4pZyS7qYhUaMOGw37YqchtQ4a+jD2XNBNDOGo/YsVuA3f33ytc/X+wcbmGn76L
EXxI8zz9Cavy97/ytxDVB/nnAwp0XMF42vdQgv7VtvT9P4QUrsmYF37g+v//A1Xx/5AoQzn0+DSa
HNQj/2laeuSrBqADIUiu7UziWv/p2f5NL6HdS/c3/lb/gmYif/b3kGxoW3wrygifTdonXoSe5g/+
HvZWQRQgBxObCfR5UWO+jev0yo7MhoEkg5mkJfvXpiDfjU08fUjHPD5Xkpi0Fl8B5mroIKWJzSVL
OhlGLFL3TFqmU41m/wrhzO9CWX9Gd/77+75BdzrG7PapPyO2SguMMjaeoob9jw5gFIqGLprZBuIK
wm90+PPB/l/eKcv+3a2ikfzjrWpcu0SzQRZpGmMHWOjkXMOI9/dLO9W7TBt1CMScyZYkNSQ3nZtp
4AREB7cMA5yeW2ZFCglSBaTCYN5Ug+QDFpvcmIGpkf5z91xruinYJ6+iHiFM6tWMwVQljt2S3jdD
tlNFSmdL0KPqWwM9fVP4w3OeGvMSkhja3tZJWR84E+uHwWIulLOEMric0l3R4J9miltfORoRl6Ip
9JLosQ+l0dTYXznSzzil9kQq7ET1ZR4ScSpwCZLzYHAsSjjajVJ8sMd6OqF8GQ+FRS5WxEh4n3ma
HgnJ7DQDTf3cpI6AEgw+YqkrSqIY0zNcjpoA0+yD40Y3eh7vOD0q9opwLIxnu6uCi77IyvOcBR+7
xTQOTtCAQ7UFCgCX6M0lvgKmgVYS50DozxmtRp0erLGhvet7rz1m+RCbMkKzIDtbQwQUeZhvQAE7
+67N+51Gyrc1Epp2zMSmfaQjKosiva6jxeKYKoBQ14/A58/RQv57rBCgNGI1VjA4a+l/RrTBLNHu
s9yewoa4tH264KGukWLuzBGGdEXkdQgsu95xYfga0oYYLeWKT2Os4h38E1S9NJTmY1KmdyPkgzNv
zSY19EU0B5gPfZNgt2R6RCU23E0lPJGpJFeucTWdcmRbIiG4lzn3LlUxQBV2dIycdXITaBQriCeL
yyBBcpITroOXJCJwxRWHPk2ik203PgIhgiNbvHPYMV2Hlj2aiwEL66MxtWe6XTujHobtkJSnxVJW
WHDahbnA0zw5dJnGhhEmKtKRFAX0tGMMmmJK+/Qg8PTZXvXYr/PXwHQOLQJO3IiPQrDhuDTSTYwx
oUP1siFQ5uha6A3zFnhB5TGeK0ws7YVuwhFjOYIU54jAzttQnhxc56mqunyrLBqFKE6KkFNYFtKL
9bdRkYWolLCXeX52aIvxXlZCXOCC4VUbmWVMHAA2ddMDTK6b/IE0CiOEmHGYRvshrx1OvP6E9GNO
8AHr7Nr1gQ7MiWeu3M8eU4+YYBmYB2NUB8c0jJ3txvfAOfwNabcXsZOf2tK/T31GOu08PfZTeuE0
6bbvk+uBIutYO0s4EokxAXcqkD/jHES7qe8TWh8cwPIUHzQGb6Ff85TOthsr/NsobsvqsTMobadg
T7rxFyGrXU+pFRYeHVYqFKxqln3NjD85SBx7adbepWNwNpS8mbz4nEWVeVW6mKE3VOTePo7cap08
191nhlYO970SD5BE9nAmzXsgSvE+SkfBuz1MTG3iiegg5UL8mazgNSlgc+NhS0/T0jn8VIE9E1+j
iY5oGxrZyIO3RbLqqch4OaomJVAJn9Km0V0cKnQ5dz7EN4gG+YKtoNXHgniVs8W6SLtBfCCWB5cD
WtmLWaCEUQEOQOiYBhN3Q0Bklh1Acw+5xlh5AoTGBNu01eq+jVDZjdpqjilpyPRjgDIU9DJBAYAK
R7EoGJdF2G7nszKteee4+eNcZT3nqJ79IbefaFsmOzK18bHNsdyARep2htmoa7Mlu1n4HER6GzOY
qbCdkti6bJCIpWQn4yPIDCUORpymO08MEYtd5zyXjIS8aGG9g21eLj49CKyDMOTd5ahGBuuGrL97
0CJpePUHjLbm1hjy/IhD68UylL2z0+jOSyEPySQy9igVkZgPCVBOI5MnWkrV9YJh/P197GfbyZ8b
KA56E1Ib9SRFxJshpTTsRDIT5wQV1Hd1WrrHEsqIRtjwmyA7uf5N/6Fs//uT3pQW0DurhLwj6zjE
2oFPHHyTSzdw7ECTQHfts2sSSzE5Nva0deVtPAjc71+r9fNE9q+v4EpqHEeahI14azXxQ3WDE2LM
UNjKI6sVxbSwTWZZGjMHXVUvNJRnhGkr84d+afpjDpv3GuDqtElow12AWG0vgpG2UN3Vz0jO1F0+
ki6Yc7xMUIVW1bXjLREkE5GG2VDERzqN1dEE+7pTy8wiWImzaiEGeU38vXI9Y8NsuN6WqrzjexiE
mxU4nP4L5/eLau5Xv+2Pl/vGUpTZRUE6kCOPUGCj+07RB58ZtIWMrZbt+x/1M8j87zvrraYg/gPG
9frPf7izcuRYiRlGHlPtfe9p+AO6sz9h9atC5TTP73/Yihf816Pk/vBpK0X+h0+Dl1UOU52ZRycd
bhl6Wh+tMtGnbIy/ylS129bN+1uaw8kZydFy7A2GmGZO4Jnvxv0VpJ1jxi+JBq8/FG477bNO92cd
sbhx+izDNOUnzJ1RgJXJnNCc6+oWgQpMgFwRjjBJ/rY6Y4pvGZfTWpS0a3liU6e8f53rZbx5Y6j4
CZaAtehzuevj/MNl5ujYhME+cnRbJ97mJI5uS2zflG6ucUt2GQwx3SJ9e/9Tf/Wi/vSxb2pq+Hks
bvVoMdp11mww56uXS3ZmhW01pZ17rubpOjI6dUuiRL1DapD/5kX95VdgUQpc4gVhpgdvXtRCyKlr
YB8frZQI5Y4tMXW6KzQdhO30jrEpGvfG8QX1Jp5kVv12//49+MXjHPz4+W/eHA3lkPF9bB/7Qn+y
unS67qvIOpct9GMYVpfvf9p6Unj7O4PMdPiNpenw3z//zslIzlmPVf3oWKAc5Ziju+yifvf+p/xi
NeB+/udT3lxTZwlrKJzaXn2FJLJwgZsOh1Nfus1vfr5ffdJ6KcKkVQwX9+1igPOhgmsnjks0os7w
5cfCDU7sM7+5ol8+Jj9+0Jt1gPOH7qNC2ewmjfctHfubzPTsQ0A3AwG5th7yuGcwHK/lcbsWymYD
Lfv92/qLI7MtiBbgFRXoiji7//zrRck0gjOLrCPam+a4jGp4bExbnlJmocfGmj7UTZCH8RAjpB1m
yjdcdVvmGmLjlcarQYoMYmaDFZPqorrI4/IjfBzo+Kn5lCkEQu9/XevfDxvRNcxP0Yqv39h58xgQ
rZJH5aL4arHGeePUG5kIKFJLIQAML1dT4E67Rouj7hIgFyPJjhxCjT0UAcr3law9lCynaiBCuKyi
HYRVxl2caToDdxOHiO9NQ/CwaEtKOMu+kB5KRPTyHM9m3902RtrvGsLrw76J2s1QfEPZKjfz2JZb
4Q72Zdd1f5U4/988/RuFneXCxf3h6Vg1fD/lXXz81vX/Y/MN73Txo8bu73/vr25VIP7AHUAXWng4
k/21v/RPtwoDtInPxQfDvTa4Ap60f/pVq6OaSiAQ9KxMz1sfwn9EdvIPhweQbpbwKDw9NrU3/an3
+lU/r9OYpnmMA5PIGFpWHkDhNyunZ+PdKXzXPyChyZkVZcFmiF3oAdipN301n364Pb8oqOS69f1n
pf7z82zkg3CPuSM0y95UywzcIsI3AlJo6I4fYjPPvsEEZs4oiRaa5mEE2rpQT2r+FLEY8wD1O0sc
/bSoqGCkbVof8gHdy28W3Lcs5PU+2Cb2dJvenRlQL/y8Bq3nEsZbyJBHs/jUV3wPKjJ/g9XoaPb2
OWBMeqgLC7FXWkxhMl85Crra+zfn54Xlr3tjScdkPOtKTPtvvkPut240Zdo/NOmEJCvvorMv0/rx
/U/5xS9uc6nslRZtMqymP1+px03OEvB+B2CERycf4eR7pB0SF7ZpoUf+5sb+4pocS3A1tueYlLVv
ni9lKimmzA8OAWiU/eSvJz/NKOr9a/p5v/zzzjEs92EJuIJn2HzzVJlRLtvRibwDIclcRj7TrS/0
PWrFL+9/0C9uXoAglp4C10OR/uaDHGPhjq6Pb5Siqi6N7Dv4MLTfaHasLL/+v/gwcNh0rZEbOeLN
h03arnF32t6B7FSxLXxwu8lg0hpbXHoFmXt8/+PWEJ237yZYEZ89hRWBderNb5VK316IBPUODJXy
jRrQeY1eJO4Lmbj4lcgga2AJ7AGjAtuus3rPDCX67K7kurGa2vss99XBqkqwJpTakpZH22xdyy/Y
9Zbltkce0IR+UgVMnLMqZb5a+v0GEW4ybMjYBXTbLzIkjcwdMBe6d4ooyLv3r/FX7zlbt0sPWLAW
/+t5HFGYjA7JPIe4SsxT5hj+aR4cBkKD88GYK8aWUXeqVPzds5JmZ9OHecSB6v/mVv/qeQ1YuUkR
94Rj2W/utMoI7MRsGhyKQtunyU6vK+GiyMQ995uzyL8/KaC28ixY8z4Nkbe/adIkgPLADB48YlW3
k8bsCsziU0cjYfebW+ta/347AsHs5U9RONqWP//5D8ettpSWAUAZEV0wmMREGOlq+Jhu8TpO967B
g2C2/WOM+5n2fk+TF24OEgm3aujT1DACkFMXB7qLKFcg17kPmF6dV2do/eOIvbrYWgySH+iN25c9
OJuLnAYwuWzoCBF/6WzaF37gbJE74j4tPX3Cw+MfCbp294Gq5oPRdm2oVGvuLHCuQFy1IFnRiWsn
Ooy9idKqlMi7k8y5qRwJ9ZuRKpEVw2SGAyzdm0iU2SuikfJkDwFc2CJYjnPAYaoeWgKG2t57Tq3F
vhlNLnzp0EoakSg2TqBcgnjM6EpmM16I3toVUQN/z0k5mTFIB/mum0fbVA3a7qoBgCxgMiUtU9xk
bgmurlerezWQyokP75iKPnswRNPe+KIEjjx5zYhJcFrUZhqt9rkh1ORKgYVG1bmkh4H07y+Y5aca
3an1khvZx6owgQcCC3chMaobTLrWtVcmYSvSo4VWj0AAiW5HkXNxj3q37jZW4voXwra6m2VAyxgj
nTt0rcoPXA6pm0OQbaKCkPBuQV14HuoUzx6r1HwZaEzImzTXpYZ7EmkPEVWbHop2HL5RMnFPgNJB
+a8aYsO1vG77KOKWWYxw2truPsquGp4cG4AYeqUGBlOkEN1Qts09bJSg/+CT1XjSoMDgkrbGVrmO
DXHILXd1KyKmAvj7om27sPWDVZHIGzPCfnWYD8CRUZWqfeXze5vdwO0jHt55RZY7IrrBULQRg0x3
NhlzL0ljzhdMEe0XK2lhQPsgO28GbM90RDgOoDfVovO3LB4TK6c9K2BR5Rg8jZ1DviAjBTgoQmRf
Wge/zcaLHJ74YMi6h8KmEArJI252CSXOuSQvsZC2932BzYRsTqdVHArEHtnBNxsaixlTg0szL9sz
SaduHTK1I6DFjQU02YmI54UCZ8N6UH6GQDgEHN0QFgSrx04FzPytONfHAePvFZ7hON1kdhzAYDQW
tRV5WYZ+FV3neoo5SaMh2kyV5Psmo8JBlvgcBbel6SbBxjDS5dIcFaJZ2Z6TwFlH9FX5AGAQ8HQ6
7yfCFB9NEUw7PI1EJvPdALfV8T5oEcuT3Vjy+06om9yJ56NYkO5C2NGkXtexfBos6OvW3H6rpdPu
Uq3gKSC/+RREgSspUK32ZEgFAMsgcjI3B6YHcnGI5WIoG9LQ4e5j1LsCuxVsk2lOkB3Bys5AWW3o
RZSvwLqz66ySIwgKFX3NrcVZSdbjiN5NNGHBT/wQeRapValR7EbmdwdjYhemFFVfBqfs78yAhG9y
kUjL6LS/a/Go7X2BvBTb2n4aKBCnRdoXkTlmu2nVdivyOvGon2Mn9S+62m97OtwjY+0uZgqTRR/i
ebAvWiXjGwOt+IVSffCa+q71wVycflfEEM42KiJ4dw0DP5rCqZl/9egtnJRXwTfic4rpNHQbimPQ
HqRUNsOz76vu7Nci37LrMQHQWiMbXqorYNW06DGxLkT3pDbCdIXDwjOKNesgY1ZVUnjjeL/GMZjs
hsxbHmCRdFfI8dLPU8qKKwxCfNjmUwZV+XTbDfWIbAM0SxOLGPEjIGK3tZfdpGYjrGZvuYqD7FmT
X3mA9jit0iCkbAR7FOW9wNRxKqGwnZhHoMEkHT5eSDwoNP6A2nLHb8zUgSsjuCHWwNeGfJ6C1rqC
+341RghffPK0t9Mo5q1pz/ISdRQMftdPir0qPEjjRT3ua/qLm06SL5dJggkWpQbEipAq9sqGD1P0
i4nC3fg+uRAVR895pEhaDrpNCAqpeZVdKQ6SXuMOAqS8sqv+rknVJRF588Zj7rtdWMFJ+a1eZV2T
eMeVW4p+XxzXWGAAPEE2CBNwhbvJHFHL6RE966ij+//J3nktSY6cSfdV9gUwBhkBXG4idaksXdU3
sBLd0AgAAf30ezBc4w6b/29je7804wU5012VmcgQ/rkfr8yo3AGWmq+YgN64iuZWOMjLBjf4hI2z
b35EAUBpiVk7FPNyER4zctoTAL2JaRRvlUymHV3t855AH25i34zpmnMrzEQbNVf1M+ey6d6uUudY
CCc6tOmID4jF5paaCrIkjRE8Jrzed9ANAyOlqWh5N0QJ5VvTS0j2sOiV3EpY8ebOm9t8oO2Nd4QM
1iIvhVcBAopZvF6HpNWfmLJRWRsZtD3d9fPk70UFKL3Ty6/ZTqlIT4ndYpP7wJGtTvx1wBP8Se8z
F7CQ5QUNMIzigbV/a7L43PIlbA5LpqPQphbkHWdCc6b8hW7CnnGSheqxzYs42acpVCpLIFuRk71q
l4gqh8J9GdBGtnFgkE4c69Bhk78Ig4ivXqKMfj3ynQy+xMiTS/VMuEi3ebSF+ShT3RyBABrUByzm
kaxldp5mjfLX9P2pxyzKKt9XdDN5PBRDY9uHWBVAb4gW76IWtyk81+J67kr70tdFuq3MpHpXvqt3
Db2IkTFnV/TJUghJju0XGxJ1GBVeLCS/4Zko7trkNHnjz7ZYsKopk/KwrKUMbcG+zZnRm/eG4VPt
VqjyNKb6l7JtdZ7GyHp0rADbgTlf0nbIz/PikS0JnKknhWMMLwzL4l8eVYa7hM/mjiI38yS9Jtob
VdA+LJiwAFxE3y3zwVurMuJ9kYIcgFmb5iyPPRD2AbMXuTaaMXG2In2a96SjfIapib1f/GGizNFz
EQzduDpn4L5hYNjm3nL6bjPZ2bJXU5pf4ZwPig2+inQMp5wxNvZG9QW3p7hi7pqD5e14RwKRFYeo
osLMTRRkj0Rc5W7/NreTupnUdDsVSn/DB+mvm9qpt7FVTCF3w9ueKe0uiLT+cLTwDqXZDKfSmw+5
Ml4qiovzTY89dNdUUXVWRFh2SQ0dIe4FiHg9dbcBc7ODySZ4nGqsOXPZPrt1gv8x8e1tEwztd1ON
Czs3h4KNnSp6Hft43NY2a3MONfKW+FZ8TwEz9QAmQGi/tPGVQxBSW4SM4TIl7Ws9w5VSBv1G9lAw
PR934GkGCtEptC76aYuF0sfXqZYDmfiB4T61E0stb+wFf46dpuk9B3sPg3W2dr1FAMorx8f+PlUv
OjPSfS2r3ZCbX5VIj/1odSei6BA6EmqSMMWSTbRAVhCeQp9PveVQGBUJLrnXypP7WeCk29S14Z8D
BVvfdlJJrOVpmIxySzSRENLo4ZqDa81RHjJqHODKSDIstEOAkYSfv2lL76trvOhNlkA+a7A55jiL
3ZIxS6oBFncA+LEcnjujf/Eze7gkmE54a9+DjtCmkxhfmNFfbCe/qVLxCBIHj2dp3RWT/BnnP1ua
Cg/N2v1owrbvBOGPsqnPtSevU8+6MewFIqrs9XXRGtctTxBl5AHd45hFv9REZWFslyG7VFj59XAg
/VG+Ls43Ulyx9+0GMvdIAX3BbH7TezOJkVKnT70C4NTp6rld/BfRZPy3+cjr6MekvOsEe6Fre92V
Ll0gYUWb7asyeU7s4Egg5okhNgG45lQzDSePXVEvkfO724PaiHoYdz3myw0ssxGXDMYM10O/SBr7
VFVjsx9F8ZDxrToVWfKJ7HASBNAMv6EzgSKErhkG7JhJdBSWPdxB9vPu5lrqn7D4AkQz7wSCpTyD
MBX7gZz7oRyjT4IJXMy57j91jYvTnks+X1mQWl/JQltmqUG8RaW3bwOzOM85urYdManlKCVoSnFg
RyQgTbd6qrKtbwXtJqiqG9tltKeribNKHYFNLkeX+T5XBD3iu+jplC1iXnBGIQ1LAUUfhI5pv1V8
3txb1WY05CPTxTvXGVNKFdofJAz3uuOcXwlOn2Vu9xsvYs2vYw70TvCQUP5BUelrN9NXIqimqCY+
d0BT5iaTRXtKkqVm06+ezc4FOYsp3Z6y+i3DHrzFb1sTUv2UhvsqCrMLl5Y9e641H1oL4cF2erAx
Q/kyIYYyifUKDAixdSRTSD4XxhOuZVIP6dCD5nKTkiVFZWdZme1mlrjomxKoTyzbHxXB/QOdbrxS
Mxs3ZTbceVYDBr501G7Bh/NLzolzlyp81y1u2/1smmpvBJiWZto1Ku4sewC3/nmsIg5HwDc8u73g
6YZLUPvNWwKkAdJU1B+QWB6J26p9VDehN8S3PsfDO90Y/W5i7diRmxI3KrBzDv0T9+bUapu10KaC
RzPle1NwOfar9tXJs2XXM/zY28wq1whOQFRaTE82YImNrCBMju1o7slxqa+JF3WWraRgceIjta2+
PtqJ0R/Yb81bIrKkplReMfc7VvOS7XDR2Dfm3NAgpfvsJseu+aJB5L74VJJFk2VvbbsaDknhmK/A
eTtCKJnxWBOc/Rx5ti9d64sbgBV4rxzHODA1GQ44vOjRLQINxEeXOxcZZyuThGBgg8Fr5dHzGrWl
5bOp8tAg3evsTaA8YMLQ+OBj6XINzdX9SVOGScVl8T7TD0l0LMm/ojipdlga4KK1HIU6rshEzekA
mzDObTEP9syWK2+bVUKc67ab33sIGFyYxK7g67s3tdWfIjejXTfzRtw88XRJQQZzWswxhEqsgJUW
9wlCFMBrPnGMDsGR+La1n9BScgKqPV4/jYN0atsTGdYdsappH/BF5y5VtlfM0YddRvSZm4BT3gQY
4jjGgo/2cmvckgtMTvWyMnUnWxzKovOu+DlrmCdPDotnD8coH/0zLvsIzUU1W2qUpgsXsMdR2w4B
t4y+lKn7ngJnfLPy+Ecll+KmmRIqYNPlm+t4+xCMDS20cWv0IS48vbfydrgyTP1s2x7gf6HPhK5O
iejdnU44DmuCL2EbIbnZE1w8Pqg2ubVNA22oaoEDlnj7j0FpEAEvU+zrfsXjo1RNJZ6KoFVQJP3a
x7BxeATr1zWiRORvRfgQ2CHwS9InnDNR3aNVVM+1QQ1pGyTwi/PEeUjhf17spnF2CVRp4ghL2l5y
O/hsoEQ9oMetEzanwzhXE6GLlizsgBMgMPUSA2jVUnDW5DsRTPkJyhWSaBPRN2qo8mAYVPHV2q/A
YlrpeU5mwmJeq+TGJ7QJxm/5MWrXPMZLPL8lCi9rkWUtCof4lHgxOBwEc+gCcd7pkmQ9M0OCdfQ9
X4uBmxbAtOzE43cPnpc4Z1vFzRFWP/znocp2C0hpMAcDQQcjR1G9InxK8tUlk3Q/Qz77prK1sc/G
QmX5MEqHfhqxyDdckCacuVFO3q7tk/SX4iGT5KvnrL5O4m6G1RcQDStMo412vjF1LqmkFhCb8Pqd
MY/c9JZuecKV5B7qoWB3nCmDZWrySHsHa2bQkpCI4HxkvjVt/RWLYFYg0nNde89RzrS2g89GCOVc
SHyNKmfv4LtaLDdVWwa7bDVcbVy5aGKTVUM2QhbqhR/UPpdFpd7yde20aDVUVZfvMwj/1/S9WHv4
vQDOMr+roBLUzpn0iL1bXKlIbaomOpKmG57HZl4e82honkhZuzcmfl6MYhhFzcoA+mNkqOy6qKFu
1wHUoE6mPUCAiHYPmsNYE0uT/Rc6q19uFjhE5DRHY4fJuKEkKTGysOh6ahgkvUgkzegWzkEC0brV
9+SYRKOLPfSr+kPkq9eTzyR/kqw/t33pAxepPKPcRFwmDz1vtX/N/p3k+9RuHyIPHIaVPwg/oFwE
wDwsYMQLSOcxjNn+4saWt0XJGUJ6QcitDMYtgjuTc1BbmiTnLmaOsDe8kfqwvIYGRLRjRZESK3HD
wDCoF5pyD5xeAH/Sg3mwUs9fJN0gyTbJMbDqshYfmE/tYzD4dtiSQt6NILuYlXX9A1fKiO9/Sbwt
MQRhkJrfqkvexpndz/b6aWdYubki/b4XbUOVnIZlo5YRL2FybMZuPKDUYmDzI/OiVz+hE/jYKvuV
lZ/COa66qiA5njdnx08fBHCIHW7bc+SauFB5WjB9owrvUHX6G6kz+3NSWAu2ZVZS6eaYBLzJq5Ca
jwjYXZFS7g9SErll8TL9b5FRKNDPdv2K/FHfV77uHuLR796w2GR3vPPci5Hu9tbQyjvOcvRCkHSH
tauAk9Fd3SXQCIPFmu68JV6ijRkU0ScaLCd8lyPXVUWnLyE+1jyTzJaUcg9odeVkxA3A+VwFXfcL
R6c17UwrWkxIjHR6HEqvSlgznZpmJ5XTzJQQt8M/O/dcg3MVtcupC2bI/HRDMFL1OzBMZKxvOhzM
z7kYop2V+M21junUjsx14hKlxo8Z0i51QxQP4X1m5R/1gzfW7qGsLfMOWUTyV2v4TLFG0fOknBDR
OcsGgGQbesFA9e3KxMb0y8wyrOgv92p3uIuKYkszggZkm+24ARF7pdmvX9rnqpuCZ0zXFdtuPGcU
B8CR2EprwfU5vS6aoJZLnmyfDOnW0ECf/RpbrJrT9BwrNCEGOqe4SI0XPRopnDG0S2T3PEyTJT3X
JG/LMnH3neLWRRtTdqT5lssslCaEl6R1TpxgCXinbUn7s9mxK+JC9KGYeAqsa9j6XbZx9YjL2jcS
yAFMVYxbpZ1Z7U2jRMdB0UgeHel4Vxz61MnOBN2iaVI/igFoMLAnYUGWKzVTagQPEW0WMN8X7VSu
xQLmiCczrptjm8dcIltuK2rrRG57NgCtQxg214JYX2PDjpE1zVGKN17Xsgc1SuNW03uEdJehc9Yb
S3GJzFgh3CyN8z3bDYdeYA+UxQcVFasoi/UzoHMWy3xYJeTciZxfrshpFBl93zhkzBDY3tBLXr0p
l2/dnMhrJlLqpsAi8MDgU56E7TjPphdD3BCekWScql2oZRQQBu+YUBQHGeoTTiY7HI4618TisghE
u94DXLrJBrpntgZBvJ9u5TrPsBRNwN5Z/SuXFTn8LqC6vWpMmxFDkwFlbQI3/24MzzxF0zzhzwcZ
nYK2ifGGGpp9R4kfQM7lnVdnxWeBSXTFCsR3/aTcN6ipA7fjPi4/MspqzmQy+d/VGCBDFAYXpnAq
SacGtfIeAwVcMlSla33oOqZTEOYuLRp+Ii65iYE79BsdX4zFRdtNjL0N1O3F1EH3S1W2emGIFL2W
caneDb77O0Pzzme8nflJcJI8zlW6vEazSt4ATK5gtTUob7eG+EAFdn8UAAlCUEJYCJyUILDmCL84
dBRWPCLnmpYqthSV7Uo5T7+AR48hqcI+rHCL0uzpu2U4Q/17MbwyOZFnn2/acSTMaNl5aEoNoXP2
07NAZgbXZXT1vlZt9LEgsvAFUEXz7ldddKabQnCoXsDRUgnHfqpLDT9o8J7YvKqfQ9Wri4D+fmDY
YDgbzyNwwTEvC63c+JEi92B2wkaBdmOS3rZiIDpxnt3i4wBrwrJPq6Kqywvjso5bHlyinZcWHEoq
u6wfZ00mHRBd4fPmeIiQLsnxGyCJxckdZ/80RQkgGFfV31BlGQwqqyNCCt2ZWLTtp8WTDkbT3HZ5
qW5YMHxiVCmfnA21Sx24JgP7H+yGW7QqvWztoipyztlC2l8WZMh7BOvxYppR8+gNUv30mr64IWKa
nxdi578C1/PJCdU1RYbSoKvPGpxfXt+pn7m9plSNQfXvFdaTt6xttcTSJanL9NOG3tB5dF1qfivw
HTyqwTYhZvakvQb6g0+AgdRkpM0HLIruSyzL8ruKKbsKUEUrzYlkmIHSbWQR09rmeE2OH3ecP6AX
JDJs0U57zlO42CTS+3LUHbKeFwy63HMN4E3uqVvKN4aoF/OcJY1bYrm1oFa1U5TezlPnqa3H1JU1
Iq78vQPd7CrJ2L+2JKq6/bg0PDq0ZpVFaPtsNuAyGUSDlTBvhsYF48ojYd+avUSwkx1EX0/I+KNv
a/o741a/udZcZ9tSNslpKFv1kPBB+XvX1+6zZkA478yykd8cjdxhA2F4/spi4IBhUdQyO9aSwHDI
xJjQM09zpg8RjVksEK2eRCiDSvzoVSBAe3Dkv4rpwoUbuu5sgRgPMelcTQuoFZxjOX+2LRheJsfj
tOFqzfeEMxKvgGGCZYsQtqO56tgTcxz5HhdL8d3GY4Rk2XlgO2esIpZ17cGJHtgL3FYcHFe4CSj3
mTxLSgC83Dj8gyerG4aeQDYlyrs6XmHzvSWJQsO0QDrTlHBG2i1O0k09OyzizrRAAZspCKGo+Wpn
CQJ+wgO+GRjdzFd5bkBnGDvxttDpvWGIweUNWESZH9sid76zojOv5tatuOAus3WYh7I6OPkgwiLr
5r3Ajcowz69OI4kAgH4M0y7QgybKCN2e3URH+mvJapqba9toXzNJEzURYybOCX27gxVceYYbnDPc
VpdxcYBl8rL1eW51ezPPvbFlVssdf873LkZqqIGDdeBug/eQW3P9q/Hpz9oERZZeEt+7K5j7Huy4
ienToY03tAEtH7PSSoY9c/uEsjX3w1Pm/GAAq/8yyL2ACTCvZ9tS31jQs2dHJgWe11EFiL9u8xaw
m1+vdV+3BQbPh9iw/86I8e+Wl8B0cUGxcRMndd3VPvEXxwIFphIucOOvd3qGp9yYL6BLkruiq1P2
bY6qd4NlZM/mQPXd3xhJ3f+XXQILClNQoHwYb37z9xDNE34aTP5hxlR/F4i6PQ4tKDu2xDWPN5kU
TiZsrcrMhu9xYUtpQc3t6yG3wETor7zWXuiDlw6L2gSLUjFgqiYB6o5jPPNm27oAcXaQZUoBTp0d
lRiNcNV5dLPlBiL9rbahZY8e2qCDU6sA8pMvrCucgNnrSWxTeGYfyik3SNhb/lbQ273p297lhOI9
TT2XA2+crUuTiq+sAltjyKE7UjqOyYu0otpwGcMqNfnO37x19r/bCKmNMQPQ8Y6NOih/M7GVPEq8
fS6ndTyU3BvMi+tOswr7bAZUj2VpJNA/OwFzd2teayt0P++DYscpYPUYjCsLIQ5kWCYDmZm+FLss
cIYTPXRJqCaD5hJ6ZP0i5wDsZMSQaIX+G2POaiT9zW0FJ5GBlksVA34Gf3XO/eXRS9lL6iFog4PZ
1tR+kRxbqFVepuRqMboHaxrEdmBzJnCikzNltf1PJl79qTVXtx6Cm2dByLY1oTNAounfGJT+3bbH
L7dGq4EuBDhTf3t/YzQ8YYH2WqmsrKEAd+DlQPn6mx/zm/V7Ne7xHxfHI18Blnbrt59TMzB2dVQH
B8afgNgGWxpHyDX9dpoK8WlzgWeNzOmwsaJqG/WDeEg5hE5bhPH8Cs9OcFfMfo5thi9L7VXlXef0
MCbyaCFpmJpPdZfrl7/xOf3+3rBemxYFr1gnXVpi/sxI/eWDa2BxIUjw7A3aZlFY7Mojkog4SA8i
/QNcQ16C/E6ZqXqHfETNYmmbYTKQpZlpZt9iZpi/vSyY/pGB+D+T9t+YtC2KA31IpEQX/hnt+jej
dpgkH12X6vijTf7q1P7LH/5vtoD7B2EEXMA+ypIfwBL4p1vb/MP2YJv+IzZl0XL1P25t9w9Mbzy/
WD9NT2IP/adb25J/SJ6SlQZg8UeldP43bm0Z/Gtwiy/Mn45vC/4BznF+3rqh/eXhM6MMu1HGnFW6
ipHrBLgnHNE5CKYFFQYGp140wfbcYlkb4ojnU8q13tud7MnYdFCywxF75DUVAWvNs6oZ/EVlc80N
v3jM09F48kALnuJJDRdRVskVoBDCra0nywPepmAnnZobfKWTbzTiJQE8WYCtov4pOeLxKV6oBCko
vS6oqyLS5w4choUfWmM034tJlfamXR7jHkbjYhyLsux90uWlt7Kl2qvE5yo+YQ6y97Pq+zwkEd91
oSxmYzxU9tjcwhXV/MbFYj5G3CzeVtDqo7JVtRWmnX0y0I5v5qIpAYUbw/IZq8CjOBcKYdf17ceI
YykMrPzkZTYwKkIinAwzK7fDrKDBbtIaYWPJs13F6ZE7y3QVmx3IPYSOEBacvbfMgtKAPq2ZWwnr
k6PuVG4qRQIeE0OaXzdUbHyOIlgmzGYFcHmmW89U85CnzWTAiCqVDO22sY3Ho/NMMJdOzmYKDXST
0aZxzvgAQhCwbtihRV1Nqn2ZQTtFWwmxmppLxmuc/CpTAXinwydxl9zZwiqSN70YGUdVbvkTo6EZ
HFpuFQaY+AHXADZIfU3vOQdMT3Oro8TV5n0YupiBeRV3jP4c4Kc2dd00GZKCnoIKMjWHRzxKPRE1
fCYphR+O5CTdGlxwS0x3jGlNuqM4B9KHMzvVgAdx9IOQxFADW8tDoYZQ2QZXKglgoxeJ2X/XbTUm
e8dWE03kRnCQvZw9atHFvLPrHtoZyvQ6Aeexfu5cx77kaeZeR6LXTwki2EdMY1e2QfVrYBzEPIpI
flP91TDef+e+RJAG6CpehSBr6x8W/VPoEjh28kOWVe0jCd6Ac4JlRNulHoPrDIUL5iFYJ7bQBO2E
s1h7T3vk9KJxQbabqDSNn32deR5jTqt9c2WOra4R6uCDLCLHagfjk64qxgNxRz3Xpu2g1h1HqHQG
l/CkuqI2cSMgAGFN6+CHx8k4vnB5qR+8Ti0nx6rW723eHKWfGEPogijAWGUF5hYNa8IaC5TpM+bL
tf7RCLOq2xZFczRTsLM7dxA+FQGpuBTUEWELcIvJfI2b2XwTPHJcvRr8A0EESQHLlOK3Jv+PX9Fp
UO212Y7WRjZ+jFOV0hgC7j+jwl7exxgzEZMH5rfOlxoCP8UYmLWfnpy4I7qWO71PQ1ZhBEB6jg09
Pk1jz7DAd0jueq59rqCl0sIGsQdFHPQBsX6Nvie5TcU4d3e2PzIFnjp1liYWxo0zQ1KoaAza57PD
JWjyo+M8J/QtzAsmzqIOh5E7WO0AlO2btmLDldFLYDOirzpHBgi+gQgNq9eAB7q2bsIxLpttslQu
kt5CNiosx6lUO1ICiCh20tB21NfJ88KQ8MrMmWntms4hCgqxfHzD4W9Z+8Z2VjcHrOb30sH0x1ek
M6xNni58tQEWNZd65ja7r/DKUZ2x1NMWC1jHkGCl3PUUYdziisNxNzO3OnWl1m/alJTCUTqal0PW
bxl0oZAWhbiiwy2xdpjaMG4uQcO42s5uFh+QNfiHaXh1oxibGZznd2uQmPRg6jKgtYkk88BGPvAF
RhFpCO1efmlaRI9x2X0x+6T6z68GdWYr8YDQZEXzTdpHwttraQhfGe7jTdozDg0DL569LZfXDMsy
dsYkdPH4QN71GiGPEOES3BpZTGoXzKz+Obsamuc4SYR7BgWxO5THtmybcyTS6q7knTI3aY3usS3H
Iu/QFBydHFXZ2Xs3FR1N9gugqjCDNoVvs8DPBjqCUTiv3nQpqjDb5teEIHQ2O5pULfJsoF6XicWJ
8/xjZfB1g+CSTtsCy+97KjUEsBqi4X1Xt/bLLFW0DlhyUNGJsp+DdmjeJHSRs58BmdoksqOTxufy
fld3fnVHVkA+NxD5ebszweMj9UCf4FwjZxFwHm5mtN0ldCc3fgmsHmwUIwXrl9mYln/Fb5g4WzHQ
3Y4/dvbfu8lHI+sLW9/wvfXKY4QvhIVh9MQTa1N7PZRBdjtGyt4TXJbbKbITL5yMFjdbYaRUbaBN
WHujUel1NkfylenduCmwyt7lWUAKxG5oHRhVeuFGAa9/sSyoZtgCLJU0LyCD8+eaerstt5732pTO
U4c+dMmL2d72FLodweqaT3RsGD/tTE1cDWO7p8lM0YFiZtRPJxDOn5gjyItU6ZNSpnGJQCFu87mS
hA2TLL+gxVhhzHi0D8e58qi9Dyhs34FnxAnZ8bZxZ5GZy/wKIOn6JBROjZO1ivYTRilvP8i8DzGK
j8cE/PupY4h5BCO7fBUJtbVwZbM2RIdM7hSIuOuyRiKtR5EiP7bvZR0vh6kPJgI4CG9SlOlH1M8g
3Pwxf/DlWOHy55rrDUm1b4yRvKTv28aO+4K/nfsENISttd3eSGYZPwpcR9S+WeBIcPPnsE6RPt1T
EYMgw9LmYywH6/1EjQStOEab3AQUK+86MMF852Ly67nKjdDUrnNwWYBCRW/XE9bu4N41CicO9Tjm
0SbJfbFT5qg/Fisbb3yNmXvHioBipqLkNmZyBMS3ry9A1EGvdzE2JjMexKPjYf8PC3ctHdeOfcj8
yb+dFzPuriq9WnaokSluBGaXj3oOovceb9tDJ63gF12GzE15BnLaKpIauwKUdsporLnFqOrFfVVc
0sllFoPNG2HHwhV0bHWHzapz1fyK5RgRMJ/rS14D4EesZgCIddpyPgQoB7Htsjh5ES6Tlf0Y+Mq4
nbw2uXLjbNlqb4yig5NI9M0sBU90CiL06WPHSP51MPhGUmwyPMi4aSijw9Q12gnZi85bYea9wfIg
KhkfAP537/Gcq/t2jplu2HGfnns6Ha9EwiSV8qEyu5azQ2u2IEyAWG709xxgR/D3jEXfEqvD/FFA
+p42LoP/J25ozSt15PUl0Fm+m0S73Pq9iIH9IwxNW69p+UTbNl1KaiDltwL2AxgqsedbY8AqGNSV
eWiXYEIhHDtjJ7UUXwsCorX1cfx/dElXz6GGYbJz53r4hHqZ+fvA0f1+zJPgmNEHej/k8Gb/8Sph
Y2MXcJvhPRjkk5Nhbx6X0YNkvRrNm7SqL/6IYz9pymcvLx4Kwi7QeGJNTUHi8p2NGHDk7mAcqtID
h2XMIEMrhwIvBscieK0tmqqpjRxjqphcG+ATkATnJRNRcx1gUX4IlBLonoImEuEWzAfn4s0AfLgy
vTUlL8BdDktueG04CendTr5Y5yxFN/3waUqaz2pyhvkIxRZFOqlsq6CPOp6PneN5X1ER44Um1MR2
Rc0zBuFaMqG0Wz+4xTkIbJGd66eB9+FnHGNqx2EOoR8Xlem3W1HyWQOHdlL7YKsgfR4CTf2MKrK3
hQ6kBzMoqYofZhWwtyXDi5UHyYOc7eK2okjgsqRO99P5c/NtI0aRvPFUFlG0+IAlQzMQ9vWNrKr6
qR2HK6uJYwIO5SA+AJo2E+RvP6EGPiI7Gdpi7iFr286dn8sRC2Mcg5NM6QLEGOCRWzArF/xM32fL
aRoazaLRgAfdFL3tvZmx1UybvunQYc2UltDGNOsv12i64whw8kb1rbpfKyZf22BJvnXjBceiygk/
WMzVQgZh8YkeVU0H8ThhMqWJND4ZgbsYp5zh2dGW6XSVw3QiwjTTtY071S02U9uB6E0cCily4QOy
XisKrrkS0E7Ujvaxnkz6GrooC3aWl3AOnQdiHgmxo3rr1DDLyLB4i8VICTG4EkqfyzKLGCmB9ya+
FVnqAspxOcIQX083Tp8dIKUzbvVglOHhs+wHGtvd42iJ6tNXS/ljvWV3/ASnLLa96xiPJgripSys
9jWfmvmUW07JUZUNP/ScaAlrS3v8kwFT3mjY6kpT9nWtghiHUUpfbxSqQq21hEWbEM1N4ztblbwE
VCIJONbNsvs+KH+1nSMcvi7lYWyL7GK0KTO3GSN72OKJvoohV0LOmQ2T+vgoeFi9yTvXX2DzFnMP
GDdrBg4kanD0WaceM1uxuO68ibWomcHQ6wjYFf6tLACDsymjrR7bTvPRcIzHSTJfDTgszvDpx480
F0wzqjTSEcZHm6FFxUjLZU7TRQOeiA7T9NhRjJFrKL2bNpNYIkwaOifQQleYsDKcGsPyXQI6oa19
os+LY2RZ72SftPjXRJ6egpxz2RTn6gbHJSuJEUfBfUP48Ln01jtF53vFNvPZxUOKW9o7t7eca6y5
a5CE5sUhl6Qe0eibfVyV04tro1ofSmbcJ6MZoh/Y7tKGURrOrypwcaY6tD3Fr7Kf8H0McgQt/Kc6
839i1t+JWZ4AJ/H/17H+s/pO2o//uLQf3z/1vypZf/7Jf4pYUngBdw3P/lfkgBR/SPCUjrBWEib/
EoLrfyMHaGq3BIrv/7AzNYS2tafd/oN5Pzotfx0bhRn8bxSs34gjCFj8CEsE1iqJeURSf5u4CFaP
gaxmt28xzevHhETq0yINaiqJlIg7VybwleB8NfvKnNTeJey4o+XT+5vEON+r32cI/BqsPQi4BHCZ
Ifz5m/5VSvMGAeoxsCHJa/0Cc7nfsm9GpyEu7ac+T+m2E4zoAcHTwjnRttITuAiokssm78j/le5R
iaAC4Df6wVKKhL9uDSRnUi4+ceRdzG6OToutwdERgrxNshSjcNasza6A5e4T3TJXaezqhFO3BX1s
LLToxUW0M1oiiI4n511F70WIcoL10nalve+EV+0yfw6uRJ9TTRdQbRRm/PtrtmuyTnBppw9lVDaT
EPe2TB3j6IuMxsdFd86H6ZnFjecUEW62hlIBvK7N1SRYT8Q8fTpOt3xj3fSoS0NBUrMznLt81Bfm
6FxyybzQORqP6rOTvj71YmjvErezzqbCtivWwlgRuN0lJmO0dSuw3GbmnAtVH6lH547MUet5dgMw
LZmLE4KONfFm9TjFFdLdczIGNHDgKjplFROrZXCAQiWxsedfMQ8TVYBbNSbtEQNlcI1eNZ4G5irb
dubMPsdUVbpNfzV3RnpLRxPtjGOzro8N5oj/Yu88liRH2uz6LlwTY3AIB2BGchEIhMzISC1qA8uq
yoLWwh14ep7o/knODMkZ0oxLWm+6LHUmwv0T9547oZogcE1huxkdIgVcOb64HS6/IGvsLWVo+lzW
yv3wVj+O+mXoEY+Z5qEd7JUfrXtAMknchzTUJamK/GVS2ninypyRZd98eA6Cwb6xMoiQaLjstZ9/
d1XuR0Cu60eHZHHyIaQxXVRb9acssQkQlhbob3Vx0u7g18bZZ2q4S7SBQN/0rh7jhoXjPxHhitbY
qnABU4O5EQ0q6xibpenAJQRBdikPMsVaF5MbNaB3GOQA1zwDq5zChcH+UG8VebEHe2b00o6ovdui
GD+yPBn39TAyQ0zo/ZfaMH56K5WPP9fLPaUkOfSK5ynjsdqxRQaug0L69n/yd4Ipca+wxbyzfbNq
eHzzcoGpWfM1G/Foals8TJDFrmYLIK1rZ70laiHbVEF9zcqyp9Ca1n3LUPcRF5PEyuSsj4Sw5lG3
GpQ49i1cEkXuQ8HY82oLK4lsK3MjxiyEbXXczm7awUSsTaQe3ggeUrXtW1kTYhpk9KeklKboo6s/
tkqTSKigeonhlW+8BcEDn4MFYdrJw6yDFe6Ydo6NO/r7Gr1OZMMaZy9OXxdWRhBERIn7oSadb9uT
zM7lbvhRkSzYnzx22OSQgvXaTTZSEo4IyWsN4cTWaDWL1rpaKsr90kYDDLR/srW8Zgxen2atSAIb
7nW7MpibG/fiN86yz0uGp0zzxCXxoZByyDAkc67mhE4iVYzRzHo648jOfi0kHf1BQj6FQTlCOQzW
+G4Ryryunt19JJz6B3sq5amf55YUYGc8rvXs7sh0kNeBb/umJIufEkRZX1Z7kwvlo3sYcYX+6p2y
e+Jk9o+l1/Q/LAIgwhuUPAwSWaVhy6CIoZ6TyOII9Bj6hNsT4YGYdcF4gNthi6GsWjZD2027OC3U
zh0Cv6UgNwHYTdhtLxO4423aQ7LNk9kOsXQxyY/R14fEfHnj1upMmwXoNCO+FrZi+5nFb7jR46tT
ZcS2W27QMAZMS/7OxIyO7mcl/OmREpEmwzKH/m3oyHMrCKa4kj1BEoIr5ws85mXHmbbsB6JDT2qp
0s9W1ABa/aTndQ27Hmca1sIdI+E6QfZDCs/dLTb45CHqcSK7Db6XQhbJsa3rLlIMlU9+CazSyYLx
QKpYha13tG94cE/ua8fTiAf9oP2TNfTPUbz24x9v8AeCRdbxoxLBdGhlc4X9/k7NOzBXAN7EYpTB
bJ1hbm1LlEGbRZKqupqr84l9FUGORDb/4VR9eQxyUiwCU3nHWGV+uFTo8FLEjeUW46XGotTFoK9S
hVKjipWjjzJf5uCurWJRfEuGhtOTyCvnOSH/l0j11mi/Bl4KX3Fs1W9NmRqXLiHCdBM3XNCR6Plq
VbCq1xaDpsElFaNhmqEkV4FxZpysY7AASx9KqVYZuiNyOzOzFXGRt+efUAP7qdZ+5WOQIK5cZ4v8
IxbLfeIqHPyjYp6ZP47DwIwUXcnz1HeUBGLScmuLznLvmZZ1f5IK9FqUZp58rztt/1qUvxxRarn7
JZvlWS6z/423XRDXapFuY/jCvYtzB1S20SkMnakrL7Xmt1oUpbfHsI5AezAI/ymguH9WjuyeHE7r
56XqugMO4HmXDInlksOQ+nLDAl8TMQuezHGzhLaf2oWoHlZKiLbfAGmU/nUQsZef5uLJCGb/jMWJ
4GCHubKJPBerSsCw8L0J+uxTufnECqzNVjzGyIPsKGsm94c0oT1cc0ZfN1FpTSc8lL4ZlcLAikuM
mXhkU0BqpzCSx1S56gMSsHi1DWU/N6PA3kXPtLNs3SDAZeNUyyAlPW9gHS1nPgW1lsq3dt3PW+jV
at811ghWDN8mVZrx6C5WsxfdRK6nWptv+kpr58+GgZk6QSffa4HPq8hZJkEFL/T9UlTWGK3rYhFa
n7K9A5zBRicXatrSIh/jodE/U89QBCss6TtmOxpuO6mARqcirNFChzO/4HCduT+rvAuxOxG5Xun1
SnKL3PYdHJDQNiuDWszfk6FG71eTNjpgHIibUZ/buDYYMIImtg4eMRrqNDR5eqKcabbIifL0hbJB
vjik2OoQxSyE7SD3xEPRISXEiMijwAKPEXRv90981M7Nl2zfT7cmFLn1FkuYB5p5WKK0WZIKiw5S
tzYmLjnO3eUocmvcxUWfcB3Zwa7ubgwQerp93KzJdV4Xdzc6PKMO/dmdJNMCGTUxHUzXWucbS5Tu
6w8JspiQiU1uFyfL++hnBc2WLDkClLQx/KS+bHajcFksgMOe30kK7B7KPssj0rBKOMaO9O8bg8ty
v5gTmetDEex942acL4JyTxPvHJDISrrzzCdoT87dfUO2aei7k9iIifZRx6ZYHgYNPpbI+dW9SFwM
D6mbGpAw7DI/Z0VQvMwTUmmrNM29Ow/lMR/c/GFOU3uI8rZZvmerKj0I9yp/98fgllHu5siz88Gz
w9y0We0oQXh31FS+pSNdk3UdM9rpuWpn10uP/qAzxoStIvYnrsBOaOUc16Zvd5Jdz13tTeZ9rryO
4dhUvGmm7QQ7JASO5Ep48SGI46485H5e3/mWP91E0UCtTJS8Et3WYbZn8ROKsv3gKAs2cU8Q2zOn
Tery4BJevk015oB+jKNqjgloRuXSF6gkvaKMKHowuMZ1codAiryuqTS+VhWPw36Wo8EyIf/qbCO4
QuBm27esVvk9Mbi8FpyK3P4j0sBeO3QPxFCSGOiY9cUrM6o3Yzbf0GsFD1xw3ZnBsHMOAmPcgS+d
duzpeSZ0E/8hnamMGI54VwgPFgW0N+E0Vp7gFG2NN0OunCGLjpHf/zWaLBCfR17pdk+rkshR9WjZ
9z274DBjH/1FinH8iFbTQaHHfqYaXcoygZliKofvnlEn7Gyz23quaLk5k5iiExiTKxTxzhQFmbLP
Nn+hKCcYOJql2by2ludEkotmU7Z4wass9i4LyNg3MfX3nSWhfrBg3Ze415Ag09zc9W5SnGXRexwk
VjkdGnqMbZCk1tF03OXR0S4bxrI+l035Kq3q24j96zjjDS1EWmA8KMxdltbqaGRE4PUsqxqPaYoU
43otu676NS/9dG2ovjYjVcBduhbpQfoJDkXxsyBwZRxHZ1fYCKYTvRxsxiv0UquCi79UO8GFlLDN
WpC7A204SGbXIcpttJJHnbmndJF4iZNzsWbykniJONd+Rr5rbhPxsLYu2BCyOikZq9++6hLYoLN6
aXkx7Zw6gdzgI/1k9pZtMXoXj1gg5DHuE+fsj5Pz6IjKP81mO0dEpAZbz/gr2DrLz9PiIcK1m15Q
gpJ6w2OI2mjh0TA02SkA2A9xKeW+6LOTz67NTCHX+enehJlezWDGawY/VB3ZKa5EHvZWrs89CNXt
IrmbMIo0E+EzFSZTI7c3ieP2fVgVvbNl0Xlwsu7QmdQQqzP7GE/ZzpLEVB5j8sp3MYPDNxEjzAzT
ajEipHPGOU264MPECrIf4kW898wkw6BLylOLN5cVqUguLKuB66tgPhDZbf3wbd9+J7a0faICxuEW
Z/NbUcfN0a5b40nMk/tUrF3BWen6WESgPd3dtuyXtOrWyKRo+yWEoIUWLXMyZ2x+A+jBGu2Md7rL
8WPH7pYkrp+m5u77S3VSuMT4Gi9dPhlna8Eixb5mOBhL6R2xJZMNJ1Xw7BNtusVilyNCp4CdvdqO
BhsJpOu1rBVrPOJZs5Um2x3boYs0K1J/dEGdUPdfjD4dMojtOETkbxxZ3Rx0sRondB6o0oUa78dg
HE6kHJJ6hU+TfAGW9/19YzH815epMHEG+ztrlJ9Fqq61MsWhSPWzH+BcN6onpAeYNsXtWpIJ+uYG
5UDVvxNm8IFBZ2vN2VfPYCMs+6LbYp5Mn3KgzIdglBzsN9ySUyiL57hvjoFfkFaWVidCCtez7FP2
Gi4r5IrkYIflS1jkaXmIzTo7Enqb7O15ejbtOtvgMJlDq6TBw2GGDcelDD+aLs3VmlbFL/YszV0B
z3UNM0gl23zijMTheUib3N7CRDL3CVP8XVN48VmXbhUZQTIcAkGnvyGQByM/HoqNrz1EL/58RA1d
7jPvKKb0LCrwczZWg1Zk7mvbeuOd6Xj2K1IROAj9PAaRay1cjLjgKkhA8QLpxs8nd4dpoH3DDlpu
fZsWZZXIZKsV6nTamPMzavSHwsU8vri8/yyj1MpPY9V91yy3Lnhm0ViQa1pHHPAns/W3XS+qHSOm
9shk9eZJ1wWQ7H65rJgHttKzzF82Px8IpolMB6/WN7OK3x3n3Pcf9FS7O4Jgxbb2QKkkZRvNnTZ3
ch7DyY4xVonmw5aG+US+7ECHo4PlsUJ9ZuFQkv1uZCi9VxmpBEqZ/OoLKPzerAIsjEaSbNrevSNg
ztnKVir2ZLF/N9tMhzMMziu+HBvf/7B6gC2fsYBu2Rg8LBkMnjH7iZb8m/gpaW/MtqEQtzqgja7E
bzqIvtlxbRrQhKBgIt40o8ao1P1UzIIuG+wZNxcAd/cg0CIr1F8KDtOGPvzgEwFX436IuG2/pbLu
jdoN9oPHrtYQZ9dn5k2ttevm+XOyCPoItW0TDsF18NyzELlHAPE52dYa9mA87CxwrxUiki/DJb+A
t2/qgrLFo4E42h3dGCWK8Yxn+dLYZDblyEOxCsu7ziK+OnetDw5wuANm5wLnqsTWwANAFop4qzz8
G7n0e4gA6Y4aOuwxvC/N+A3gy9rMXM2bwGOzWEw+Xv9K4mmyjpIct6rQYaqql05mlJeuCrNuJvya
C3xXxa3NcGNf1suH0foOrx5cf5m67XBLpxyfabKHXelklzye8ZeL8eG2tYhsO0sf0sF+JW5rCT32
bVtRmtSLABl3ngCIAM1qR+wbuJ8MeIpGKnmv4Rdt/RKFWdFDBwHPE1mDGcm+gXDgivnkFHcGOP5W
ZRkvx/r5liM+zfUpDoaANLDpXrLk7LfDNAXbqRHVC/nO+iOox1O+DgWcJBAkVavxvZd6j07eqhFs
Lc2RAOxpZxRSwOZKrQORCPNDt87Jj6QQ5Hh79hct/4uNzFzh2cE30f32mHO9ALBpjoLS95gyGYpw
hN4RDkdDLW9WPe35B4dVKr3JdE0qxi0TqsU3W4ASKfIFw15m+Oy32zbf1CP8oq5lX2R5TMxoG2LU
Bqt8XlOYErG56kuzOppZpiW7IyIpUtoMDZ0HMa7BvhphRa75Q2GjbK2YZArLW8hlam1WkK527nnO
Igv82iLj4S6PHZyrucnU67jmlo/BX6PyQTl2xGqQRY1tLvgtEeW0azwcIAY+B3H+XJEes0eO0u77
oC3eDBaR287tHya75vuCmx8VYGBv4SzExHPPUyeTAJ6nuMCssn0CEDRvVuqEBVhRsjGNrj6uLQrp
TqlPt5k1o4M+PcoscS4EQ9yw2Sne2bwsCNZhfEO1rLTt33lJC7iauRAheKghi218U/AhsmNC1d14
9QnDHDhkD7XM9SOpdp2ADMU8HGKxYpKKXdGykvdidYu7gViIE+Yn3UZDlsfZxogHpAXxovM9q+/i
R5+rkV2/7ZLU7eBnSItpWzncyNlq9my3PNwpnAtLKS6B683J3SyXc+3mxhupWSDvWlqPCDq2eAlc
F0a25RcFVlxWrXd6oCTz4lYcZiXMM9ktNU9nXREgqhfpwY+S2TkmbvrAh7DXtbLxjl7eeoNA5B7F
KLs/Q9pSOsbOcKd6Gib0RSa0LBcOm2zsfQf3Yd8NNQWQkJ2Ikmzi5p3byr0z53F7y/eykev2m5wp
xV3Qu9bzVFnJCcWN9cLBX18naaf7OelukeM9ogcrr+xup00gbRsgMzqk+W+5+ohuX5ADMGbrUENh
fbXSL19yXuA/UsUrBpLLFBDL5C2qRvPTyFBo5zsOTPunaSP/2bLej3+TxFS9UIZ85oGLa7XoH61p
eLGCYt7Ot4EXKoTDuC7trqB2Pmtt8ri6DL6QPc4HTcz3V4tO6eC3Th5CWjGjuSGdIGE8SKhksT6Y
04zl3CxxGS+ez9issEZeWg4DOsnWvmq8XYOd/N4vbPhyncZwnY6v84Ip27T690x0Xdizv9zjP5P3
65hkT4sxdD+cBOPtxow9tbdJJe1CdsUYv0i/KpL4JU2D4Eh6AeXOBDTHn846y3MOPJ2fFsv7k1H+
b+ycqOOCERQngXbRDRKz9CLKistkWG8p46Oo7+QtbdpbH2Qig8cU+Wgo5hJOzGj9AvDEw+hm9gW5
YMwidrXPQ74YXzPChihugh/BKPwDKY7zhirJCZeZfNYauRXYP4KU0ABY4sCtS2tskWhv1q95Kdx7
S/D41R6Evkn7xoHGTkHFKx/HTEIAYzG187rxTlCoD/4Ij2hlKhnNFuGGACeM+3nRAUMM5yVtJV+u
qFiv9EW+waIxw9TMGeH3/PAIJUdhX9FP3UJ+cNXepBwn4Sc0xUURMBlirT3W+klY2JnjHvKZp5Q4
WXHwjE/QOad1/WzyItqYrtr1M7FKeixfUF3cL0DQcMkRzMqeHF/UWsASD13UGmh1+nFnUeFwFjIa
JQ0BzQJOY69ozkFjjwifzd7hYVYJ82rJgQwvqH1dAkP+BjbF1BJ5cEhhsfLndYdjw2O4XfyWhOtl
LXCxcixeRrTIDyjk1tMySp8UC1CwRUv+WSIf5ZAHu8kJvmQuzqUm7Zdp995xyd7sF/sxoC46Z+kU
9tBJswo99ZR/uIC1Nu3QpmEHncMoHmPCW7crC5bnHoZKaKE1ebLNpj/jjhy3ANHTNxfH9wGFMyWN
Hkj47n0QhQj4urR1Is9vjX0FWTCZHjW7pkui0hxb3aq+KnyYMTSqlrJ77Jm9TC6vgKR27wQazhw0
YGVGeN1Pyez4Wy36IxS7pt446Cf3PgZruhWqBZBGC9cJNkI2+GDVGTlKrIAdeI6Nh8PkzexS51YA
te4RyHb9UzBr4PUzWc0dnzQ/1f7yOvqMqErD2jWcbxeU+zmJq2C9fq0FhRn3oSIEa52PSVvjDQ76
0fyAUWu80Pfbd8gS3Tddl3OombGn22JKhyvnArD2ZHLKH1IH8y/ElfR1DA2CmaVQUbjreahhyTO9
daY3F8/ZdTY0L+Ol4I/Ajkml9/GqcnK5x4wys2zt4KUUhLymulk5roA1fCrTc1+nVKT1Hu+3e6kT
F8F/qR0HNUcDjCBxfaMO7VKDokIXpjCC+jf5q4NG5nUqVX9kHUUZh5U129FROwdvqrKVKNrW4n1R
7YVBoeaP3Kt/AWYyQqhTv2jLDWgyGWQWs7N+lRR8LNxWBlYbI2ckMkymf55RoHBSNPy3ndp6uCy4
BykpTfcDzxivJd5sDhfDlsNPG5mIFw5W3OzaaXYxOdvNbp1JMfbjRF7Ysup7NEEV4zF2wr1U467N
SvdxImiSV7uX8KB0+Ad2Uyrtg2HE0FfZboSgVYLbpKveUCrOhBW4EwA9zNAeycIHU/dPUjusIcsY
rCAMVAOJT15eUMHqZyZr6Q7NUriu6PpC3+iqEfymvEGv1hw0iCc1Llgy+34SOz/OkVOa3WkwyurV
GgNIcExlD54u7WupCMEKvdhXrKKxo9idpKp0UBLZ5HaYvc52bBT3neIBTlb/iyirZEdme/7Ag99F
qxFMR4wc1tWc069gYKKH5/CWz6PmT6fFvzw4SRcVzkos0YwSqa2CzWSu0yZGoRdKAmW33fJBFF8x
mFgVrOaejSDCs6kTr0nb4bIu+n2Q+etbTRrjVidNH035RMCdFijmyv5kk/Mcam/t0bGb6W6wjfhp
aoH9epP8oeORPPq89rvIhFN3yX2GX5oR2JNTxAV+x9p1Xlg2rbsUEt6jqlW2G7WhP+NRfIO3JTIO
/8e17vvqrc64O5oCG70XBNnjpAJ7P7sS2wzgRbg1bFEQHMN8C2BNxDNdR5HnL+lkjk+excInQsyX
zCG2suwMM4iSIPEdXCU2d7KLUZEcRv1MhiJZUu4EfUwHNGjgkdggHhenYXV6ww7cbmqPxiPybk70
FkHAphWd+QaLGpD0dEsLH2fk+6shtvhS5qhx2xc6M6qU0en3PlydS67yeVctAC6XwvrB/i0+U4jk
dyXVZFh1NDSo5OXZxWMbznleRgu7vwsgO/fdM9aoSky1yzN7QVI1eoeibftzu4psV0yD+ZQqa96z
ZGDMObYKbSVVC5LRWsXP6awlwtmOHyVnKeh1tXNmNS0e+K061AcIMC8intyQ7RoB4s3qWcgoCDa+
q1ft/VkWTAp7ti/0gGzd9En1QRb6mAW2BbPUl2R1pquNItdI1m3NNA/e1SiPTukRj2FKtzkndcIw
rjOBrqHkn6cdJusiJCTiT6ekgIcvWal4jT39LpEO7EajjA92AsQX6khr7QWFwhlkzaGslvGrmJHx
RMFskA6bICt74+/7A7BHvkd4aXF1sVeHRiZo23S8lfnwYTp5Cncug+WmRAoH0mFMx3CH/Z25dRyk
sKAlJhmpQrJS7MV8XlY0aH5XT58jmtmHfOF+bDsvR+BKYwDe+ezVN75NC++j2LAzp/7vljR7Gju/
Y1ycD/bVTjihxwYwTxHsMsXzi+/mVZRu8Xs1qgw8Q+/9ZgMX3LmTOGVTbpMe28cW0yKMVzVnoSjD
XhvNh8FC9toIYifduhY8FYRKmoXd/lABvvaNjueCBOtMMgqmZvjFDJTOw+rsawIAlrRHnTf84YCI
2DbJuCQKAPbVjnlOKnCvOoeTMhv44evR+Ix73f8IUuqNUDaziWISTz99vItTn2ElbYKjcPsrkR/Q
7IBFb6buncHQJ2CZn0oHJde47F9tKy2PGdJyzLCizz4E/ef7uJisdSbTxPPTU6fTawx0UzDfC5+e
BfAsaLai0PWjTxxsGNe+vJKq7mF2Imt3rVH13RKnUXgOSePswOCjyVD4SIGDIzEOl9IO/2pwCsYS
u9XrH9l4wf7KGsEUIxn0wTesgFWG4SN719Zj45jzHcpNiFecR0+IPIxwZdK/pWjXD6WbOEgmx+Qj
HWv7FUV4gdYB1QrbHhB5huHM+2G6zcdhiIn73FLMncy+8ll4jQPUv2LbZKAQN17CTZDVC4P2OSuq
jVDJFnsMhoupBPVbW4h86lVaLbJ8L9/imKoj3xv+5CIbyQWNO/D+OXKGvijXyLLFi8dsP8SpE+wl
p2nEfre6M0rrwZ1rGJCyIZPeXb37pe8a+n2tf+LQ6BAj+8on+i+GZQXFNLg3M1E9saQNnrEV6wcW
2DcPMTYsY5Hs1WpzPuW9h7g2ScoptEGuPjsLW8bFHj+Q+0MZ6qd+vWDHK3Yoafo9Vyl6F4KwrpNV
PeEJLe40NRfhd4O9dZT/BoAv3Q55l1FK+jp/7dDrPKhZY/kwJyd/0x14uY3hr4ibsrkNW3sln1RD
/gA8hhNv8Y5DWuzTSqUntwKFV8W+DzjXvQewUW0RzfqQ75b6yCxjDtesrXhFaHUSLcKZNe+Zb/ae
h98Sku8H/mxUH1jm3w1pP/l9/BroVj2kfQIQMaaLK3oCRSvlpttK548pe0KwoOPB8T1ePwGiVbBv
TF5LXd8XzYwLoy+ONuXsY43496Boou6CpVoKhN7SvrReAH1CqF/+QHqBuZyThIWRb7inuqtY2ph+
QkxgrM2PtO9gY8DX26O0r17F5HFwjeykj3Ven0QjJ0yCBZoQhzzZTFjdG/CLFadEPG5ok8nB7VlU
EzsgAR6gV7rlE6pyB2kiP5C1gKwDY0lYmV2L1B4MPdfXApqqTdjLpo5ZPnJMz+VtJa8jbo5mx07S
PE/W/N3CW9+3Q+IeoP8w2gNl0d5zbrmA/OzlhJ4AqEGQ6JebWfIeDwtcwslfn5BYltGaxYykAlE/
dRQXT2pcrCghgOYTcmh+E1Xr+awrcwhB0vl/pLbjt3koSMNcaUqZSMddwSt/7a6sl4J3cDULJLaG
qUHaGNsCEHLk1m56zJXbHKvUsx5FJrN7ux4YlK8psX6BsscHZgPpr5KgQ2IW2trBuFdo5A5Cnhc5
OCAbleY8Wwemhto9T/AlAZ0C+Ua3lbFPcJ3gVxcHzolCJfnFkJAaIr+Nouwuf8xowisagcklB/Lj
Ngp6N+GpJMS1muPnGkvrjelG9ok+bb0y27CjJIiNaCVT+Ts1HPG0aMnmIG7KFxD3acRagPb+htez
g9Z7dk3o2enUYQH1Zfo0J6zPsUSQIDFiNPrTCHt+rrleWcwsMflznQsktS2rQzXmTmTkcXyaKtve
dQN3Dc1zbT6U5aI+GbPICyurMvIbfyIwRznDlY2B84zf2IDRsxRkFxs/86EHT95zf05lfEoTPbDO
cftr0mnx5dYzY8WC1wwO39HkTswMhEF9hcRmtY4gwSEDS2N+WlfWxRtLTf0WBEe7W3sGGS35mGEb
WOKPlfvxGYUOTuvWmHr6WqgeD5LiYMcyjsSHhteh6ruKx5ZWn9aZaQHbKOtJNYSO5kHQRDD92pc6
zp65Xal5XHpprl8b153nsUtLi/NQlPpVqhTqBbFwIf6jkZ01Ze2WGrl4D/IWxHBnxOnHDPUuv0Fb
FGMH5tsruhqOqMwodp5J3NxgyfWrbjO591O2d8NY2SGud/Z4Oa5BtjvLM9Ow8eDiCEXdd5u9t+Y0
/EFcs4R+k7jPayfW47zcAo2tZdjQdAWntlCSmQabGF6qHS6jSjE+GTzmCovEWYksL+OxZINd6fs5
Gx+rVYwo48Z5N0G/36Emo+ZMMtwurG6eh1kTpTAP7sFEjk5X5Qvl0lQu/p/VkC43xVq/Fim/A0xK
9i4rUbI3s4rv+3xC/R4PWFYE33+yIhTcFB4JP0wfvzlwjMscL8MYydLwjY1blpxB/xGtWJ5j6FnA
0ylXkMV040c1McjVuPwsxyVhhYJk+FWW7D9c1FcPcx3nP1Dlz/euzdKFOS1iWCJxSk6kvP471uj/
tVx+/93cf1Xfw3+6feJfDVwsFB/jf/mX/yQ97h9f90ZR+Bf/oGDKxuUR/uTy9D1MJR/KJ0q+m9t7
/p++8R8Bev+eEJ6EO/QDaLb/92L4MP2qf2f/E9Lhv3/k32J4JO++b1pw6253BLIYkAnqexj/83+4
ieGFD3xE+rYb2B5S9H9o4W3zn0AvwHOArGxDmHRggPxDDc+bbgr2wEcyjizPBFny334LD38H3f1b
8Xvixmv4+92Ov/kOHPMmQWd+AU9QmuSy/avsS1p5zLtVvuwlR8BrxTzqo/PYkvsWMLRNHvT6Ezvt
T9a9/bff2/UPRWeGuCVNpwheIeGxM42s5xrBB2V+c5pxSCIAyMrfwPyn9//vyvjrkf53Hkaain/b
lUHWw9ev9Kv8Xxkz/v7gv5/FwPsnR7gW2A6bwPDAveUy//0sBoJUx8DhiROCh/KfPYtW8E8OAB7e
20J2j8j/f8BFrNujDYKGySgmVRzO/1dwkb+++j97GCFPOEAUTc/6V4mmLAa7NE9N1FjWwE4jFqrC
4glr4zrUlf2qGmz77dBAoFB2t0K8ILv0pe6MJerTUvzmQA/yu6VRQkTFiPvWsEhapu1UWAsaX5A+
oRCstiFqaOYn1gQkFrmsSI8utFt11U4J9LIpoMAO0i6eFs+sbXqoAF/1GamkfwF8VDykPkksDjMG
gNE5ZgWYOmMT7NzVDlDzitm84lMYzG3sSXUJiE88KuUt+4lR0nlNDNLBUlzaqz3rg6u94BSQNkln
yuTaLpskpHIZ34LcAHlJXDydQEDl3oAaZqyOM18gbNt5Go/ZSFGxaZwVhL4iaP3gS5gYdEJCzQwV
GoGHjgAOt7rzHHRKrec3/cb3vOWE8fhmLm64RnvHNJ6KQqLCa0ZW2ctgP5ChkTx3akH80cP6xUEP
Hm2dcppV0VyrAJ0lkAD/6mICea+N1t7Oto9xlh0SmXw12hxzGSPLlAvG0dZCq8tFLvj0P4gt7PHC
5QzVRcy3QB8RqsLHg1+bU/Y1ID2/02Uff6RxxdwX2d7DGCfWkzkCdGE7xzJkcMlcWpmElTA7zenS
DoEkQZt8kxVl34Xuqz4IHplrR1HxnCXuL69x9BOm9B4x/jTdB05ZAMVeaDof6iYd8gc/Wfr5tVyc
9gM1Y4PHv/ACsoedme6HFae19UoxIEwb48q5xQ8Br2TiFCcnJSywaCYZ9D9aRg3ipPljsTzy/CSF
X94y6gD/wJfzkmKF+JesX10jMnzkRt/CoVvL+bLO/NghoY1EYPNGL/ISDeBfmV15ylRnWCG6hNRE
iGsUT6pmvYqTnE1wZPYFIueipAYFh5ETzeZYiTPs61tUF0DNgsgMxE/JfTUmwUnCJY3DwvHjx7rt
1w/ovs43MI7pv7J3JsuNI2mXfZWy3iMNcAwOLHrDmRSpORSSNjApIoR5HtyBp+8DZVb/GdFZWV2b
tl78m7ScQqRIwPEN9557iNMOo95kA3ux0c8hcksFJaA/lAfc3LM4kQDi40cdrPLJc9PsMkeZcx0D
Q7mPKAqfB/RIj0nhGLumDaP72ciYO9hmWz7MQ5M9WvNsMPBJyGGcGdoS4oLbNW4clwQBv5PnOEMi
sAwc3S2a2wpVjWqOveOlYpP3iXyeQvUx1oPBrwpZI92gXHb3WTbpVyynVLGhJhkJEJBfvHVmPD5Y
de48h5qF8pp5OgSGyZow8o9+Yb8WQuG27BA8CPqqRj9CESnPqYfCg4QxkJOruUQz4qQmA0f6NRoM
C9LxjjQ97xvjb0iRxtDDFtUzIlL8VR2B1bqfXk2/Na6VWRc2IMjQHVeF2cf3hpM2F2dYHLuzGL+b
RTsDMek7/yu4wbZnfQ5o6DERZvQsBjWFbB004YhcHCBZe2mKF58x7QNW2fYLyyuXWbATkiQ2oeu/
MmryMMB+F92wMadRo8ELG5wPntVNLA4dFb9PzCRJ7SOe4WsjwqJd5dgrZ3BlEMquJs3dR96OlMM6
TLzhFKfs4/Y0DXIkq3DAtt9b3cHFEPSl7Nz4tvdK/73SVv/gj26dbytJ88YXF41qDS+WEBQMRI2z
psv3zvNYW8cC9vS0Y84DBknXBev/3kyMmwnfGrNSk7khGqDc+GDDQaPXFQLkZteZLlcss2gY50wJ
59i238G7TN1OOKMkMApVQrbGIh09l5oRyy5jI8GCMmArGBdR3mzRDpXWpkmkJuBozBYna9Y8WUU6
g7ItyXzMDZOxwLIi2AbY7aDPGiClYPzOBKe0aXBDpxTct7Eor1VvscXxupbcFNuzt62JEmANWSoA
pYliEnlOGKRvrQMYCv1OqjbMTNA3OmVOO1vqnL1giV6QAQoq37ZMgKXkErkaS2L8sQvmQlbEbDF5
3ST+OLynCggGwtsEnUVTTh468DBpr9tJT9Z6SipjRbrSdFeGffmaNRVgjwFNdHU7Zhp6xSzcN/L0
ZLIdpry/9qGxvtRadM9DY3cfGitRsTFg1+OhddLoaVI552w2on8uWpa9cB4h+JyhVeE6QF6FoyNK
DSSGdvylHT1xAi3bt6csyc2UbHaDPPCo9RVg97i9YYWNkzlu5nuER7SPY1SGBJKZ+qEVDi2OpY3w
CMTfi3aWtvNjBH4o2M8DF9BaiKmSN8OM828L+nTam42y30hNaI8DHIJr02JcoQLJoM9pHRWAFa15
6sfI4ZkBNIa+NVpVrNhSqW8o/PvvUZ3T3A+pX7Q0RDyfySU36zcV+eNqANIvsfF4LGNKQzDmdZXk
yZxOT5FiUU4UgwE8JwjqFGFTHStyEUf81Ct2++RFRONsbwyJfi6dh/7RcfPU2jihrigHiKCFfG6w
erIsp7n4TP/2eYOCbfAH/YzTJczg0hTs3aHBcDbViYnymBPSvmp63Re3NW0+O3fLgGCqG/DPpSnZ
EedAObdTHRP6wmMF6vWS+cncvI++ze2iDvB9xJp+o6ECBUWUMV1r/RbRQM7M3IZ5Np1UPhrR0ScP
Ld6GsDVe64DKwUR09UUz0fjhZso/mkZQfnXdLH4KQBgwnham2itzCcCwnH7vEa5ynJAnAE0rhw8o
pZOAIo3XnRFxCPyiBwNzzGOYTxOelXUK1fWWUgqFqvantQVutVoXkXS/OTICpuMFtfsox3Y+zY5p
H3WvIHmOejKvcxU5G+KqKvYCCgfCYAFmWDA/AgA6XgnbcOHukKuC/F/VGLjYWzXvM9A6dNXElK3z
zNGPFfFTR21CoiNiZZaXhGMXaFxuuifO0ear8AB6EMA57ie34T5nSlzeVLRJGf5SLz9oK+yfmTE7
V4VnzYQo+uOd7mx3XzeqPhABiNgQc4Nzjge7OmRe4r3gEeLytFUx78PZys5IM6sfcVegwkfXaTPg
8Nz4MiFI/lIpI9qqUI898phO7ccsD26oUzC2IlKOoQIQw7Va2N8Hx3GC8+BF0wk4c/46RWP6EEDf
X3Nkdgdj8QALdFSnAIw5KUgVD4n/tx3XT43+/yed/R+8Rjrhf93af+n7t/YtWxr8v8I18md/b6h8
6zdsEb4PAdIjjZsJ/D8bKil/cyUO0f+ys/+zt7d+Y5po0ywFUmABD/7UT/m/ATz1yYKX9jIpoAv7
D3p7T/4Ka7RY9FuWK02PARK82l+87nE4IcO1PcIBU5eFo0T4M6PeqAyobNJ966aQme4EL6qpM3NN
rQrez8wm/MG2A/dDuVKd2TQkxMAAgQrToWGJ+WWYyw0GxnktZeZuYiR9R6yw43ucDP3RZJ3qrdI+
wk4bzCWaeHzS89Eg2j5b+zIx78HI2egDmvlG2OQf5I3TY3obeBce5K9V6pHRYWbqgCW//RG1eAh6
gE0h51sSbHIm2ddmPyRncgxY3CEH4kweml0h7Hjr9EWy7foUCxyauHVAKOQaCLqxj1M7+J5yMyNu
gE/H1Dt0MJgP5oME5HWT1R5BJMyDNgUaagJfejWfDCsRG3BjFCCzxNBu0zklq1i0bySh80ZVlBMy
4qOfWUUs9xXbA1blljv4dypPI7ZONY9n36nfzSJvrp3MPDuz99oHZCyhUAMVQt7ilJ/HkYcQ7hNS
q9K16wy3sswuwHTomBzZ72yyZ2cvao+EuOl+VyFNzeHeFfWl9rXqyUTBaNYDBWXNjIbV3FhOcieq
9Io1j7+q/cLZhECyQAwyit4xPQ1wpwTIWgg1EdUb2KKJY6kNXwPKMx5tfn07dxackhk89GNOKXtq
2dYeNFLwi45jagjigCM0Un2GHWShWXqFloexa+SBkc/4ZbRdz1qWH2zmNG3OyjasM72Rgb6iMb51
dh/CmHSFj1RUMJ4tlfyqck9clVTDqyKK7YX04U48rorke8Jgaks+65KIUMlyVbnIcMzKLV+pnbwb
WbGXyS0zfW/r6qX3J/kSEAu6R02b3ReZM95Cy/KeKjJHeerG5rlMGnlO8yHaNKx2N22nz9AVkHya
uty1OKoOganI6osccccmE4U0tXlVw3Diinazjm1jOLCJibMLCiCeQHkm0PBJ1uMTjoZpRRkon3oJ
VGpNXgA+yCaZHqhY9bFQnXULp4gYqsitxzfb9RXBUeTe2DyqeA7M/avCNHvmIcWKhWn4Y2cuqkSI
herGRvXzmkNPajFFzF2zRjjlNtcB0bV6FarCaDcOqveVBOq+zWzFpCNUfn0w+kzvS6bSzrp0PXU7
el7x5FQUTpii+CoIz5XxFj8kowVWDhUVUdGs7W4sTjIVwCAS07/huMDemiUiuUY8EYDDc/Jb1eOp
Gr3AvAVmA31SSHd6QINgIfHuO6hdjVV9g7wc3UCiiFlR4FvcjVhst4mWPK9sSxpXRZg1gNwsVVm8
aJneiNkuL5iVs9uuVcO2D3VJh2jlTBUdfZBSSUQYhqrv/FqFN8hggD8WIAPHuocn15HBs/NdMAqr
wMuTs0hDQaYz3ikr7vQV7RfeJFv059KsFSaeHHYGy3BCYENgO2sxfampkoK1C9/q0WoL8W4JYglC
1UAWnZr2wS2xRCYO8vYkJ3tYJhb31qSK7DqMcnXnD5a+m1xXkQZWtT0rGEnUAdGTluwPRmO2B0mu
9TkjmvQQoEE79dJobgGWFLeJK92nxvDUkwnD74eyYc2tZl2JQzj7xoOcBnEzdsLF9NQY7tqqVXpF
5UTGeC/TK5e8mQ1DfvuD1a6/wTZUP+G4x1pQ6/YJBSLCbjsb+hVtyLy1rcnbpU5goQbO4p3Zobse
56hbN04LA87oRPTgSAwycez3xspGVXUkR88+o3DA8VmQa4oKEhdc2s4kn6bWMWVg9QykTrINE8N9
E7ThLf8YHutekUuvrGKPEDbe9aJsrnFyDdejh0xwQrC3cyxRvDKWQ+DqF8UtaA/AE5qYHY26l6vd
6/GStTYCEgOzAzCiZmuxr4LGAG/hRKDHcKoRcW0UnoijQ0TpLcLfas1s5ZtotQ9ktjvVLIH3kqca
ztZX1uCNXk+DvI+aBPewnmCgyAhTVo6ArTPVxmttzAWtKlEbDALdNcnHwNDMPK5juhCldsZke9G6
b+36XEsDt/yikmsHJnm5T7Ya6NTygBcVimXirhz7uZ3ak4vz64Jf6lBgi1rJJLpomn5SeWCeTqig
iIlqDgGkjm3f4lmg5ivrbdsS1bCylpXvKbN7wn35TopVnA6lvxZseXdZjykuBofP72JF5bbVBQGe
bfvKhoGTmfTkZu0rW0OjNV310HZEBA6OQPvQKHcHr2KksG4xQRHfGFD91hNNrr+oJHWwUum9hAi/
youhu4U1WL/XZGQfwkDU7w1CiZOu+XhKrvlHNgk4snXtXOKO8eCE+XxjdeV0ZSmx7+15Pnijnvel
EvkzALbvGQ+tvAjfYi27gyqWbLDSOPR0VL0TrRu3onG0aB20A7yic7Ph5KSViWZiJL4VkoO+iWUJ
kERgKiYsJibmFXiutSPYV2AaNsnSDlvvZAk4xtwfzRmd7HCwl/IaxFv1veiL8UDSjDz16Pzf2hjF
Oua622XbsWKTO2+jsQgf+AKwDWlB0Bp6dv/NF8w5na6Jr62IYRv/ow1aVlv72pyrW3pB89wlSfGs
RpOeLo5qmATGOCIOEGl3wJiqTQ4nM/jAo2evQ8MIkA1kziKDYgCURL5KthamPGfvlUl8LInSBleY
RckWZMh4KLUeTDip5F7v6duqe+qLpLzkEQGAG6PIY8zq/Nz4SPbj7G9E06TqJtC6PakA1XfY28mP
ghOHEFDHU+tco2/okA59sUGtbVPK3bWf4XXo5JjvtCiRADMZtUEOxcnOTvEH06WaWztYoK++QOJZ
JGLLuKu+Bzh5s8yiy9pe8YLdsa10tUGHkK18U2OApbRYd00WrdtO6e8KKc0Ho+LvIM7aV8Yjb149
mkAhnai6CYzIOwy02odZYjAqKxsfGe4dilVzvJoJO2fyBQlTdnFB/CaPp84c7JPd+I9iVgV7ZJUx
6zf8DVpzks87uRiFEaC4RIbv4m5IrmBCqBusugbGeWU8QIPs96xXPYS7pQfYcgq/+7i5dtyjESGn
s83XMBSPiVshl7X96NYsYr3v5rEnE7IgpzLOCQuWEbjckkfnOhVzunGdPkeHNgbRaWLGtuskHL1W
y+bdwrK59Y06vC0SEISmqgjc4YhCo5e61wT+IoRCybiNGiPahLmN/1r5ZQABkHDu7YwEaeuy0a3W
IlFyG4eIRtNehhHVlTKORVA5V9Jvx62FD/xQYM56IEs13ra16V4GaB0Hd3KyfTYp66lvicWsRWfT
zY7qmORhdStVDttv8GbMJZFpJIsWm3QNldX3JuuPjRbA75wEHb8vZ+eJBx1QOa/16Q4ST5Dq6Gcn
BFH+Ae3PwNFSlx9+mfkXRDT5lzEriz0gbSTFLIQOc+a4x6CZnB3MF/NYMkYk6DEMeNRMJV3+whkH
8KrPndnfuWZHcE5tnjNJpKuft1/phDeNcmK8CsZLOap4ZUeV+8Uucw+zRsssqKJpqT3ZrWth6lPt
xv22DUtmo9pJCEBegMJw6gji48Jgx1D0ubo3M6C5OEtw8JKbx28AcbiFonf6U2f5x072H+VQ3FZJ
2Xf/838w9fplCftrn/ZLCoXh+3OqzCQ+aDWAgbbdbGOMgYSD7tPgu2kFvUQZX5pA6EffsoLnyR/r
GxHP0ZWPTvMF7VC6dUYKfFzzIkLSMtWPQGWwr7kGAfXInRgMBcZtObZiUYolAo0l34C5DhxKCQON
5LPjkb5IUYOvNhR9uYd762xBtF75fmJ8i7wq2tgGhA8jZfRQtN7T0HRY7Rgqb8MmsBhlD/KKVVW/
Tpug2hDrwU2boSRj8YKczbVbd1M0/nxsYylfqdSjvSvGdMXw9K0a3duhHx4cKhRUFMSaBoGYNu4c
T3fjUJ7DJJvPyYi22M18YBymxfyZrjTGh5jrFlGkGbXud9E3UBYNZ2F/o1P24+0IyQ1WVJELpE1+
xhEbe+M5ZBsGzolqF9qt8O6qqhtvOsIyjJ3mOIAikIkf7mAm3+twHje1Y8itgsR6XwHjClYGe0C0
RzBhKvzbV04/YKoRJGx26Vw1aImGZN5Olal/jJ1+7uIZltzgJjunLfKdq5t8R2gZUPvatVc2u4FL
qPCfbtDy9bgL0YoxqsRw5lhzcoMphCd0XIpTSP9KdG8bMkPWY3LPjR4cdaDVUVTOeJxh8a6sZOo+
6rinFCyU0uQgKeT2A/XCEi1XDpI9pVGdxVJnsy+k5M4/y2+C9/DOfxblac1GiQ9S7Ex6efSXKo5v
7KWStz+LekK6rJP1WemjtAUwutT/yvD7c7D0BNnSHeRLnzDko3BWbcTGsEuVRR5c0D0WS4PRfvYa
HpUZh9HSgtif3ciwNCbF0qIUn90KikGNMCnmYY1fd+3HU8AKZmgMRG4Yp4PPlsf/bH8s2Zb1oW8k
tJXWYx/XusGWxR5jxTbjwg1w66wj15JvQHQFfCTU/eQ897eEGqf7yZ9IKfCXfmtu5oe6dbxNbtT3
hsChWht8YLZRV/fFYCGbT6iUjanTEFcohU/QEZorLI6gAQgixXKQDuyZfcqwlc/3sI4j0/oqEI6t
B5Qet4EPs6fhOwCxtrSM2dI8Zp99JJD77BJnPZMCmkw2I+lafXae3mcXGiwNaW3Z2R6Zm3EYlnZ1
sLzo3NDB1ksrmyxNbbG0t7zJpdGl5W2X5peZ6HhLmEZ27y+tsWtE/kvpNC+6S7N3b2mgh6WVnpem
GsFfifBq6bTnpemOl/Y7WBpxHO305PnSnhdLoz4uLTtqePlVL218/9nRt0tzT9Q8lp6l4U85pAuQ
JbCKiDdmG7JMBrJlSDAs4wJ3GRyIHp/v35+o1q9oxd8PVGpDsUxtpIt85s8pJQHrgYk8Jn9PosPD
/Gw/N2/Gc3Ovrru7hJ3hjZFf//eclPEDD6J/PSM9vLXTW/n203z09z/z+2x0mYAypDD5/C3C6j5F
TH8Inwi58WxviTFi2Gk55n9RQJE3+QGz1MBbsmqcT1HUH8onIX/zKCqDwBJIo5b/8h8MR125iEqq
fIqq8nflk4VihSkgQ1rH/IsYpcxiQpNlXO3pyBGFLEVhlJ/LgvV8msKy64cXwjrzI2U26JagCcUK
DzYW3qwZD+0oAq7uFus8cO8F0JEGTxW3+LNQpbyeZ9P5krhhd1HIc44TGQ7vVWLY+KuYA5X89eAV
zG3XvhkkEzPK3vmesVxGl94M/TX4J/HoyDRpMJcXJX6RWlxa38sfRU6mOkBjYi5i27rtGjvbDNOS
5hJ7Bb45CDJeHaZPhe92pxaa9pNZx+klTYtdMiEi9QGEQcBqgi055D6hLz0pvxIJIs9VRpyMTY8E
Socg2l04//CXI2xMdrlPOnAjjs7yjd0M2db2dfEAD1+ytUn768Hygw0qyY0fuyzeE49Rp+PUFxsI
wknnprMjNHS8dsTo4IfPsoexN/tL1UfzNpVeCazH6QjX7SzoZs14n5dxfwSjgeY1R1WcDe51OLT5
tdfocd+gtXixWhhe7KJGohcFSlzRZDd5brcHN8Mp2rf1BAO7n9+CAiS1naT4a/Nq2IgYB3I/y3wb
tr17QgQjCAGvP8qSKmZT9ng0CWvNEPD2Onrqx0g9T3HYPQbhEP6wZmdmNOyjDIGaatGtTyb+viPC
56JDKhCbLwV6PsI2C0TcTMikfk0nqtJdBin9tvTH8Jz4hb4KjFhThGMy2Djw25NNNQTBZmpRohBf
bxv+mnjXhnKcQfuZ3XABsQ7iaziybFiZFUKFtqvKs430Yhtqt3nIJ74Xp6Ga6xLMRRp55xyTb4LR
0b5kmH6AwZT9V5160bbzg+GrHNPkCe5+tOka4558oPoqHZX4gEXgImFIBXFAQ4PROY0mfSdE+p0x
0CuC2/CChgSfD5SUK5Hb7mZQGNVXfVpZ1prGcsiw9NfuhYzK9D5GeoXDvptOuBDkTcHWtzKyLxp6
DdNzGY3nEfjsW9sNiIaFow5R4gPXmeolHynfikiHh8rosMTYs+3dLZz/GwK6p93EPvLURLH7EtMw
g8WcR+NZJm7yxPo3O5aZUq8FDfabClm4x3Fhb8ha9q8Qj3WbJFCbzHPvEm0192ixinVApfKG3Lx5
cjVO+bYa7Jd6rKPjPIz2whgP6RyrBFu2Q6pkvOF/ra+jDs0cYx0nugIKjjVCtvWNq5PuNvHr+msI
yhgxd2EOB9Fgs12bRU1AfJiDYTSndI2iyLpnim9RxXI6sAoBpNTruOL9mkWH5U5Y6ol0CXkaoFRt
mMBUl1AyavT6VNygSesudTlYW8zt7akbZWtRwKRusvbq2rtkcYTzJ8zx/oGJs374ZF3+GAg6uVDp
wdZQwIssmDnIXQjJxp2Ipr/Va0T86kvSknS/xwRs5gyMh0xugskKNgXAKIibdupeNTY2wc0A2fMi
AKRtq9w2d0PYcA5WsjddCubS99dlGtfb3pZjgnXI8K9732owgwXSfpEMn+DSam+CEuK2eMQmFHIk
+uaEteMv8iDctEijz5hyodA4MfA+rHvDnTbG8ntXzJ7GzRSJV6d1tcu4oYtfdOUvuQV2hgBAlqlk
5pCLQb5MJesczOq2/8UyhXudNZZ6bkzibU6EX7KsUlRjR0OZbrnv4eVaa8RcBtFdWrCFdmv5PJCj
4m8Dxnq3Zj34F5tUcA5t1uscjDiSk7WBr303CDTnBBebjHdKERgvXqwR/GUVNkzUSJ3WF29R2x7w
ldbt2oadcc2mqIm3Wve23kbCwhrUGSpt91MJYgIfq1s9JN5Y9itF3Q3lLWy7d5MQCKIKKJdj/Jmu
6B/q2DSuZDsXO7h6PXLcIcY+lyJbeDCjpfR1RDa8JNAl3HUBDwlQ/qAcBsLdFCOvMjxsLp0b4srP
iQyObKiywD4y6zSluXe0rJ49HWtA/dEaXvkVj3C3B6UyEdnruAr5Oi3NfZLJ8Cvyne6SB85HMxnt
m5sE9w6Eh2o14/ySK51X3o4Am+A0uIN+pYnFMOoMo/fqDGbnM4fNpqPpRSCLEnaV+4i8ofsw82f/
NspCg1Avp7DI6pGt2gUp+drbVsb9nvV576w8oGQMszh8v0AS01eLBO7JZDzRYK4g1ae2THaYihCC
HyShIvAgqZeen0p5G8fKvRjZ2MHUdCw2B30xuEfDyLnvW26E5xpkwiPWfyIfCymALcAz1ASbIKfY
z2E4EhscWZS0Q3zJCpe028ygd9qWXonXXwL8JF3ZBwjrdE6J6iMBUdLFQXeqCNP6Ch+7cI4JrsB6
HUoatrXNih/ujwnPg1Z4eDHsHEunYXa8QXeM8u+NMdIEwxebr6GFcsf0oZV/Tct8uOIMtd5Mq5++
KtOHm1c60KND5iScvaVN+B4/OlpxcQ8viAbmu260QyZKWaD20nWNF8p0DZbMB9xPXvcPCysZUTdl
8BTNCMLMOsjvHFtHwJU0BsO4t4uLnZcAvYlaUz84dPsbwDSo7YI07p/G0Zn6zZzY1SuajvqIH4VQ
rMau7Qc3gUMHxycz3sumh/Lqe2YLHCqArLkWoU+pEAx9/pbEaDH3jE9JHMObGUAiSNAL71NRmM99
0Q4PFSHaP2Ts+MVXC6QRPeek5H0KxzraSQXqux1R7NCgVNltEFuQWXqMQxDAI1ddhT0ja1iK8R0N
fsJKzFcAGVWywV+Zv/NdaSK8tV8/qa7nKTD2PN9pzO+zNjZqsu0rRkhRY3GDkFRT3Rlyybmn/wGx
mGYQSObBkecxnkF+asYO0aFP2mAAfyPIps6QdiB3jt3+ZiHzcXlK0ZFbnMXhMyB1cFikvQDvzPlU
IyOqn4ZOe3e9WhbhdcL3njLZvMXMNV9m5C4Jljenux8sOD0KKRu/s0mUoddacEVUlBTHZIEIgoMl
1tzhCceV4U7yYKSDtbMqi87VHrNkm84m0AlpMUgm5y298SwXFSezefEGcaJ6MpjvsAb1OvOaJp5P
JMiz5myazE5WtVMnB0tH/htqMfsb3RlvK8JV+wRbTfH5xhN+fmRA31gwwDPIh+AJ6FC1Z0picPj1
4jqb7fSST26oN4abz3tM3mgzbafO9ssGH8ZLak5yX6VdcA4ht15ppyfGexayTzdJEnevpH7FeOnK
zv7I66D4EWLPOrmhEb3PvVikXN0cnIW2r2PfNo8Tk9T/zo/4v7PN4FpB4fa3rhkiJN6Kt/IfSGv+
cZ18q97f2n8cu5x/7P7cSv7vn/R7MxnYvwWuaeJDsE1b0v/R0v/hXBC/oSm3kbjQN0pX+qhg/hkp
Yf/GvxFkptJuoJtdMpD/aCax3uD1XJQ2iOfpKT3rP+kmrV8muJxNIG14ZxbvjOxWftpPA4eua3AJ
J7rdx4rzBLXNO/Jb+iQYR6s4hCZbzflH76F7n4PsHawbzO3KsNbNaNIvVYtQkB1FqDn9wWo/jQwW
f1dy/e5/+osp86/BF8tbRHJkUnhisCBL45e3aI+hi5ySWCS/YIRosEBhjtbYqykOKMSbN471a9ay
G5QAHGZe8+/ixv/FG3DsQPBRSRrvnz8jkVm1r7BaoK1YZpizHsnayRmBJuEWAhWREWEIrT7oT0Dy
h1Vq8T7+NJ/4i89g0Tv9qeX//AjwWiFxd3E7MXr4+R10QOraHDHOHmc22RWWfKS0u06a8vco5H/5
WTu/zBb+eCGPl1lcX8L+5VeF8dT101Q1+7IaSR6L+mCHROq5ApezCyZYDxDcqnXjdfZqVCpYS1hN
Z0OLO7cEEYUH29ja8Dvf2AOpZfNo3tuZNQJUMYN94GrUsZiy923hZFujdgh7zRx8mJT+LKDHfitR
DuzCQdw2BkPhOOSDnBrvhUDVo9l2/gauaniKSsNfGaKGTM+c/TKFX2blLD3L/FhZvrtztNLXuss+
LHvOtmQSvpcGHHVsGtezH/wY4+LenuXXv/+GfrGj8cFxSyBvMC2gMg7R5D9/Q3IuSbhNmnpPFJOP
TGR6wWS78R2UFKEQYAbjKFjJZgx2f/+6nz63ny8Nx7Upv1Heic9j5OcXpjmVWEr8dO93MbbdHpqW
9Of+IEQtIJt0NI5yHtdVK9yrYuKGLrt0SX8t+UJzLbY5xcbgdwhHJPcUukBWGKHEp4OhZp+nITvU
QJBkPpGNsv03753g518ua8fDshX4XNXMzQjI+enwMQcsK5OM8z2TM4JRjc98KZB89hjcA2yotpns
831PqXNdAzofGfKoDBhYHpAKUHjH3w8gR+8q9+wtQjK/Y50eGPzScuK38XIkgNqev/39+/4/v2vH
E7bwXIa0DEYCnhp/HtL2IjHMduRtK6O1qao4FBiHYWRdPujWq4M1s7BgGYaIf3d//sUHJhxBNeq5
6CYWBeafXxmWQqgGduH7cAT0Pg6BvwqgR/6bKfQyZP7lkvJs8hpwf/LLceD8/Cplji3EaPJ8H0+y
3Mu2yU5tGL//mw/RWX7Mry/jICWllLKcgFjun1+GAlTKOMX6BYnqI5QhG3KvC2DylDZiMIebPDCQ
sodjD9vSmrNT4eYfVgS/oWZ76pZDzHMHWq/ljMEaLLexZa9oHvKOizxLWby07H7Xduk/Gp4x7dCa
Xgs9tccEtc0m04s/zMqDHZE4/ZZKVeB5d/em5nxzLU1udUNkUQWMhdLPXXSAvLUU7wK3B3/eaXxk
gDMNspj5u0ZrY8HGL7voBLD9QNMX4/DYCdE96Z4UC4HqaRX26XsxJ+9uat8V0C1PIXZ3hjHpRyuG
6kAfBiYHQ5ihYUoNKC12eZV8tFHos1njzG1s1hvZyPaKkQR5KVGHqb3O372Ra5DchC/NXM+7MQ8e
Yy4OuvuM923flUlgHFQ8EtYi+mer5G5Xy+mNqaz7Wmsg7Y4Blk1r1KKZw4vlQeq8WeTHrVohYear
5L2LtM8MFXJQ5CGlTIT7WgLFXqMrEPdjpSgekpkH8exBQs7TD4s4KqDgvb8BrayJee7vW0GQRsbT
k17uHCnk96hMO1r6uttmPEA2qUayUbTMxMy6w6LQLlJYG3Y0fEawhl284xYDgOgm77bD1wE1mRFG
xxM4n3qgIE5xdvP6IbWCRzIFC27DFq5huFC9aR14sIyk1Nl8NWUH2yuZ4fDU8IrGcB/K8p2+tT12
A7YcQ+bdNoB0BWeEw7JtUhRcubdrmvyjDFpBSO6I/wExR5F95JJ4IY3fB9Yjv2inCnelbPJTltUf
9MuNMOU16QsCJxDPgMx2gB0PDXbLmuu8Wh6ZU0V9lVm81DRmH0ZkcMXyzU4y+nCtiv9kNu4TCZjg
GWlmVsIpOvJvow8Wk1wEMac14H4fFi/IOmI2lq44IQ63eKfLy28GDNsYnw3/oRP5bk7jdzbA1SGG
wXPlhfLRROaBfMO3zl46UFstXwyVwXXntT0cfc60z2t3Ulw29NFi1TGfI08meffB2xFYbd/ZRO/s
wZC++yaLcUDv71bPrfF54bYz7ztkzCTJTSUS3ttPwn+sAwqZuIHJ+3kLFFxhlmXfdX0LCGik+GQM
P0Pj4MsakqXaMPh5VVHT88ZcQexHSmQz3C71UKHmFUgTsX2QMabCZF37XLQVRObPN87bpYoZAOKk
GF32uMrbK+EO3dchUBAQe0D/wES51WRcX6qAXW3CTHkNwTbbzg3o7P/F3Hksx61sa/pdeo4bABJ2
0JMqlCOLpiSKojRBiKIIDyQSHk/fH2rv7pCKajJOxB3cyQ6dI5FwmSuX+Y0zck8F7ZOk9dN1isxu
NYCWS7MwZeweYnNGANOaJWC5eJTNPAdLF2XY5QOjPH1C1uepkuwrVDdfa4e7Duv0+RwuUHR5bUfy
aK8nEpRpxAUaOrBtzgkinQlknsEYssPnEIIPfzHN5FNkyUwwbGPvoa54zCsPMlhNVCJQZRtnlk+o
ih/Pp5Ovs4r1iDfArCu8omX+iqp7eI/M+LYgSVqjmGZtVFNKBvxmQDx9KXOCiTBZubBP6J81yZem
YR9bGr+3J9ZmuFsGtC93ys2fkTo7h7Op5EUAI7o9B6XOJrygIvGUjtxb0jm3yJzP+xpVPuoduo+4
BQFwSZ8nLUnXnkBYI+/5uOdqIl7OUQcLNpAuLNbKvT0/4TBlr8uWqBP7tBwFrmOeWsmNnb+BNP3b
pNAGrEUXDfDh6EUpWNNyWTZwLXG4ASZYGepJTy3jaKv0NZNRvlFokMBOYjGeI51nEUzs2HuoJpSI
LIhVG6LJcNd4IOdGjf2bsjORCp/5Kc/S9nkGrKZdvg5sMXDWc3WcUThDzIp9iF3VeHWOxMm4JGJO
lAcD3FR2MGnWNHsPbi5pLfMTDnfijdtm5G+R7wGekHRyi8fNjDJ0kdxC8skCz5YcPw0RgTXMr1/O
FYH3xqpZkudlOGCocAMIZNqJEOe5bOJFLitspO2+iiVpOpFm2898KkhKgp42gSeXLCus1XE97/k0
wiehWL4uLZSnBBr7yo2J+lRB5Q4D2p7Sj6rgHH/zJTou7fNdid/GSsMYd1/Dzt0sZ5xCxXQVxaxq
eqYkZGggOQ53bdaEm0X1LTinw13CyKRDIutGC/PpC5K+1d4t2N0iJrkCe/d8XitlWzynXvyKDN1D
qKe0oGx8tPqeV72cNqFPXMxatgADsuxmdJ0scDSHQVxPJxv9ULB5JoxPpCbrrQtgmG+rktsh4a3a
kKLXFkSstK7jfS4rDryprW+JkvV1YjHSw6dNQORGM4o5C3K4xgyLsxu8TVXh3JLWdHGrZphgmsS2
vldyjp5jd+wWoLiVbHuDwVvrJc3Op+tLbZC8VnX1BLivxdgb9w3Nz+bP+MbIax2XoCCS7ecUr18E
lZmx4RxrPOmWkaxmEGVkxAIjjM4IAyFQkYU+Co+fMqmvoiU1kH11UHbs3mNUgw0sIoBrawg1VkJd
HbylgMti8uR6VrfCiAGtWSM+hH703GmLLr1Ld7HPQuDkw9xss0Gfr2ecUFayJNgvZV7lyizAbZz/
eBBMbCR09r5W1LcJiOZgLFOQflXebmzEWdcNDXd655FFjlL3FGi4T2MWx7TEVL/SmYSthZi7Muoy
3+uhhILvWofWr59yTKlWfoeCdS+QJAB6g9e0J5od1sx4jKRWyOVBwpQtv8wyOn431NtVYhjdViG5
lFf9dzQDh19Zi9ct2K2Qrm8Yw9p0fkpUuJkO/uzAqOELFRO0aFCjtsDYBYth+Lom8gVphlWDY0A2
AVRv6tRw2AOaiaDliMuJaAbknSH8kTzfawhZa4oAAIpzCzM/2XgR3zSKb7RBXScV8dfqB0Y4w5Vy
cm/lJQVG9L72SzosPndArcocDZOeqvbDbom6aW2IQztbpwhiO51S/ag0puU4WqKNlnZNoBIcelBO
04NmLNi1S+WD5G+60mfCUtIlr8aIvkMckz8ZIZGmKuPpi2gBmvOFZzCnnEBW6YSvQ7qAMA0vfyzr
zrq2Zv0JqaGG99I8lQA3V0VWq5/R7CNgDIFyMzsuY4uKJDhmNAr4l4xJp4ajt60xez3HcUvLjkLn
nIsIDgAp2o3WV/6uk4qfWip62ye5cwXb1MN5h0PGOIkRT4C8BDeqCtZttSxRCuYdcPVnZJG9XVb2
p9hjxYQ+fWvm5wRNjoLlPntPx+SL4NTAJMfUg5/1SbM7I37O7OpJz7pF+Ek/NTP69a3uskIhVFwZ
Bp3WRHe7QLrRfZkPRzkZ3ykg663e21BRdVN96bTsG5Ok26h1d7U5+VeDIqiZA6ICiItpG4+sCgG4
lux6CaczYqo3WceJ13stqGnbexBJ9iwR5SPBGO+ZrIONr1GAU+Q1muEfEZp1qBtBHLbmgNIs6ATf
HNB7Qg+1NXOeNVHOrTWk8b2uDPkt0Xn3JWkyAlvuIbdYYfjegarSvIoEi3da5APv2XK9xwrfsmvo
bMNDQVt/1SqWm7k0r5JoQsUii9eTR1wLG/KcrI7HW00TADkcfwnSBdUKyG9y76adeVhyTBOO/K5M
GIOg2gtjytiFyFcdDD99LbX4NeK0V4pzqCnt20hwn+cTHS1XHARId+plrUYsk9vQWpRXyQkors1N
KvDA0bjhlbWcmeVUAbhaqpZ5pEHkOmBKu0g9VQVHT8/47y6SbCmcePjYJXDPFpuoq4nOJPob+XiX
OW32qe56TDF1Y6NFOrLLbkx2R0UPGYM1qVpACAlSrmBIJ8SoUSs6RpLL5CZreIzF/L3AmupFJciH
07VAI8VHEdVfpPI6jdXkT2H4Ix8afosqXvVZ15+LsC+PyIM8n1c/9eYGaktyRbH6ShOCp8qdT96Y
7BzfPGFqRKmHx3uQSu3X0qiyrbned5Hf39gQYcCRLmdgxPrsKrPHopTKK60jeVI+En1W6wPUMxjN
m3p8OyWEMZqR2YYBn7PO7PZK61Bt6KW8RgEWb+6ay0+5R75qkWAlmnmXqx5Im+UOAEIHI/BjulKs
do44prDrvrRO57PXH9mnsRU+vF/4nzFsl3W/4zkmclNYKuvO0l75zT64T3u3h7ue7bSSojNDLm9l
t+1TLWkKpnoxb2fsgXkKvnI75+gCm0VHqIEVxMyxlg+6lxjsYQrdJc3oXF3bgMl6yHpg7eY4o+Pn
anszV10QDzoCvWiKOYXWBKbXkgC30ZdzI/NcI7mG+ZK0RYzGYNuv0Yc5GXBJg0FrjSMe9uOVI8fi
OGoGCV2/JKUuNRDIgIR6CYKP1trkXho+lOciDGtw71PnvaQoTF+XDcQrK1qywBj7X4eaN7AjL8S2
3Rj/8xY5EwHBoABXBroC4qIjleYJShLslF3YUHLgnR5eNR0dCcck6Soy+zE5B176+EzN2W7ojvof
tKj/0hTzfIYZjmUIZimXvTxowzVua1m3S90GRoM5x/uGef8Wmi38OyiA6OD3uL/nifigXWX8pY1I
+e57FvN9hMDOTe3fFhQ72+iw3APCAM5qZRPU0V3WjE/JgOw/ckPye4d53gZLEczzcOGr+qL/7Etz
N4nReHp/dS8duDeLW3cNV3jgAJ1L5nJnduDWKniY1hIEloaBhWTsym1GcPu2dcLP8KP5xNuePXQ3
0wZ6AmbRIPH+cz+JstUpN8MO5zDhbfJ68jZ1xJ+MvHoYG9Vj6YOjZIkxzj6BFrR//4H/0ixkTsAN
+B5fn1HWn1cveKmiLbV2V3skY6hIo41EQfHBCv/La6XLjMQFel1/GVNxmppIPdvtDpFra91BhApU
On4Hz3zb+Pm3qQXL8v5zGX97MIG6HTphwDaFe/Fgdaki0hKINVGSNozbaZgn6HcfCAm0cgbvIeb4
RMFxsTh0oudizKddDwVtNUbwQvM+eZnzx/fvCXTp5eJa5ogOlC/Pogl8MWSQGj6WPkieXZql3ytp
T7/+SX6zlBwPOtQ/2OD/7zRomTJeXM+2WcYWXX9Y+BTmf37bznQ1JyyzZucl7q0yTT/ApbLcVMAC
IYZxABu988PK0y9SLw657n4BAKWhbDzcdGb20nrguGc7mW/efwvLVPbNbSHoYrPU2drOeSTy234H
w4kmJ3ocu8Lv6dPkJM9OTajpdEy9OtM8dFV9jGmSfRWtlNum4hNpcUFLFwVtOEU0psjj4FSZ5iqp
SlBXjrgdjBb8TJr+dNAQanXs2SxSkNY9iEacTHKcLorlwr5LN1obbSBdpmt3xhe0LZktLVPHzNFB
UOg4LlmLxBW4I2prHdQ+1hPFWg+1RfSZVtYytjsfbMAV1OH9d2O+fTfLJNleUMqoNjqX81wf3At8
RX0x4KRcQCUkWkPbQudmKOiLYZeynmIsDcYW9+W27/XzY9JaxT6yrkgIXVq1UEfWSCRnV1LvtI2t
MyXql7wZV0hEpRFJAnNUIPns0QmNig/jmbEMdP+Moa6N8KRjgapnKK0vz/jb96WXQZxXJJskpQ1S
jp4W0FPD18pVTx3IshWQ4SPSfgoWr1uvtDzZKsRyPjjQ3i5+1way7Zgmk3vdtS7GzqgvCdm7Ub1D
DfTKHHgxsMxOSYnx4Qff7G2kYXQI0hiGN5Qx9zLSMAUJa1BrcheWdAVT8h4Dw6Bt7bblaz4jzAc0
lcW7dJcBEVc4tkHTNTsfl80Cp4lBxs8mJTy0CfPoFtR7GSUg7zfbVEvNWFK8098+Ij9G4zSnDaeF
1C7vP8TfPhoDPAagtqvb9pvJMQ5i6FrMsdyhHYO9BZ5sK1WOcl00ZJ1jMcKAGbqXpV6aMtpPaKC9
Iq3xQcR6GyBdYBHME4UpLPsNmgHYZONKw5A73ap+CX9C8sFcjGRzZa6H6aOrmW8nWED9Dddn7isM
hCAuT97KaD3dMSXzyyHaZhK86zKWnCGhr30jQgvbIaGeW4Yc+NJHd8VcPcErzW6cguTe0qNn6RnT
TW7V876n8EZaI6MyL6jscQLrb1Ix3L3/md6eo9wxepgkxA4R/RJIAOjULZqRreVq+DZjqdAGWkYH
otOpn2hl60Gv5x8MLf+S8HM1VoQOqYKwfbmTclKHoarxdUDKmiVcob+0wmblmCJ0uI+Lln4q5mNU
tB3i0LFz7QsalUvPkH67tsH3TQ+wa/R3IYOioAXuSCNUGFe0VowteM2NFJSYsUPZLez2CXws3fSl
J1IaFE4m4+dt6y7RLLHp1y7jFwvK/imjokIHTsR74PHWLsqaeJ2E4kteY21jQG1cQU7yMHotUIl0
l2Q+HNBhXyaULlXcONAnOc82qtzSIRX5P5dK2ElaLjfqTCjC79AOx7WUDY6ZM8vw/U9p/i1sOHBA
DF4uTBTrMhvw5iRWFmEjmtr4PisYYxqUL/AurRbcpqw4AylyE998pm1ONxuq36Ycag+5ATMH5Knw
953oEZ1jPVKDjEanRNIzbSAVtK357TzatKThg/kp1FXBuPs2TvkI7z/J2wTWI76SvII40U3kAP6M
93j5MoKFP7wrIcWv8BIvg8JdtoQV99eR8kG6e3PxDSlINwCVnX1wZi6axBfnDW66ro1yEQm7gezQ
n9f3vREU6VhWOz1nilahvHBvZPT7PaTAGXn61mMp7WINUyI7ICqp40nNCTlq9LGT5U92VtZBBy0O
VWyWKWcXEyVMagNnsr7rRofQA84dDc3X8/yB1oah0ecLxxTuc6yebLlMA2ya7ClNyZ2OXkEAz5p2
7iyTk4KJ8ajngNN1/wh9B5sbCG3bacG8FBFc/Mhn6IFE4C8L+bRd6QGwyVzGje9/pL9kFp5J9o0n
km9xKjvLW/ztVO6Z1ZXpEFd4+rGtlgEBToSMhA0mQhKnrc0M9XiFFhMCZpBEUUen75M8MjyQh/MY
ZtY7gFPKF2tO61O+xLcaq/l0AdS38lvJRB+nPGYRrl5Mu/fv/m3c80yHjIJ9D2fqTY3UtZpsChov
O82zdkbIfHEJFdlEO/LcjcrD4oOo9yZ5hr9DHBAUZXDIONgvVlWMVNOkMM/e0dqGWyShyCbL5P48
i2nOn7djKNQTX0ByABrpljFgj23MSoBy3qha4WMAmAX5GWLO++/j8qA83xzaSoL9tqCGlr//7WM6
E8hhDYz2LolrQWuQe0CtjykA4zIMGD/Cr/3lcssWB6kkDIqJN8dOJu2GQWSGSMGyat3iiKIAEalh
7VA7flQRe5dZsEuMI6KA6ATIhonkxVqNVc+0USVY/cSxfcRMBsU7S7kIU6FYoTLMawaw/zixID8P
l8/G72kI94ahlbdWZblfB6vw79O+2zuiu2sc1GRrB46sNSDggrWNF9Bdaa5zT5Y7f5hwwm7L5Ihm
mA9aBYfGZG7LbZPwy5MeYQxm1yfkP9MDwifGFvhvjXmfWQS4Gcs9NYwVrxGmGAJw3fBtRIxtQzhs
6UjWGxXV1g5XTHEFlgOYcZfdNRPWGpRtAuEvwTvEVOfo1FoahGkW3ZXUyXijaZh2Q2UJupi/iE3t
2VjQdsZQd6eJRG2LHV4auODGb1AP6mkbInDakXPPWGFAh8MrUVwBULXBgWU+RjRFXeKyYyVXXap6
tK6g19MlC8VOuLW3R/A5OSIHgRa09lm21l0UI0Gm0R2+9nDQoP0zG9+hWIgdimj2BxtNXCbqrgm3
BSSWSUEMDG+Rqf99LftRrXwt55QHQeHhRcQeEzmoEeRwmGyTSy2I+ztZ1+UulMOiWTVZG1MuH7DK
rMBT8CNA9pDXuwrTnSTHFcRMEWMCeoiW9uDQUuqtzaR5aeARIAO81MstQwQLTQbetidm7QERb+vo
L78+rdq7NjYfbBe0yTA6IEkQedl0qij3yKh4HzScLg8vYH9sKHYweQyBRr9Y6kROwxZ15m1jNe9U
DD2bSez7weIyeJ4v4YIwRGwfyLx+8YKpwmwaAZEHYCDFmain/dqrnjJDzoBBWtQ8Jk37qCq6TAq4
KLET4S867EvYuIhQsO+d1IkXVSZEgDYMv9RaznrN2C0zAAww0kNuAttLBG7XVps1H7S1jMvc3hWc
c+D8SODpp9Jx+XNVTXWBF81i9dY5UmMuny4KHGIO0nS5IIZXB4mO1I5o90DbIduhxN1/ef+9nxFw
vxfC53ugRQ4bCVKBvwDEf1/ZbBvlmlCXtqmTaRjx1c2+sAQSvpkO71/1ib9GEb75AYUivOVFWrfV
COq0bE3vs4bGSBDDr1s3g5XCr5q9J70xeZV1Q3YXy22RxerTME3NwVYuj9PG7rGuLefoyqF+NCNQ
CYhMIxU2+O29wPd4FePC8UHyZZs8wx/PSAJrIUGJuxKNa87mP59xSlpn8WCDX8WuOg5CjVtdRsba
76v+6vwQfhfn9/oQuccm5i8YPIYoNOpzgIwZHBdSsEDQi1iLOIz2fhR7AS7RGvtabw5Qk18lWIy9
1jtAyDBLD5JInDKzEBupkv5qnuNmj+ItPtv27O2cEaEb2242iNYjajg79SZ32hmET7XM2EttW+B8
GajQXkUyRsBK1c3tyE9updMDsYgjTHlRrnDCIb+fZvk4qxQR5ri7sgdUEpHaymHdxP0Njpbtk1Yt
Kp7/j8h+/897+12SRbw5aXmdNOHBVLq0gsVlrSV9P0xm6qZtlCl6J52m1m7aH5No+IzuGIoVnWVs
5xbRocSZwrVJx2ud2tLbI0+CPlJC9ypjvrzOfbZZiuPjNaJH+o96StEQm/35mt/iIP2I6vyoWeWe
RlK34qU7u0zvf86p9K+p8tCNaoHs2W1jbWuzRh9MmWqNLfRjl0/dFgHAh4KGdJDNuNu9/wasN9HK
Mqi52bFQ+tnAZ4mF31KbFCMWh3aKvTV6Dm8PjsJ3cxwYgnHjISeoh+RT5WGrPYzaVmiFBhCnjq9x
asPKxkpkkMZhtyowyf6CWjfwjoRtl80NElseztpbc5AsTCfSAgU4LtAVa2RqqxTVaS9d422Kuqfq
duMUG2AJrM9DL54szcD12Xc/o0T1Qq3TrSTzqeui1dw9PMf+JsLa8r4ln9zEOfqHfp9TjpexRA1l
RMaY3sDOYuS3ZTDJQu+5JAZ74oMezt/WDpMLi6Y3se9NUjiNMNvGZe30uf0K28C7X/aK6uBhDgb2
k+9/KPfNyYVEsi1AqNHJNf2znOzv0a3o6FXpXUuEBU4VpMyhnwCWxRhZlpifzsW4FXqY3sZOG1+b
niLgKdIvY+Clj31NBg/jDRvL/mvvh8chcm7C2W62Biif0bmaIsSHaizd+RdAXvm3a0lOGGg+61Kh
lx6gd6BtSdtfq6aeER4FzAfNt/9lIKqz7wR7QFIUHtNGdzZZJKJtDCT+y4CvxScG/mGADEN/kkky
Q1IFp5FZBi0uZ643iL/jkuCN/oGJ7KmFH4Ng4kTkmP3upnBK96hgV9wMOmG5kUgMNcvtMDHFI1IV
/Rd7Ym01PceMFuMCANvZTbd4yLILWy29NfVqoQqW+nf43TkQGYNxdozz2dZXBW3nPsLYgBe5il3D
2cT0gshA2RDzBxvtL6uFRUIvZsGjL6fkn4G7cZw8Q77e2SJTtcQQ3p+SNodTZSGiZLMh3l8vb6/H
VBFEOikWhTqc/T+v56D6pDSkXrZ5gWJZL9kNwOZ8nPASbx/PuFa+fz3jbWJJ2WbzbAYFL8M8f7mj
3yKJB7ytNlHL3oJjEptkUfExDM85JgWDqBLdoutx4fJGjYNGUKdQNyBcOBlmblXB5nfhK6+twQ3x
feZPfsdBpfd8ar2yFr9cbLpkzaMkTqU+FQ3h2i6Xw90OFSdPkt/bZfVjWsJIVNohiGsWnWPkP8Av
1hukJQnvSHMEEb3JB7RwmsOMxXfex1igwB+sK7Ss5sF+zdz8hxlz75rejtvJC+dr+lrmxugWCYFK
PTQza93QiPzno1VmpFoKQ5AnEGVigxLFfDIA+YIRYTehUevtYpYgxoO5fj20qKxXznKaFhlgcEle
kiWcM12BPYy+7NXJJH6oopuey5n4lvWs87lmiWdKNXtQ8Zw9GWG3yWT9mCSZtuW9iU2uuCHpYjZA
x2UO0J5gCjDV479/m7PesZfUtsrVqOYrkCFBZw71egRasJqWUzeNzeaA1SvaZ+Q8oMMG8gGUynmJ
IzbZre7dGDUD/C7nf/pt5O0blx1axvwTPSKDKEO/DZoK8DeY73anokbdJgYoIgjGKJstj6khmnvb
a5jZyt5oNt1UOTs4Sv4BJ1reXW57u3x2vjiT+7MAr4v7iWUe2J39EU6N2BDBFidB9H6QGSJlSUij
z9vdd3h9IE25gsYpIH0ynbjg/ce+aCna+Rzn1f7fbYR2g7do1VSv7Z/WZ/8jndDoyy81xG+7fnFb
+5cOuti5/e//teuwuvjR/knf/Pen/tUCQvGHNolvORQhJluJ3/cPfdPx/gsRHriT1F/orYilrfgv
fdO08EczbQGnCQVPtNX5of+rBaT/l7GAA0h6GSwZaAj9J/TNiyPUglbK1AF7V50BPEf3xYDWN5Pe
afLR3bR2DLF+nqfpa2w64382VuEynrMoUjn+klnSKP0zEDbQkVJa9M7GsbL+e69r3paJSISeCt34
XVTIfvfbV/hLGvvW3W2ZXQJpYJ5EVUBQ/fOKfjFn+E+GeGwbo1+sZIF+LeArZOGYAgr6wyiMfPY6
N923IZibQfe1Vc1PfS8nYWDG4adXjROLK6OG9GLiBYVpVT7cMLucj8aYyQ9ymctm3/kN8ckt26ZG
RnJp+VC/HRWpq6FGOZbuBqJH8TKAiFwj28l/M7/0AwBBHjx21xlWiVe9qEqfX7rRGx7JUmAMdpX1
GnVd9qWsxvYqGjHDfv91Xo4K/rk9CiyIVgIkg8d6/P32XL/WIRoh5tzRB7pJ8HkY14iBisBthhjz
2tFlqmjI6jpv0fNgtA/dP8IxiHvmbB3piJlTVNxNI3myIQ96rJ3wfLJB1QPOjBc6TPZNWA5hLLTU
fY4d/XMXGdDep1p+ev9ZznCW3wrG87MAShCeKQT9XHHRjfCSedDbTtgb2eXxcbKVR5dlNKNglF4M
QBM7yXXBwb7RwGS/lM6ACVdelOgvlJDEkIP3tVOHcMk3x+qFtjIW3mqm2U+jQSbW2DeuoneFby+s
1VyjoSa6/tBWMYp/UfpN2ng3JaH95NutuG21bl2W0503JVgQTQhZZQq0KBJL9dHSwhn1VBQ6IOwk
BoLURYm/AHkGp4RnIVMCSQhF0/gFGzT0so1OyGsbHMNNmxYiwk/V1K9VoQ/ooZgaB1EFfvWD3tFF
j2V5lZgoEtwIRWjMmPafy0LlQyqliZFVSYZ+TS00v1DxOkdLCf2TOTas17Ia/Ap3LL2891HLCN7/
mOfIcfExXaoAC2Y8nWHaAH/egWQamdnNZG+MUBR3FSMG+qODfvQoeBi9vmrpMN51E/SJdYHqIuZB
3PQrzg3q2ZJ1e1NHA1hGlIrcA7jzPECTnH5dWboG2qBC3uMI3DBahbx2HclievG7wfjcybC6hvyq
URdk0VHOToT2NdY2qynSx6OXdem2hX33wcq9RBQtr5vQsJxJQNVs9uLFw3q67N1lFzYosd1GiBFi
Ro7h9kFyrtxjte1va8TfwDDnM2MfD4UmaaP9Qkos96h4eV/sBsyPGiL95/vfYXnNF5/BW26PWgD8
oOdcLIQ8mgpqvsHeDMyA1kJVr3E/HWirjYE79h/Ixr49tLAd8UEL6TRrkWu+SOQrDigkxFp7Q+vJ
fdKrqVrCSPrBpHu55TeP9NtVLsJE7oGsbpBuRTw+SX7pJDXHqcP8D/xsOW3ff31/eSJKIYoEj/iP
GeXlE2mDLevYtjd56/aPdNmBy4fYrr9/lcWv8o9HYvpG4gAkixBu6ghA/Ll+TEKuN+UpdsC2+iQX
kEGhT7s06U9j8VD5yd1YirUYh5dxmNBOzbU7/LJDBk4V+GExTIHfdc26Rf3n5DQS3ZyobVf2+Kkx
ZY2aF4JCMokQTu3iA9MCfKYQ4lV0IOpfafQRvO7y89DQRMaCs5LxzJJXXbT9kKSDsOYod1Nz7GDj
haafMwFmmR0svN9/b29eG13r5eADyoNmo31JzY/n0MzdTvOhpTrRVThl2t7V52WyXOZb0YTdnlf9
oZIn8hQXn4txBNuddInAxqzk8nMNZmubBXzEDeJgD3aSYYUV4cXsI5bxJOoKNhF1yCctSg4qGr5B
L8YmE3+qHyl6WhAV4mtyn9VEW34lQue+kXC/iC31LlFyl7clzvNh8g1c77eqN3YJItwrTLXg6xUI
PtY5DmLuMB7Q2aZZ4Db6ve8Mck1XG8b4hG4iCjUQGnU8ZZQR2jdehWpNBNdEmloOkwAlaj+E8ihk
cQKrAzURuATnwKfJzdbE3ENmeZ8jMPF3MxBAOb9QpDV35VwgR2jb0VNTad2dVuObgdEDIuBzaqwg
4hQr1bjpLk+cEvJtnaff4FAbwYgFZLz2x6Z/MXNf7azY8mnYtcL6Niamt/X14kHK/l55u47nTNLI
+BkmAMDssCjBtEfFdzoGCWYYua22dp0BdEh8uR9z5vbmpIpbq06ze2N0aO2ZELZAjlmcuaozfzUC
ae+icJFCRAwrQLGZthI4unAzD6ieYeoqsu9ZUw6bpClHOODTWqKWbuM4H7S1wCer7DorX9NEnK6V
iK1TGPf12k2mzYjSsl+N+you5x2yg3scbzp4RtNoBXje+6/TgFLW0D3UffcrJbt8TMwq2wrEPDe+
138t4vqqgaW5bbq2vwnN2nisU6jjfaaYzE2yAoU35UyI/RmIhqhPhT8/jhFKbyhOW/tWKrWKuwjr
7MwbHWr8tr9TWK7tjDm370FsFS9lw2frFH0XyGvRK8pm/g4XxGav1548NTgGPZW1zL8OidiVaVu1
2wQ6wn3F1PqkZTkcN0z6YtTZzHpCRrqfvuTR3J5EOHVfpJkChNDU9KDFodxJRBRvNVlH+3lUmLiS
aN1i/RCvU4bUAb4YLld25G04a90mG0Z901logmmhoQ6VU9m3pkLwL+br7ee0aE9xlz+r3p0g0vKE
yOBpOxX293pk7ebqAaAHc6JiuqvD6SakR7BL9XTAFi6rfoahET9UOkuyRpueBBy9R69GNg7i9wzy
pUb6y5/zFfY69smthxjtvYqmAAyhdTUp5OD1ZtxqaIRdFfja35W29yuu7W+lrqNJ1kDZDqGTJuNX
t3GrvRUNCOBNeEXGYoTiiq72wRugr6Gm+lXJ5qv0mQ2g2Geo5xxI2WPkZQ5z4brY+WKqNjKElk/l
0xxVgRS58pWzT5XMt8ikRhtbcFN0xMtHS5XaTcJdBdII+cdZ+YkIO+7roh4ORiucDf8q2pkuPj1N
/0vYEQPQ0UEqywecVOpiXKd0FnYm3LXPPVPuTT/22jZj4noX0qjcGBUcckEjp/Hs6lOuBufORh0f
KY5yDiyR9Ie8sO9nqYtTFxd8EzQNSvwLBuwvjGZgU7XxNvYxhO0AgaBSKI/MJvBzxMNhFU0Q6+xw
jr+06FLy/8n5WtdrHrCqm/VkEx3BDkwcEDVeWEac/mi6sjv2kT3cJnOYn2xGsDeoQBQoy0D7jzG5
QtT0Wx0jcho5aQl/Oa+Jq0wder8PRq1IbxdnGJRNRvOnGFLMlr06DWqfkXGSRfW9qRVoeIaUds4W
0dJHEdbQFUWUKpT3ysBwszut1XGVDTEKKWDaCnpwWfoQZlnJE8vsJPSRUcqUmC/6POafZJ+S6XvD
bO3SxoTxpOYyDUbl3CmwK0EpYyjSo/hshOPaLi1G8l3YI0za0W2UHRaM5nPZ19exYQe5lT2XiYXr
Rtlbu0HilaY0/XOV0UiDIH9T2qi2IqGCkLiNmMJTO4PKlPVQht8jyjMYk2Hhbqd0wpBFzgr9+zZa
L1Mx+EjRbTejaggjzVjHg5jBWFd4YGi16tZ43ZTaym5KawvAEEQTVBPSjgpVszS7roTW3+M/Vm/x
PKArXVXyCj3R6pPl1Kc4MyasvnztR2Kp6scMH22B4iSPYelZmxY/g2MSKvHEXVcbkA72bdknaMOM
3ryLHRn/8JmAXNWLBiLovuaTMsF3xgjg7Puk69ayTSkHcxhdTVQVBynQFDVBVdFnzPSbfJDdtq0J
3mmiTsp4xYVVlCuEQZoHr3XLdWPE8t7EOeKTE2XetUTV9hoLxvRat3CHtPI2/Er/cnrqAOqufeSM
P4HzRycJpushi810h9RP8h0JkXktsVjZ9rXnPslI19Gu86urVEQct/F0rztZHIyZiO7p7LQbnadl
eDHZ123f2MdQdDagsF5/gNyVnPKkFQccR7yj5UcYbfhpdNMXHn9q/P62dtMXWdTpAzKfOlC0SN+z
RDd11zx7Bea7ZU6+CKhhiS5+HBvoikrS7tl1pkODILTQ1BX6F7aONWzjlHdDjm5zhNJOuzakg4FW
57k3gm7lp3ZO7Bc7qYsn1yyxXdCsxwncVFDFQN5RQex39tArH75Wm4K9Ba6kWU5x1dIyJoZZamu5
msAHgyG6q6n6s2b3YCbx0vX7LbK78QFhE7nVJ8ta5UZN39qCUAcqTGEqPuInc0ijfj6Unv7Vs1r3
3uPnwQkCqyn9NL+Zk/qFXqmBwrXCPwabyfJzqbpbDVcQyEivpaeuwKVF9zbO6EgcAF2IhjhFT4j3
HKG/u64F5G3aUTdNJEEYhGsStXCrwmKAnmxMZzsG/+7/UHcmu3Es7XZ9FT+A4yL7Zlp9wyr2FMlJ
QiKpyD4zsovMeHqvOv5h+P53YBjwxJMD6EiUWMXKiK/Ze21tx+P9MPTylQ4PHjwAVXsXY6RNV2E/
dVcIYslb2IX2EyZW6+IMuj25Us6XeZ777x5jEg4AlaYvuuabEZbn/7izFX9FWVqTUZvlW4ep9MUG
CbLpghoybkbRt0ugxZDlOrvLbycmgLqa+kWspNuQlxSH9VOLbJJQiHz6KZGbwB8D+n9mDT7tIQW4
7Sq0M/tVJNQkOaY3BI4+9/XE+Ae8CXHzmGxbj6tyVMkLWs+RH/6Nr9TrSu6BKPlEHCcqaDHkoovN
QIi8NX48v3ehKeWm60tsE22aJsk2H900QN6bx9ciLaadU2A7cmmGQAMnwv+QiisobJPyI3DGEByY
AHhbaAK8ta7iS0wcO988xLyKeob5PSsexvalEuZ+LhhQbmCDtPftkvaXfMqfqsD8ATX+a6w84gHT
xTmBG5GHcTTvo3F4oA1pcLAQOpZ5ptk61VTDy+S6wUUXUt12rOoYEc2buiJYty2j8c5xO3vH9jfd
hW6eoHcNCSbvoM4dp1TvgJ1s8gqSBrdrtrLdCpZkv9T5Gfp0+4Yp9zwm38YLnyLtvHTR9NtWKZ57
+Un43nvqeETZAE5+hJzHpsGqw7VnVeFdOUXFsAHzU20IPYPh2hgTXyuLGEX0OOZQlWJkl1QSf5JH
fn2J/W54Fn1RbGy4wXBSWme84laXmO4C3/+NehY3Md/C+KASXz6W8fyczJV7aLy6/pjRTTTYXyz3
wGhJ/0wAvp7JB1P7ZW7Etm7b8FCLRUYrn2vve0QxwfDVTlaS5Tl+W/emHHcjtR665hHChj5Mli0/
6gaCZmeP0RbwOlmc5Le7ddE+BgTTkwAWZyQX91l7DP1av1kdlkt6lcmFEi/9dh00hp7VYnG/GpMg
+8vX1Ox/KtOywRUBF2vQpd7amF6cCtIkt9T//X1YxhnJmYxat50TV3fI6ISPqgHJTpmn4R5a6MCR
6zUum3lHwD2Lo2eB/h39NkPD19QszQcNu3VmQtDsOwBVPNxjvIe/Ax4iYeuVky0XVzVOpszsZpcN
LM+ws10IKD5g8zYPYrLG7RzGJWUwS8IjsClxsVI3wYs/g7QgXTq57yg+tn5a1Mh/y2Y/JlAdMpQb
Z7LUXsvJOjlV3/wxo8z20C/SZ49kpGfju+SftMPymN1gGD1Y8MebfPoz9cv4aSwc54LyNFnxV8qv
21H4WckmfR4BZPv8z8I+dzmavjYX8WtohuElLOIi3oxD9sXBUl7TSc+v2loyBG9h0bD67utPvdSK
15AWh1RG5o44e3m1jVSPUzc3pyZv3WMrwfwTjoSTUjjyV9aOyX3rSDKKSkaIOoiyc0XB9ou8cZeN
/RiXe2qett2qCep7VM3xQeH/hds8ptk9g7nprfAYzM0ErZ6aeOrjVdDo/pFgv5BxiulIlKZeOwfl
EPxoGzHJyuR19ujyUX1UUU6480poPF9+SH+clnSTh6JjKLu6xYjsVB7Vh7TW+a++r7oPlSOf2boW
iwMAd8aK0Vzq/HW0/XjjRIu99dC4I0CuKhobMA7WHVqd9CoCC3KR37SHKcFPKVxcfvmSdg9ck2y9
XTisPCVYrbAELm/CrutXkYkSZlTkbxScL5rDergW4fxIiHvIh38qxkPLSxCrFhHpX37pBWsYk5SW
BSYsDfpMsesAR+s/CZjom7CDeeIBc/DWKpb9K1n3zCtJulErflt9lW0yb7EoO/f2VHW09xQ816QT
028/TXLE1Zitt4kNYGLd1J7Onog4GIj6hv6/EWYZ1bnxek4GuTzxQhmhtx1JMdqq0GyaYdnPYVAd
CldY7luVJP3fyclLWmsGd/UJHtUtCnRcwBLHhCg4hAzZ4QJFpehg1pMCJu6Rbg7RmfDGUm9n338f
q7k6tCZyn0rjxodMZGpZVVMz4LjATEeKq0GVBGClIuhMacVRYMxIOmGRxemuwlm0GZqJ4jYkUGtL
aubiQJ2wUB4Fmc+iKmpys/K1EseZOL5L4cb9K8xxlCzCgpyOPB/jdjT/NaSKV0xhPX2CVF/98YG1
oMoouSIXbljJDnty71Asm19O7fV/U+ZAFwt2yTcvXX2Mie79VQS85MRVyDHAzwbK1TJWUXf1I7lc
+yaICFUYDeFJ/mTdMQ1DxBZOcBo2k1tmG5U07T3KcOvaWH7+SWtJuxhi08AK1pFES0hS/UthHyu2
kavP+ZBGDfg2AR8cbWr70d9Cq8rWS95ZKfFc4bCm0cua53pKoruk82WxE5H7p7xlsWtMLt7gsTxh
nrnPJ3MqCnBfpDmADCdrVT5lS1i+zCOJvS46vHObRvZ94RfwKgjK7Ih5mup+t5CtRziIcratyKCE
IY/rfrl5MB1yrq83WciEGNEoDXJeiU2gh8mL3w3l0lbrZjjwqMqzInH0oe1zEay4AetoNSNwEOvh
RnNaz/OSQCEKU27JeQJAARzsXdMN/3F8FaGPJkHMmeaf3p5+uh6+Ny3Aqswz+4hUeN5EeIx2nuYI
JRpofOtaKU9R3MZ3uSeznymsJDidJluuTLa4GSoKaxJGnHBcKdRl27bL+rWZoTMQhEvqfRC6f3vH
1/3X7Z+oYQfpIX6aUy/1t4FzC/4zU0Zrj0zGQoDrLh7eIUJZvYQX1ywJLbh585EvsQ80+k8m2rpY
T9E83IPWfpjSwb8A+QbAlZgE09PcM9GBwX2eCJs+dho7D0/Hh8XfAoRG+B4wpbDYB8Myl7cjYt50
i/mMRuZwco9e4yPsIg2YO3TfYSHyyrmG8SzVw5EdV7NluuS+cTutPfLAzCpPFv8q7FmvqWXAbZdF
tFG2uaSkrZzjoCNVbVDt90Jc2davRiIHW3pdgRR47SpNalJSE2ZIhBvPgbD9Y09JS3Y8l5XG5cWV
PBAVtQ86I/aN1Zfkud3ESXJ02mvviHpnIcw/NqEjLUy60n5uCcL6YpSBmB5tCE4q4jKPxu6fqqRL
H2yHuSCmCNJNgxHKXjKuB1Q62yVYQLJFUbMc+ImTGmacG8iQ1KoVUMVzM8XvWrjhG0DzAD9OB1Qv
Mjaj2WomrW0EKpqTOUJoSUBKTabeJzvIz5UPRJDioIXQM+l1NhFu4sWxvmD+KvDPWmLZxm7Ktq6m
v3oMSWzYwfqZzuhpsy/ZIY9uS9Q8rs8Wq8hk/Ur+bPEi5WiehJDhG/v6hpYoS6qEPAGEQ5G0mnUZ
5LaLynyI3iIUmcxgS+d5WOqYfjZL1rRAOGoM+KXWdSPMNMivelVM9dojMWIVe3OFZpdacs81nVur
LLRI/iK4NwX1QTxpAKP5k2NUDbS/fg4HttGU9gmy0SNb6Misl161FQaGcHwa7AikJuV9w2kaKU3b
RXriKvY1ngYEUlfVNMkpUvjk06YDb6b94A7QnzpogGG7SN2CJKeeHqgvA3SzeftAMsZDX7nuK0mq
KxiSn1kT/I7L2F8RTzlnKyo+tQ1Sc2MDdcEarOAlGBP/IGVqPbWN766BpESnatHlJeuLlzqFSWgj
fPqrCGB6DjvPexkLIlhJPjFboabnhERNDulAP+lKW4ex9IvrzE1K9mFNgHQ+PiXCyOfAVNW+H7pg
B/6G7AeVuhdde+MeQPGwI2oR0p/mzEdZfAapJ/ZzUh3RA4b70eNjRG7A34Fu5XshysdtxbwelxGh
l0/6zsTiCZFTdbScptyqDudNmBIpWhKN0vAJd+XWuCZ9GcZxZ1iHuqrmZ8zKdmst/ZdHcMgZLqN7
H41D5xMN52F3FpyksB/GvQeHZ9cUllAYUZxo6/j3CjTmSg1IS9ed34+7fAmJ/x1YLbdbS5XnqEMt
0optnNfXKRPjLQHoe4yE3I9ito9LPfCnQV4+jla3bvrgzgEpLFr6O8KPvHOn0ntmvw27g2rfpPlj
I3zrT9oazdFEO+zoamacPy1nBmCvBfgo2VrhmsUDkZ8Zwz4MT0e3y86yzj16ibn8Jn8NOInbfRoj
71ACkkMns6aRK9uRRBC0kcN1IHxsMbRAUAWOobP07aqJFTitoWaTRekRnn0xA5EyNMhBuYSrxoVX
ENkVBMpbO+GDHfysozg4VxPWD7eBreSSQ0zuYr+xiKrFNpP5f5qq9p4DJSFeydRJO5JWnGDnLflw
KIm0Iu3Ia9KTL7Ii2LuV7X90ky3k74T/wePZtQF9b2y/uF6ICVojZIe/Nm0LntsbLi/YQoxdoEnE
LaOMLlseE+Elz6p1QZiNMQ7CMHKOsU82b6Sck/KdjD38pPVymAgl+A0ql1sxzPlIodRu8heRmZyV
o+2m8W+ZJRzEWELCtaVSkZwDIsvjtSwCWxMwnxePscQKeWSbnJcESbMfYT8KQxK+Db4C/KpaOcxE
A9IRRsl9CEMvvZ2ncUCASZc95XoqnsfB47Tl3AAXmBtmmjohf28VZEH40ZLm8XtpHP+b+E4oAV48
VisCfCdAWUu9dpoZCClxBuQ6LvZwQDhag0ngR00zONEtJi3qkkh07wyKSc7AlsoKcwhPkKCY4QuS
rLzB57QiVstq8D+16t7NnWNftb9Tq0ShGOh7n/udPDWi5+W5zwfx7Nl6wdgqa/noU5Bc+MSlH1Cp
yBI0aqV7ad2Fi/2NP/rmQXTaQzmpjO3SoghtiPdTFX9Ocnry1fzuJbBcYDpQZoAIUMe54N+K5LDH
FtRc8ZIAjer4oFcZw0aJUx6RjT0+cXfX3JAFU7IcwPKWNoBOdRDeLFelmaofM/nluvPcHhI32cnE
pK3IxKVn8sDm1OhYknUb9/o5burhVd7geHPmMqQufXXN0Q9YZXHpXZFs7Tm0N3aUMqTomyR5p1+o
LJSrodqEhWuOE8CWz8zO+2rdwTg6mwFvHoi04iZHzlgLIzVei2qEC061SHzPasllfFgse9xYtDoO
50/VXK2y9p+Vjm0KLeanmUUqAHSdj14Ke79MnLi3tMlL1vgdEMPZvC8hXVu1ZpXFZIN42+w+6Mia
1rb7KI2dyF0/uMtna2XFYaQ6vnjxELwv5D0x/GKtR0lk/HWTL7F1mbG7kk1DqDFZb6HI91Uvk3uX
0dAXvSldiMmTazbJmkEF7x/vpEhDe5v4NgG+SZdt+q4jPxgoQGVbZy8W7Av6qXitBnXoxlYT+6bf
hr5SvIPylQUy5MEoxCeSLNvRdP3aWpYu3fidz4w7F/euZKXIuZK9Dk1INFDU0plMfNBWZWB1QCuz
a6tComuzBddeB4ynbLZBobmyGeSvyVJjAk/oVOq4E1C/KB1XntNKkPuVQ4+PGCXYeFCPndHxW0SN
rT5U9J/vFjTiHa4wRfCYo77rgnnshuTr4VVnHWE95OVNzyWAy3mt7KE4FISmMlwz4V2YRtWrgzut
248M6yD7etLwfcHTmOpAPqaquA4hlpV+arMTmxNWDk5VHuYuLqtNZ4FYAVSgzZOZs/qA8AxSt5NG
ziEqrLJENgQszVnII8w5Fb+M3dnrGm3LMyF/E3Piuc3OvvE4wvxwehgITF5NTkIj1zjiTAorjtlI
Nd6xI3mvXge+LmB1htZpWhI5sEJricdL03npV6ZseNgHPFQbPfCWr4UzvhW9Sek/DCT+YOr2OrKx
7sXOMQhbrkGd+vj4qaBwUg/OhQ4OpAgJ0STmKmUe6/a7hx/10xSzWHfhKO6KW8WrjZM9oddrri5I
wjVk5fwhx9d/4FFyH2LGQW9e6oTbKBb+BqNRTb9H0o0DDQKHeDOvvTzn3KpBciEzwn8TTtTOidJn
Ttx5PVHL4TWz9T5wC/b+DYT5VaES+1fJuOFEBA+kQpyrZFS7wdNo4uxS2I0PdCAkdoqpHpdHkc/u
ZvR8sUo1fLgyHfWGGZK7sVIby0khhndMsf6zzefzMW3hZIzSBRPqmebJRym1IiUAsbPv9pucQ5YB
1eQdLYzfTFOKJdtEhU96ItFH+7EPhl8q4axrQCfleyTbYbharJxXXIkxndZlbbNZkuHQb8Mm/UJq
73z4U5Td4y5WG9aJAhxn5Kya3PVBWJLu6Fgy4J0qG3xH7nJOcQCyjiBhmQFxo6LfQhORHS0/cgrd
Cx6WBz5QTOuZJq2rcsgfUmFXiMDz7tY5eGk1X2PD6nrf0vWO+4bDM12nXT8d+FgrykeXkakma/kI
hFG+hsrql9tFBBOnictlXgveWSQDJO7Uk03meFh1X47UKxjsT0noDvdKVMuxtuZwXRRi6taDzpHP
pEOWPEqGRc98urJfRd3a79qB/gY8TmIO8eUuaRJzH9RNCSZgpL9MFnxpQ2mTCyWd4bUwkJZIhbpl
iRg7OqadA8gkCuRPLE20aROr2MaBWZ5VrNq7urpFf6ZuCQWv60/1bLX0o9bksH6x/+mSRzIQCPsV
Od2XI8vyhMPkFoAN6Pd2hxBIWUbLrvcmc2XQMhxNWojfhZTBG+yj6FTTJB16kfbMYcN0P2d5trOH
YFs68/gtYuVA1IdSuwodHZSQCbO7xGhgl81YUlJ73UcTTPmXG5fM0lNpnsPQwUK80O+05JNjjUf5
ztR4hb6R/xZMSV4WXLzjmuVGNK+taeif7bnqyRdulH+1gKqfhsUmW84Xetz69Fo3GiobdHyRD4ub
kgssgso+xDaJGG0woFGxW6Z6cR6+JJPrXNO2oRCxQ4Y2paN5nnn0WtmzxIxM+Zp2FRISgYTK9M1F
NOI1rMWPi7TzpWqFempGL9mJZs5uVS0Jil6WvVmim+6XUYYv7lxMT2KZMAjkj5pR687x8vG9aIL+
wbfd+V0kQIBzhChnt8ki8MzJ+M6x8h4UpXshfY76QFfF1S0851yXvbUnubh6kANw1MSfiu9pSvqd
Ip4VUwUJhQ6rglOCwOpAb5jJtWqdgWw8XF7HMuzVfuoi81FJdQsQXYzzRbQD9VjfWmJVUief88yX
mxpSzEF5dbXpg9Bg44ByqbybNKIeI44m2R4roG4EWGKDcMPx1GpiEtIANLEflw1nLd9VtVJZZT8y
bM3OkxncHTPbnL81JJ+jtYqjHEv3oQ1Vv63gLm1EWkdnUMqIYuu/mnlNMHNnlMk47ymj4478So/c
xjyFvtvn9UEFTI2DSH5EafqNSuknYtpK9F64yxJ7N4dI1FQf5Hhqmp8iKJpVHAhwpaRKVPBp22Lx
Nmk13clO3mmywGaQntFsYAKULIaEvUDTlemWR3Y92t5mykL7CMD0eentA4qhNRzQ9LAQVbf2Sbde
+WyFCDecWWRFI+OeqrdW0hEHLMonGDOHMV/uPMX0e8Gu+cSoyzv00ZzvvEGiR24N3DG2+/lnCF1q
J4CJXaIwK54d9l8vfk3H2JiMUXjV2Pv/bhqLupHV/TYsBvlbpKl3oQW2diaSxb7us/71H8Xc/2sz
yP6nudko+v8PvCA2XkNcC//LSvtfnCCHrPr9lf4u/9tD9/v7p0//d0vIv774X4aQ+D8sC77QDTiA
PeEfhNL/NISEPrHRXsSA0GJ7g10MufW/DCGu+x+4HG0E+Pg1CDy56Zz/ZQghN5rkoADjM9b68J/f
+r9Ih3b+3QDsoTjEVWL56CqB4zn/bgB2UDC1OsKZXidJzW6np4XpY0EwiVjUlze49FTkJrxphTcp
ELrCF5sMm1DnydEJFEoVRCkHIEsOJJzhfqzian/j2X2WXRGSBha0Du1Yob7oEuBY94hzSr3IK8Cq
mZj2VOyasZbpyiZl+RvJOKuDtA+fWuFneptarfeVYK31Vhw56W4S1W7BcwXSuzwjULY3ow6GozLy
GAScr5zy1i5r43trzNShRQPxHkgVfxeC4R8F4JKgeknGnVujnF2XeTl/S2xZn6OfjCfT58wMILvu
OcfTA8LdhegJCPf9rOjynPLCxCC6d8tEbxfyEJDpWTYbx/G2H/BIOx1786CRazAlmVPki26w7JOy
ZrFgkqx9nUzT/GQqCy4MAl2EKeOL6a34FxVfhF+eSfLK8aeMd7VJIFJlDeMKtuVoXpO0JzdyqfJp
Hy1UGkPjFO/9uFgn2IbDqS6cL7QHKP4QBdxlKQdvFkb9c0nxenQRTaNtNxYO9CLM/gCaF7+cREZn
lfXenSQ84E87k5G4mntf/J04si8ViaXvTe5UF37gvE62QCRQ1HSnlnfVpH3XG6TN4P+Q0INJjf7O
XlFviGkdQVJPU3VSRVuuOmIRmZ8heKReGHeZizuND7zHGyXqZ69y8l1pkhg0+whGXEJEVCTFHGKf
u7AdC/uWqo3hz2EZrCmh95F0QoKaaeYn7vx2JTFpM79J3vD66o1PI/eCXX5YTT2X92BS92MmYvkw
Ouw/Ji+s7rOyzEOsiqlecTdQXTB22oRJv9VF6GyoRrotMpgfgObEs2UwnK62PeXH8UbYKROkroNV
3enGxN9+68nXebIZeGi3eltmpzxFKWpNXdcKococKwKtcXvo1nIee+XCFRax8DYBVk6QzPSM373X
38deJ9Y2mrgdpmnnatyl2uU6mK8E6o7MRxw+tZkVl68lVm+1mUEL7ETFexbnIIZFV4+fhkL8DH2s
fQLGHJ5N1kawniyyBOb8W0HPgXLe7dslDN+KdkYoV6GF6Zhz+N2Sb7RfUKGRe/qK9Ce+pry6Ye2L
yWytRJNerdJcXofGkg+u4ZYbUtdNecoME3v8+Na+dzUE3cSi+Fly1lSVX39FpoB6jFxDHYTfeTsW
g9GW/cGDGZuv3p5PEUEoa2HpjcPGfdchw6smtz1EqmNGxH2WKlyqdu3gcwBksXbS4P8o8b6Z7f6T
Nt7GQo5x/ear8AJO4H/Txi9i8LgkpbXHqvpMi8oOt3Cf2fB9Wp6Vr+ymGJmrSHUXdmMoCQ1y9S6a
ZrpB1SGgWQnpd/aWPLkGo75JZmJafQ1jtpx+2MTIF9qJ5YgU9OCRbqpco+a1M3bw4oddk3aKQqk/
OaUT0QpkX0rNDZgZu3qYGRYfgSUrlqHleIrtPj05CobCui+YciNNc4/11LnBGmbWsF0MVOlEF/lm
Ciaqr3iuHsZQx58kvNSfy2RNO2rs+g9CvfHqy0VdS9mhqdS3Meygw/dGdMkRO27ysFTZ9MQvw11n
xuydjUJ6YomBkxZsydawiNhrhkiYd9EgO5FejkiGEEywbUqYhzrymbo8n1bayH7Nt63Xbl6kuwIW
8b5jyL/DV2y2gMfHgYN4JNK4T7q3wfFtUufi9o0Y23ijiPH9C7BastUqivOIFpxRrp+fCSam2RtZ
qr0JZPL3uIrFs9tr58bvYZ5oIqv5YQ08vwWiCd78sKkfoGR2D7Sg0wk4gH0gWyO9S5TVHZgRHCtQ
4sP0D/uDyD0V3WZ04WgTAq+1fpxvFfWk65FtOdSQfepNNT+RkRHeorpncHgMQBxDmGtjOziL3OQF
yG0TrxPagSHX7nowvkZejqjok4JbX4zrDHemG4iWSvv5TC5TcFdFBdSgoMzuQp+NNLL7yGVCni/I
Z+gz14TGoXildL7vhUYcEzJt2c+2ZGVVBdDBPRdFF2o98A+meBhhrV0CUP+MpmoCh6XbnmYoQI/p
7VFiFMWdHR4FLVfHpHNx0ueS4FylywoFy8K+hfI3R0oA9z0khJzntb89uDLgEU5uD7Mr7fSxMkL8
RS1Yf023B74EXddouK7elA3EZJU+xOXb6TD+c1J4t0ODwCX50N0OErYITrpiXGO2w5BawxoNRXxd
bsfPfDuIOsebT7VuOHiwmS1ESkwR/IyFY81u1NMUquZsGCt++jqg6y7DkADqDjrVP6djfjsow9uR
aZcoh5GKcZAqWWT4N4A8EpnwzzlsxS12hlgsA1oDW4Uvi9X496zwSQmZb4c7ufAu22hEMWTaWGgB
xXSjAt8ui7HLIU/8c43UrYz+6JYBBjOIcWCZ62Qt4QoVQaftUKlDkxR6n5A7kiHOu91rxur5wS6i
ZyYDIWpnVyrsVgYT+WP4z9W53G5RwXVqbvcqhhhu2CLQOXun0CericvXooZK4lStgyodamLMo2ib
iHE+V6XdbtDKzsfEB/o/1KymWu5/kiWqG0hsdBiDRam3Ab/HImtu0EaQZlxcfKfPjy5C/UsuK+dX
2gTedej96KlebFq0rk/7nZN28Q9Rcc7DTG7911SO00PWL9mrGPPhOSEwnTAzawyPg8R1D81ezJuK
SHIClWMdrYgqdq+BcMdDJ1TBhJcv5dxwgo4ZgOM/VKDkTi1r4uswTnG2anXY/Zm76d0K2nYDzvcW
3u5a/o68UHsfkRT9EkpeeE7pfETyyYwlRUvwIuOoX1Zt7yNVLTzxQLiSe0T66z1XeRM8oFD311AG
+XxUWfMCgoFBYGN15REeaD5sKmSVpLtMYLuk3YLkjoE4XYK2lttg0vGB6sr6M8dm/ELo0fIeG1a0
VGXS3WltfGsVBJJxqLR5GxdUovsi5x1fl3OQsYxoyVTvInGK1cQwNp/nUw4kC20AMdkIrRmhZlJY
HyBIHwzrpRdUqdUajV25z+okO6VstGfetCh4RLpYfOZukGxIkvDJ4Oyq4Y/0J/nZjkzPrNArcZEU
yZ4/8sdirkuImuNvB/ykZ6eNb14eYjK3jbKyR6HQuNdueZvl+ZRCK+h03kPGy0iKvF77AWFbTcsW
Lzc/lnOj/Q0N6QScia4AMEkoWJQNClOBY703feExcO3Hi++ygZJ2OG41M0a+ODSs31LGlIgNFbIU
AHkdhfCqjINTbHl/Kx3/QVDoIt6uSrqEpKmPIZ4VnnZNZVqTZvGUVu5CpK9PdZkU1ls+Z7AzmurN
RtH47il7PExj2f7Svp//SnqrI8xHuXAggDlNA0bv2HpzgxKYBGPV4Oh7zQVf4X0eh+CG+xml+jwD
bom4K3is0r7ZWtOM7YAFW4CxtvXaYwTTDy534Z/IrXcPZmjzrd35ywcCjZZVBwOYWQvGrmmQfDld
BiSWyDKNGv5W25p6plqcR7NGCIJSMk32safELrCRImVdlZ3bxZHLGdNh8xSIyXkhqK/Hd43J+2cq
Wmomt+ijuxppGNxH6ebPdavBXxqNuiGvimoX5l67hz3iUx+2eBbgNgdIwTCA8LdO2e8SLt0qCdvu
5GRYhvKo57VPZXLUY5Sfa1sT3soLXTBMiRKppFTEo/TpoUa8u9Vx2e/bxMx0Dy7Rkug9jzOqjX3m
8+/PVhm+V0mVZtvELPEFEeKy81u32bn2GH6mKrP3zkQYDGLl4oZLWnhqu8XCKVGnOfGATX/My/6D
XIKLCa2/9ZANW8ao9u9hEuF9rHDIhO1Lz6AKaDpJcU+O7JZqrwHqfOeu4TFIo7dqAJwisCdtUPTa
GzTmeh9Zql8BMZ/31higXpxL622QqLwYo3IUq27qOJKmgThGp31swwTwO1cJn2+IiMMLPbp5CdqR
VWxhRePaDv07q0iJ6Gp4zQ9l3TiXnL51JRKQQq4nncdRAynbECIWgXsMY/GMCdR9cO1a/8WFkfS3
vUk7I82RJg3uBdTXQ5cVlEWivlRRDuhZIX3oWRkiGc/3QTYqThGHQnvuxabyv3GOlzkyjHrQLM3K
eq1jVngtDg5GyuZKQXgenOnqW+N7VHw25gkD39rxBvxLtZP/zX15LYoKtQV+8sfQT9QHny8ur2AZ
7jU5Secyrdt3a5q0XGUlrThyENFBrQ7HD5hJ+jWoYveDsbL/C+geOzOr9469sPITN0F6F5TosqIU
u9SYlNW2Fnh5wJQfhy7PiDzMkNjMY/qY5W3wRLjg8umjBFhhTqqOnQGSYnLkgWFd+OUhijrfcJ+G
8/vIkbfG+Wy77BCc9CA9nxCBbFFbz87ZRQuEyzik4SOIxuyXMvQY8jX5wWt8urmUSnYpWcdNEFkO
1JCIsLwGlfgK73ry4JfoJzx1W+2Xo7ctHDslnIDKb8KVue7iUR0iML3kp5Ups7ZsQWt/U1HwPTgb
JSuznfCTvKtp8SXbKvzhdVY9yZpDlJWgIGP1duFGQar2tl28lmJpT4XHmqFIWgqyGygfjSmNL8u5
l7ir+60ZW1wgnBnswZey3foZmqf1UAodwEgveAKL2uLANggG1gGpeIwYnWY9xBVfMQ2kYi3/g7zz
2o0c6brsq3xXc8cCXTDI+YEBJn0qUy7ldUPIlILe+6efxWozVeruqunLwQ80qtGtkpLKJCNOnLP3
2siv78cMaZoGsfqtICd3F8SsEFjn61XdOCOPSpjuMtPkmrOsWhhuHGExz1nN+r7sUQGI1QhW42Aa
vn9OZtasW3oVdCeiWN+rnO8IfKADfrww4wFmZR48NqlrLwNJ4FkipvGMNheWrso7cThdmh5qzthM
MQc5mp+eB7FJfmvfSeZf2kTSnQg4JjHoIisgTg4EeEneAp8U5yo33qeWrFBp1tlH4PfDAlN4uHcJ
g8Iy6COwtfwmP8uyKMYSmsdPmJ1o5Zax6Z9srfPOMwrtK84qzcEORbvXR4f2Cl4j6z7S7G7ZqLB4
Sh0LjWqR5IdIm91lsogADunuTrfCZGt3VQm0FTxXHUIHG7KlPkRMb03bI4NIRsaWJ8y6aziuXQHe
CtBgyGodpjQAAk9fGLpirjybnkxxNtS70eX9bDMPQWa7xNbonsys87ZRL6N7R0/sfRknyVGGtcso
ThN7v4+ulOX07eK/ffNWR+7jzDlR/9y//d9Vm/1zA/fPH/BbD9eTX/h5dIRdrPTwc2Y+z289XM/+
QhuB3qllGEgz7Jku8nsP13S/mMRBQMwAt4Pic4YO/wH1cb44YFEJHgBZ6uD2Nv8N1Icu7Y/NDFeH
v4cEwrYtRqCAIj41M1h/CjyDcICrMFTRjjlUfClr0TYry29xSQxDm0Q4QzIMM+z+AfpQl7PtKpeB
uYdwHa0dw6yY42WIlQ2drOtFN4T8WVt1+ERLyaOsdcnCXmtoxc+mHPJEJipTX8/OEHWRC5GGO80e
iycn0bE65kbIcgKXT0HEVWmNxozf4L7ugaMZDYvDwi06pGq9SWCda78W04gF2wcmSvIK21qyykwc
Bcup9/prz2ijcDcw4J6W5qCPJp7HqNri90CooXVEJl9ZZtmhiCwK9JejMNQ57lT7GmIjxtoY/wBi
p6gv8G3hEAoBAab6RxDq+bQuFaa6lW1r9ikLfBv3oJ+qx9JOTNKhXH98sxytuSqixJ+zE7N26aKl
aCm57e4liGr88q5IIVQXTvhkE8K8q3wGsWRa6jpNBKda9anp7A2Ds5qVQZ/EUZSZzsLC5n/bOOb4
SBCEy8F5MhFAm3oe7kx3VlFYUxXDjx6jFOl1zfx6JgOc98OkHaw0kdtyssPpwgrT1rgxqfhw09hj
qTa2V1jeQ9fgyxhLBIPrxNNZXqZMmbNlx9BoVyWqqcJ9WddCv0To0OPULSer9jYRicbubR2MQEfp
O1Orcf56NDG8r2smzrxZwb5tgowIm6Jf82PsA6wYdsZ49k0bw5BBmJBBZ1yCAVL4HiQ6sKiPypXh
oz63W304NaH+QQ9lXGcxraseYtke5z/64AIKQYUgk9Rt5uroNqYL5ukBXfRQ0GGzMZLHxkgOoBgE
AiqnR47ntfIGRPq+LzSjwCnoeyhP2nRtR/4NkER1YSXdg1lYMEod8ky4P4jmE+9Gms5NtH0/qGyr
JXqKusMzl3Ma6doCxX2uTCs7c7htTim6zL0zIMSOLCQkSVm6YOxTg4CD4qx1iA1Smr10XJsRuu+e
M+upz107RxvfpeUxCZATm7odvNtdnWxdBqYPYSOQUFqx2LV4InA+5SNBuEG7QPWqLmO3kGsrafMT
stT8gkQUknZiMa0nsjLmaDjdv1PJcBM3KIbGJlb7saXPVEqJNROA1SL0cho9A6AiO49ec6QmNyWd
DNCHCkCRMv2N4yf22s7QW5GMZiw6Hyiw0bTnJUkvHPsCmMnRKNrbBH9rV1RkVOkTMl6SouFgBs2l
HyRIzqaxgTpINptAK5kLc9uV1VKN3QnDDEgQqd1kWfG1bcOrmKQkWsQETSdN0yyzqJb4pnjKlMtZ
KeAreBXj7JFFtmAxsm7tjvt/THENp/57YgRbg13yCmae/pUCkjs9n0tV2S4MZj8LSF7YUOLhQ2bN
oSUKZVn2Gp98wVaupfGkgceZJxC0HZUvKoofOBZWCEYUP1d9jAIUglmdJhAJ0Nz0EglmMorpUeO6
N1HkTxBW7XJrWVF/7lKw6EtX629ICr1xGj86AxghaVon2Bd7JjWuPVA9WkN2XTFmXRsSEQOhLtPF
1GDZWY3pIHYB7CJkC1rXrpzItPSlbWeK4rTUuoXum+M9zQg0dJbfX3heXKD7kug3AiHemrL6KEoL
fU7rljT3fGsTGL23Bs8bLp24S68EuKCFamrzbKDV+poXGYJ5KLT88r3IqH/Qe2Ehc3fcCayEDaFc
azGW7kPvmeq9iLs+/K28eBv+p/qaX/1G0PmeMPwXMDajRRcnDYWrYcNQcD6RW7QIs0Y/5nLP8c/s
l1mD2c+1cnVRoJXul6IbxnHJHNRYFCCtNvFIH6mnI/3L0MPPo05QONKB8A+icwb9g8b5kYdTtX45
pNg99mPl4GWpm1foiP10XXS2V1+6bmY4V7FOYvI6mdL+1KGpqlAQRA2E3g43DF3g+34wBQvsaFZq
g9KThdcKRFq+OKi27ZVda+KhJIj1Cq5ydj45VvLoIvHmfp5Xckpd41UCBUFN4gblA8+NthmaxrpB
4aK9VQGyNnyC6k7qViuJu1fhY4P1DyB+Z597esjd5HaYmisFUiAMhusydyJ3xRbuMQvQ4wPp09UK
24t1ZHNUl31ecSSAWH+SMh0xng7WeZso8BCZgGUzJI+mlevXdO/P8N24S3Pe7eS87yGYYwvshsZh
jyXyJ1izV4sTTU/2S/Vt75TC1D8QuHAfmXYp36XruFf0casTCl/jwbH0sqQARz5OTi3+q6ERrblS
yg2ZACbDnRdYQbhMkjn8zKhorhHbUljheshKkA9hF49vIqv0tat37mWENYsYvSYHijKktKGwMZmk
CfBwzMuQ8wLFOllg2Hb3mm/ewchs98VQKXogvPExGvkFDpGcwQ0hDs+cxhCQuUNQnaOaEufkLPOf
eL5p2A5NsHanIb2J8hFtDU2RNyuNnBs3QDgWBD3t3CIVW7Os2NzmrXQZ4L18TYoOav8QcWiPgsx5
9dDRXZiWInKVw95TiVVzXLIImGQAelijb5Anx0/CTIoXPGl6u8rGxhoeSIbjTRJ5Ii6aCarOtrcd
iigqsOKx8gsne9cCTnvrAJLGR2Mhq7z6rgz+m+cVqOTnahIKkYfGU3BwsQ3IaT8+Jm3mRJ0VDO0+
RKJwji9BHfOeIWxdWfEe75O7L90q7YEw5T5zvfzSTXL/GAxzY1BzekJQG1WyDOMOW7mMepHcpnF/
qrwSuofNBvuIEIn+iUKOfGP3JH0DfrHZPBj4O3K4JGsCtEBPbyrtje5ouCli/doa/DeiP1AJhYWz
5yAdk7InBmpBJzpDK3FTWAFpFv4VoDbyeX1GsywiG05dNzzj1gVBsedlyGbnaDZjMRnqyB5Z6JE8
gk5zdkFYCmLXncboKRb1XVfI5MpxIv3Kyg3iHHJbqFvSB7Kt6iJvrYYW129u5cw/9TGuL1hcStT5
cF5qBRVnJShKwDfaTK7XYkjis6nUMZi3BsOAZUpX+V22NeRuuJWXGEyaKxMz6/2ken+VWxEqMTEl
K4+A0pRxhvSfAsrRp0GMKd2eNK82fsPAJCSpOaZdakuK3ajZRHJUu8wVPHJ4zhx+v4pcq1k48M7U
2EMu1er+ts2dLFwNyOvnrA9yJph8dd4O5bF/jdo2eE0N2yd6Q9HL8zPtNJD4tfU0kFtDyDQtiYBj
m3poXLAnTdyVbn+RRN5wQG2qPXsZzQp+HFgAzc1OcUiXngKhKO/00ecJUJa76PomKOcjQLBxQJaQ
iyi6zYiO/KkzjfAW6aAJuIj8CyJY9WCJb5Olaeij66luYAiQaXAg1JBYBSmbdU6RCniSDHsZGNFd
ptdkosV4fMIFCaP2WWjpNMTTxvGPpOTpWzSJOs+1F1nHIs1vsGcVAMwRXzjfdqKJnI5rR6vUeQ+C
Bck72mV6IqSmuldZ7DNdKubTh/HtIGI0cz/X/3ZA0eezSkU5MOvh5iOMj4MJY144RvHaycxX49tx
x+PgY347AtWWsDYwiOV98u2IlNFfx4sd9nOKN6s3IgsnLp5QtCbhDlqmoS4wRmM3nPexd7vtMdhZ
g+kCqZmPadHMNF5gw+XPzALfcx72bbWvkinCRSmMfWmWDb760p4V0d6EALjB3xHtItdhbDJOLZrt
2SBysFrLD3c4xCgGhrkuiIXxCN4JhlSjbmMvfAyr+QEBYjIOMqQfPxHi1HlyUxh5O191vREc0Q9D
wNmi1nKxQ05Xv/x8ofpEhCMfyKCwYJGyQTzM1qYflymcBW3M4ELuPUV+uHdZxtWx6K7/fXPkHxnG
1EBvOXq7UAXN/7rNYeal/z9I2+AMU4P9c2vk7CVN2//8j5e0+K//HF7qIA2rH9Rtv33/7+o254uk
/QDKkPE5NdX/xR1L6wutDUCh0kZiZjoCCdsf6jb7y/w9tk4XneAAysI/OyOW+YWOiGmgikPh7VAz
/qvOiPzxJtEId5Y225n4VHRmJjhZ4IXTFhMo6l4NMcsi0EG4oTzoLkgOd/K1h5geLofWBxMOAcLE
da0sD+PQcSRVqtyMgRQXTjYEK53bfIU6fiAOMIcX1fgqXRaaMvIN56KOJ51ucu9D1yjzZtynJjOl
hHP0A6EL9VYy6l7XFAA7QvHKS4Os2wdV+ejqELpvOdejqIcSdPCUB51+6hllzNOZNAuI0JsnNgj4
whd3nuLI0JQhwU3zcKee5zzuPPEhXDXddGMHgKyYB0L9PBvKv42JpGu4R+yqqPuDeY7EwZyREgIf
85YQZkA9YxmOh7LswsMI0QKaHyEXPnC/7ciQiqy1icMtQtuFlpG6lbMRsO+bhY2JjxkXvshuNc1z
L2gyFHh1Nj1pcRetUSFYO2OelMUyGHFXcno91IrA6aX322ytTYHbGE4qzrPKbheBmbQQInr/ICJZ
vNrxxF5cFyDOFTah6Nskb57p5VEWP6CWKB5U6LU7fZ79SQaLuNcEUJxwnhFCCQJKUzRh9dZarX9m
tYZjbhmmkTLnBbXY92A4crB+oXaraakczidbojuc2gTCnjFNu4QYmHnyoVUHMnqLF60IY0GRi+1F
oxhZh3qiz4hCfkpYBIVatham9hqh0y5D6LHGNGyspsQZVzjMoDDS6Ikpd1rzhKIr/Sh7PoWVWVnF
Pex7muEu1Z26q62eKjTtTEzWk1NL1BV6yl5gxy5RoHQY915aBlfCZEBlFJUf8HHjxOVtq/JxWbbB
eOUrAjNrVEhrmx9pXlVc4ksbDS1SJa3RqTFLjFFSawamMn2+ATqamJRnabUPbG3cEEPgf4yFwzVB
EBEJEzgM70vi+PJg7eM7OUmn9l88HdsvZ3rCWcVAmvKUhoJSwhs9xnklgGQ/JAlRl3l1LVyUPiEy
mMXkFUa4aSfo/qY5hafQTtSHpcfmdYyrTa4Evzd5s4znvEUi3eTgOFVpnSE2dL/m4cBR0RtE4t+B
w0NMpeJMNZsGVSgTTRsPcek4kIXoUbrVjrk9w8XYLO9N3NYbOwuNg2PxfAR1jTSlgPNspzbplpqA
pnje1C7ySgzPDFGaCO6OF7rI33Okueja/Ml6lYaC5OgFsFA5OgX9ee3FrbWqAfB/7TRjuoEI6E1L
KHCacyA5WdJ+MTjUV82EGrxO0AkAsEITapsKyw3J5MOr3wI6Wxat0USrHFrOTYW85R7sNkGQOjQT
Y40qbDwHulV+UEr0lxDnp9tQhUm/bbpZfs475m1T19XDhV6SSrwIzZCI6jJvS4g+8be4Zfi9JDTT
OEOzbtVMIOIJKMeOTOluXEsTqSyQ3+rYWk56neUS81SSu+oZ53Z96nCvwG0JkVFudEvz3qYC3U/j
l82j4oCFUEPq43Tn9ZF+QmsWIzoaJ074iJEIhGMGRwgrqap+KfR9XVvuh55DcF2mUykPsCatuyk1
h0PZhyy4gwFprGmnUDsqVrF4Y/t+5KA2KBpjm0DLu0Ab5N6MlVEeW9xwWGQLt+LvdsBLjJbZI7Sq
1rhLrap/HlLVD2tDH8WVknWOAqXr5XU6WOCTqslZJdbUH7tKsy+cMpCIlyLDP1MkwOCDUf2e0jHc
qGCy9o3WKbUQRtNspBYlJyHrdB2GPp/kVATVV+QXYXBhym56oXNlIDulwjQXepwLGobDcAxAD3Gy
8Tlq6K59nNy0ezJxkEMx0GnLsv5tIQbl8+rgEhce+n68pHmRoaC1iovJxYDGg1OaXy3CpC4Q3A3r
uB4RmunuRNuvdes3f3IJgJ4yc9NxRj6b3Kn9mqKZ2eRG3d1UigVsgbsj5rCs3DOFIOrFDBGeMssz
1aXCAkjPnKD4TUnuzlJVjoWr3wbCVReyPdAWMA5diljTI58Pb1QUbkc7x7M9h8vvQaDGx7z0h6sI
egfoF2bAtUNzSqmmvPP7rFqmLEQkkkC1iIe8PvWiQsNKNOttHXndVdD1KCnSkZWekf/B1ZwLVNXZ
vu40m22kRlEsI0cePVbk139f2/191fZDYfeP5d9sj/iz/qt/i7SgJzZbBX74j/WsVRiv26/VePpa
t0nzh15//pv/r1/8PYbidiyIoXh5T0O0+KAFwrfmh9oMF8FPx17Hl7gOXt77r1+Lv/m+32s6+4tB
23EOb7DAvCOS/WPaJU28DLBBddsVrkV+IF/5vaYzjC/k7nnQ4SVDMI/k1D9rOuZgNNxMvuKRCWEj
3/xXNd2P7QnC9ZgUGVLOEz7C9pi8/Vj3CwiSQcUwZeX06ZmX1iRquslRpdVzw1x2QTm4QjT3DT+z
9V01y3j1e7TZ+jGvu0e4nU9tUV3AF5mdBkR2NmVzhZGM6bRjhKu81UDsFGQ1ViJ5bFykLboXP/Yi
X3ndeGZ50IoyIv5QdmNI7H9FIf+RAf3tl3MJLxQ640JJFfzpl4uIrWjoS9urIY1Whmg3sf+RVcUV
A8bldzX93/R5Pr8S1bch5qwig39sCvgf30alVQZQodRegZ/FSZ9hotSO5JKtjEKtfv5S1ufcAMd2
4HazFTuW4F+fcwNGhzOtxuK0ypzuTfqlRCiePUAoQfPqGXu/Aw6QOGAWEb4UK9lBHdcdG5Ip0Xdb
nwJ5hxpia4fyib91m2XpuSZI1ROielRaf8gdSWIRhufCwb+Rv1ZDCnPZoqynlXgcbYJHEFwC5LP0
M4TQ9d5C1LhsunhY2zo5qoE/vjjd9FSW4bNVynSRxLr4xdttzJ/c93x5fnlmS7owySlxBGCRH99v
H5N+N7KJrnKXQCRkIQYZ98siaMiCQgmWPxapwyaCrTVATYU1b2F36XuiBV9//mF8e6EfL4QBMeBv
8rNtk3CsTxcyBsOgUiUCxjEsrkZJWxKF1aOr6mo1GMkbx+qDTSYSbolD1U63uRivOz+SW0ZheOM8
89pqq5tZfjeIcmsr+TJF6jkdiQlMxOkXFzu35L+/WMkYn0UILSjJanh0P92lWeQiF2uGYK3rE4IM
FB7AaZgQ6Tel5pxT49/Wbb4HSAwjek5S0u+1YKgWrY3bh4MbHKlVZ0wLiTAD1yp+XgePRlHZi59f
518+Xa7TE7RKmcHb+J3lp3AzoUrphJR9+ACTm8KNyk2fpj3q6uGyF+2h9mv8QBFzb9tpaOdX03NX
TjdjWq1bKtKfX8xnfv2na/k85kA0aySJZGLtw7obyGePGfPpzJxs19zOBfDPX+7bmvTpM/IIHdVt
kPmuND9bKaTlwwDCoLKygAYDASkAyzOFaNOeu8K+MVRC5u2Y5kRXawFEeRleOQFpEXrwLEd0TAzZ
6rXqUygAXvYIjmSpGEanUX1LSz8+YP9IqMK9ARV6eO2ltMqbyKOanY5uU9s7rLHDojBAN1SduRjN
HGiYag8EmSAFzATTYJtJbKlho6bMoZNe17vG1cd1LjhoCZBHC4Y51rqxpl+00n9cYmk8cFM4Jl0M
9qq5DfLpphgtPanzhg+CI/J6stUmKi4GxjVx+os4IfOvj4mkCcamSN+E/fdzu2POHTUzn2faiuSB
ycnXjHEtn3cBlsyz2hVW9odo6G9s+GBNO56s0XzyXYQLXe0/08BdZqJ+V3JaZHq8w+N82zTV+ZAn
21/cKn+9NX+8TuqH73OFoJ0zgi5KpB6TcxyNflPHkgjrKH302aAXeGa7FdLKEClkAAtjyACvFCOi
1PJRTXS+837SLhymbOthKK0dxWh3XtUV0dgQmwB5uf5WlY59NjlVfN/2Nuersrno5ia9XbQ1QsJu
WGj0L7jVeGFH7ziiT2OCu8024UKOzULDlLzGyQhD284fhiZ68YMCC2PRj8+Mxe9NivLVROXwQYxV
shx8RS++LdUhA0u6iYPk/ufv2V9vIqodwZgAjzN/ivmj/y4pKm48yg2LUCglfJxYMYtgtwwtCVbN
3Pz8pYy/ey1qDklXFUeq+JZa9d1rDRFakdrKvVVnTtYZZNwHtD8WbOtR3eMZArbMRM/JxvNafSiJ
CC63ENGZHhts3+TVasK8zIciqivD+1Vmyo+dvPlhkpYleGrxyfI0fS77kqgzUoFzbEbqkta5kUI7
TOXdL96Bz5XK7LfVPRYxJsXkc33rJ373DlRmrFoCB9U6woPiDnLYjSRxrHyBKTQM8hXq9lOviuIF
wMld1I/XoiY4kIDGJUfnFh0NcKmyCrO1rAemQSI4JgSxLypf2r8oKP7uStGVsClyW9AB/LS4NJHl
Jyhh/JXr5KwqIR3ACJt5gENN6Qh4nEBu4FseXIwfP3+T5vnfD+u9JIOVrp+D5IzW6ufFBkNJM+W4
0ldIOu/9XrLEcMoDKmllJkPzlozp8hcv+Zd8N8lrokGDau+xw1pivju++1y8lBB7ouAxPpb+NjU1
rLJhMZwVtqSbElLap+0bWJq7MrBfCPJ5MSf4x772ygkKyqqW5xfukH1E9NCMHK5YdPvzt8T+ywLs
mhTTHgWuxJtN5f7j9Q1aaSBKbshhddtVyHzIF/7Gj3hcph4IWhVP+JW5iZAPIL8OztrJea5zsqsZ
Sz1VWGsWaJ5PZt99RAG40kHfqA5ijhaHV70Tbwvky9DuUE8X+ZvDfruW4JZIbvX2OV+eCnCkUQwf
mfCP1Ti05YaUrK9jqt+2o/1kEKgCeHrTVbRVFO7lzqriX3xC8sdjGc8nfSKOLcgjZ5WF97m+zUI0
764RSJJo5a2ZimvaEjuZdRBriyHBTNNU61oE58WgkqXh839AbS6qManXjapPTdWf7IpwaV3DFBkC
2xvMig1eIhVM9UeJQWaVgrOCWkbXp2Yi7I0s3mWvNlUPWx375lEqu1/RQnnBOQWqX7k3neU9GWZ4
bihrFSeYhSJ2AxjAq17HfDS103swN65bs7yo2nDVcaGGnl4myXAcougYJ7R9cQq8dE2z0iy4jVFG
861xzokm2QJam9aDByvTyJyJLiOd34Fw+1zTjTnKFFE1lL+R7LxNYNd0Nh1twZeQRBdvfaUu8+RR
Tt46bH5R4f9lk0VVSsIiQ3ywd4xmPq0MrZP5mSwt6jGgHNNOyF2X70pcT8Dxvt32/525D/RPeD//
eTh2/vIejC//+Tvqw2/f+lsPxTW/0CLh2Gvopi50xix/9lDsLzpgB8pll/MCKos/Wyim84V+nuGx
jMzoAjkfyf8QDBtf2JHQyLLosgnSevk3LRR6L5/vESzPjsPYg1WLwtSah3Pfr6ehgVtiIqR8M/vM
7ZVeKWR2dRVcalpEt0Q0xoOLNhZrAhOCY0jcgXHmZrB+3D7Ed2Sb4WVV4g/ihDPa72yR3u2UNR7e
glyZztHP8DfdKzYJxI1a7t5zgDQXZmGaq0Gz9EWtJ6fStoY7KeiUNkHbXRaZfj9FM0S6yPrbUBTp
rZqy7L0V0rqs9DTamXbhnjnTFJB/lbZXaTwQem5JgXeaVIGUsKoApVVjjqBF8dMCwWuy6UALqQd9
07rjtUc6yrhge0jyM7MqT9mAMu/UeUzSEJRM6U1BV7UjqLfqblIjT72zye7JIEHeNyt37VlhDQ+p
KxdW5xfvmua2zM3LzAe5muqqObZD5nlnnW8S2jhicKyuxzEu3m2knOFWeZB+gH0r7x3m8fA6GRhd
dyaymHTdSCteqqjXnE3oeWBRNQebxKVwZTZzpkX30czgz4shSMtnhFnGbe6YKTJk37027RFrdhTt
A8eytLOC/F99myeu88rk2u72lsMIe1H6VQk4MHB0ZqBDQfesA8dpRArloG/YMQEHo34L0jt8ahNb
vbfkML0Nei0vOK+Ncl27EOv8AAH3UqRFf6B4ItOazcRlcFKlW94VQiEaQapsUpcg28qwYO3pmBcq
omKOqC7T+Hni5jhFEdD0RaNn+pmGz4P5VYKxZVIEHhX+CAkESXnIYITRF6bvYNVaBGEKG4T9luVX
nmlFpI52Fr/BBNfmFk+MXTzNaacjfr/BYa9wzEzxQk/4vVswrstIm4xgqewhfwEB6S/qsLU+VJK6
D9AYuMlR7cbWc1BI4nGKBJ1sO7xabOjQuTttFw0Qj7wMM5AeTU2wamDVH5wmPc3NcOYbVXAUYhTX
cwPjqaqS8Fz1YQ3vapyCbdlI961CBI4GWdeSR8j4LdNUU+A3d0I1KApHsp8XrQ5G/xuRxF3qZBEV
Z3VmaVvpMuxajImqj73fhasoy05YCvV1mBuoUu2oARlsebeJbXdPlQ1XUS867nd6oiJYdl0dE72b
+6610wGavog0aIOHVs8R3oVDgHklg7kNsIIpeL/XmVRj4G8n2Ch5qofZ3jBdRldMm4PHug8H6gtD
Nfkmt2Q3HEty56F3xLNTSHeZtG0Yq0MeC7TeuKxRkkikr5XzZE0SQzB4fATaWz9t7Qfbwvh4Iew6
qDahCIN2wxSRkCJU0kzc6N5aYtOPAzOuCDQw5iI9IxNjAQk9G0hmA+N4jjMcY7RRRjqEOY+/dQrc
ngnUKOkXPjTcXS4q5IS911caAJCwhyWzzMY5pgvsbL5rgrC51aNE7PFpqPImrvMR/B+Us+hr343F
scMUy4NNUzFDHGMk96DwwFwhq44JTmk8xDe+XxWQokpN53QmkUUb+pThmoBGmmDaNvxulU7JR+XB
g8Jb1Ks1o/u43nNnMlIvGOYvDK+yr6suzC4ycvDeHW3IzB3dWi88A8xXvYJBq7RFGsTlyg/E0C1C
vsQiMZh3GeqJu9JOJ7j+sWFvkthWO6ETmLYMkJEvpQiZA06GJ0wOMGjAUEVNeD9YICVstqgtc1C9
0BmNsGBAFQdoGzhzx3Rlo6zqn7ouc8+7WGQPuYxGmKyiHy/a3ozPsspisFdR2KG+MolmR0vW7xyj
6c87r/SuGAwnTCCjAE+B5gzXUFLHpR1wPCBUhRFq3wjGYkxw871fklGzKNDs7Y1yDA8Npg30CVV5
C7XAekC21W+Myhoxk3jOvg17xEspW2S6HjQdO7biDG5p5hCtFbF+0xrXSLvVx9Y7FnmjLfEeWvEC
mzASAzsryN/K2xedydxzyHn2vibkaO/gK9vAWvBP7Jahuy0NWd+inB9eyya03zH59Lc9gkf4jNkN
cNoKG3MpvXoddPlN1NoEvIOPLM5KqDf61jWk2mHtt1Zp3THdw5EWLoXdgHeHnR0GGzfppmqBNuxJ
4XEsV22d1YfYGd0PD1kqMRQcJmmU6LsIlfwzul1klLnQzX6nwzZYJ13igtZM8l1K/AH8h6i/EBBm
8ll7YkSbkfhBFldlfC1yhqmtH1nB0sxwtB/H1IJpXFdTflcmfSIXKGnZu7KuIFLWbrtDHAeK4GDp
2lgudOKpiNyxr7t2tM6jMvYuM2bq2AYc942tuTrCeaifok4QwEOicnFWDLE6pMCTuRYGzidhDdUp
DUElLRq0E5dcS/OM1Vu/j42arGCiGaeTKUm9CVF0NCvfkRvSHr86rpncwZVDt+anYXPBp5c9oQSc
6Dg3QCqqRmxzKHkrSOvvII6nqwAeyAWVC3x7L0sfRwOub4liES5ubmPEM1pyMry843mTzN8NPXSu
daR02Etab7xmfjwVN9ArNLIp8urZNDJuMGUzjl74eZm6KwyIMAgRyjWvTtnZzzXixesB+7q1R3cS
P+a9UupytJuEhzGys1cySZo3vAaw4mqsS9pZXftjxLuK8JCDWydvPHuscQWJRJ4VbqMFC1/QH12M
gdDA1CnY0gtdk7JbVXmIE98s+WLsN+LajvB5Ei7AysyHa9wPWp01ADUg75JfJFKMwCSNLQoxMKqd
+uZD5B5nyRhL11a3gvZDAD7dA3IojjiU5Blc6uI6zvNuWtQS19BKJF10l+Az3wZlWh/CgNAn3fGx
6ldY2UnBDJOHiB4zCZxOzWYz8uZApcfSECy6gC/OzmRvV0VpHW2K0ZpeSsJKbfQMRFKFo+a/NfUg
7XVdd7AVlGuTkW0ORC9dGQCDSFGL8MubfHtGtxgG0CKVdYa+z51OFKakoYXAuAAnuKpgXpdM3KyY
r7emF+XP6DJSnjcr6zeDNuEW8WNQUY0oizl0yFEwxavsJR6FOKAw8F8sVGJrEL8t+S02+GuVl4ag
nSziveSS1szHJzLgwMs8NK4q3yY9J3jEypGGhYHgdOuhpj0F+Tgcq7rIbnMPOMyiqoifzN2wC5kT
hvU+g1BmrU1b5Ves+uMKqBdRTRQ7eUEmi6/ufCOZ1x1yeO0aITB4Dw8cauVTNK1GRE9Qt4exfHbD
iK3G1bzpsiK45/+wd2a7sWNnln4VP0DzgOMmedNARTDmQSFFaLwhpKMjzjM3p6fvj5l2+mSmXW4D
VUA3UHdpI1MRCjH2/oe1vkVyI07q97YtrJWNHa1g2Z4kd0aks+Gw+wzLTjiyCJwVxMOprTUJRwjC
wWMwte4NhVDioNJ1pzOgdXVLmnxOzqE9mC+qa3XhFR+ge6nMGRXKAeN8ttSWLWZChLzrhpv5kpND
tw9RfxMakLXO1iDPr10i+SKoK+Az26oR3C6rbcFQWVpt3wMex27j5L1+ZdlaeqUIJBELbXRlIu1c
4MJRt4VW1dyn+K67tepiN6ckUdCZsLAT46LuAnHthBvdEUYiKPKcZLyzjCr5ngWD8VCVHNRbgb2E
2HWFYBerI3qFE4+s3LQB1D868Q97xI1AKWQ9uoNbaOtGVcSDKnuBVT62oyXGBOw0lc6QhImwuw/J
iHpNEHlcMrVWPgqIKlcVnHJ00Js2O6Cksb9cVDjlEfYRtMapsbJPwxzap6kfxm06pd3BLq0k8ky0
x4w47C7O1yKsx9GLck6hbVVlYjtWsfIogjHtVmlTNhu1tdpDhnd6aY+RiqDeKo2VNkpSFXMdKqua
ZD3pLGk3Pk+OjxA6jJmV2+iobciV0bCG91seGRnbiUdqcL3q8yA6DEGj7gDfvgwqqVp+UETeFI0M
rXK9evML4iS4miAHhYazIzmYk8cMzPuoR2ltjTpqmGhEFKRyeC0MJXzSE81ZmLWOI4N8nYXeuF+o
iLaNMOrdgAp/VTltujbZym0cAEUbPxr9H75SNnemXnD+jQA6FvVAdwiRa1NkAJJ6SgTT04dOIOst
issAKn5XxWWz1kYl32oNeIMqsOX3Hhfcva2M7C/8jtIoxe9/my1Oa+H0zbZP3eCNcqZZFm74EOUc
zY3kjY4TAOS+Akxid4UPWgpyVkm8G9EosjlKPeCmhoDm9VH/ne6hZWSIG33BTZysurxvP5MqV/tV
3KfOjuQw5y1GfAUTtRLtvucBIe5wrIk8wNtuFkm8d0F3vU9O9UmAArUVnKH5OqUbK8Mc+NZY1/tR
0SfEMwEzvRB7HZ+xoZ7ciCwCNKhzfgXWsDrodNClg7hvMxWSaTUMyBOrpD2qaBB3I0m5QKutWr2z
Jot9uhKLo1H4Nx77e2EGh26QT+iezAuDVGfhWOm01JKEVGgcZDhNm27pJgGLNRI4wlOotETOxKMk
vc8YwmdQyy7ckoy4QDevHoXaDu9RmQwXMekI7VXRxqdxEvZW6L25K3xWuRt1aEyOt3iYXtmS3SVl
U98l2cwfaNqtZI5HBSjRpampId+oOv0lyAfrBXlThyG4OWVhWh2aNM68SlNTsgQzI/jQXV/9QN01
EEA4FOtRjs6JQm86dIXbnMGvyWsW8tpkzlkem0e5rtIAxg2gPWuXITg7oxbob5DyO29skpZ8XSb0
r5XvWPtW07tVngHea0eDTExC8tapaw8Hy/X7qx/A21edVl1D4eF2Q7y8NhRNPDt55SYLeFBB53WY
lMlwnpwLM0S7WmVdBc+mkFq2wntsAQ1JZA73SrfBRvUE/i3Ba0GBahWjfGsziicvxA77xfq2taEc
DQCNNT3P6UxaJtott8lnrSsAxhKSaLbxFOVvQ1AznpCGTnY7KrUyuGRxqT75UVdQfifZBWS2/qaH
irjT41QDVq5gUE3MFOdmyd9hJ+lu1gI8Gxs48OxPSTX02KUc0IvXsmzyfEt0qbMqA9GWKyetppcu
LC0APVW3G2Cy0S8AjL5oTFjFdh6QvAeWQlZOQuoQKoaBRD7DbLnDiN1Qrlozqou278wl90t5DVO7
fddhgi2URsu2uhW91XERHoymaUn1kwGqkJ45C31dqnnCL6xbZY/tFq2xoZ+CYdQYreY1QWh6o0/2
BkajoWBtU4DKOH2WO09xFenqpuTWNIimTOeSEaQvro+IJBw+iNaV0wIJ99QsYmK1vkp1kGcHEMmz
OmRQykOsmJJ/zY5fIvjAeyY4OdyjuDIwvjHb3it2bGS33m+na95qHWC3AUDNoQiHZPCmcEQy2CvE
JTGV2LSG/YqMN3NX7Cm1jcFwDg76FBG5gyxoOtF01nhouLHWfY/zOQmAp9CaKbfSIZ5LEVOznL0r
CNmL7o2vXFSfOfKFeahkFt9hLTW/p7F0npnMIHznPqKSLq1NnqTl2XJLkK51EPBlcgPjCNdUW2tu
mH4SDqIQOwWsDGlhWCeQPSZjYLbjZuTHaDUDg4VR6qDyRImXxKsjmHZsHJq5LZQB84i0ahAyD2Vr
epzrsmfsj+V0aTQF0m+081a2iEycj4smDjHj+WqGRLyhE4vBt41OuulsSOp1YrWEldSlfCGadi6V
2ZJw55CVdksYB1pLn4nlXU77wv+bAUpZhhkPJl5oNxFkn2Tme6A0UF1kGAzLpB/RUypcUSP7wnJh
htmw791SfCTw0p6Bfjsv5GzkSGTrULkUTmqMy8Y0nWbZG82IbKGlhI2IrtlRiZPINpVJuiSrvKG9
g/SJgCduS1TQIZpZsxrLTS6kOKdzQjFNFzLMdWtLtM2RY30XzD8UNtVoGoSZJuTQU/O8xI0Cn1MT
JOrFlTAuGUuWLZ5IvHRxa6QPOVkKW7wF2KvDmt4DiErQpvxJcLRrsRboi6bK+JJkIM+g22MNqza+
niFcZSfrZyXimNqXK5lp8SbB0k4kXuoPr52Ywd3+6DRPcrSJHRJycPmtbTGBCkpaNlLEajJA6xKq
ZJmG2s2xnbBbma0jqBOSwDiIpgMNHlhd/K43cmJuEQ2KtgYWryro2M223rs2S+Q4l3POACZKtA/B
YFvooNUheGFl1GwyeAh7BiJ2tM4dI98wrU0/8yrTTzl68hgtFiL+RdbYpF5HMmifKhfAV9WrXbKQ
oy/4Ndk0iWWigC7mEZMaBjkeFZDv/pQvgDBhMJRd4N7wudDNDzrHzyi0+MMf+5Y5iK5X+pFzAvto
oGolDyipBdrOGUhd2mB37QwU3Z2cWOsN9vfakvVjKvSQZiwCRrZIdEZ6i6i1CW8JcT4u6AWUZJWQ
doRhAlpR8I5Hyj6wzppReG7snNFOzXh5zk8O7DjArJdx/k9ekpuB6ll5O9lzHAIDG7CAlYqmqCvP
rL0HYh7HZHgVfoymxK7kK9+kWj/WKsrcACC9PJaq3lnUyzbrn1nv/elrURyuB12yHJ7NfNWSa4lz
Zcgxtz0SFIxYwi0mNMuyrYiU5Jo0cXG6/cbEfLZS9DnsoivV8Tjm0ILmLlIJ5rBHktaJ0kjnDOJo
utdhspUbh8qopmVyG69CySiBLZk+1ArsN8u6jSFIqLHaL/okY/yVqC5SKE5VwoqdbICQ36vyOGJT
r5Yzlm4iCJ1U7SVeM4ZJjS04B6bQdc7NBGZwkXKz0YIJlnl+HBc05xDzBET+QFCe9gHDorHgDQfK
0Pgnst9ZyKaZ9tUlivNQs8Jl8hgLGBtK0Q4EXsSs6a0whVuspGVNzBfHZrAQbaXcB7QazpMeTSM0
TEDvQDxa7IuYU5U1bb0ZfeHgH98wOdfWKkaE/5AOsB74jK3KAwERPSQEJmzZoIbdejarPJWRLA/T
2AVPcRZSSedOGV/SKn0pFcNfFZFtJzsY0kzcZ25jULWd78nBz99Z6CifRVSOtxiXi+Jh6mHXb3Ps
joeUqxAHhJNmBOWRgr6F7cksm7CW7xRz9YcaO9njRM4sKexl36xo1sK9orFsAig9/0bt7G40hNA5
VFPzh6ZUCHT80VgPDBQOjHRMRO2WvDQwWKSnZDN2ZLL7aYsaN3hoq758AA/HNyBOUNKGeqBfa2Ji
WfBMgNQSR9eGQ1jJcj0xXwnWU293xB6RzcdYpmxYofqmNKKtw+Mb8zXqDOaWgLviM8OGZCQESuum
Yzmrj7fNgEttzzTTIRgl0bVdO4bXsCIUlUni+K76kDwUE460itKSULm0/85CpqITqPQXarIBL2MS
h+IKJ5KhRQF3YxHVIrjVeNNu1KLBtFTd0FaWKqsohbKtqp6FrRZfrk7lzOaFOcDSadTshw5pJFk6
Rgy0RgwM+ysZVctJHxDckXOaUlHWItv8t2xe/6l2/Wfp+v/+/4jLb7sqbinUF/98Q7sp3n+Wtv/2
X/wmbtddhAqaBgYC+u0M3f8rjt8AyoSNlM2VqaJ/+gnlpFnfHHTLKLCg+NsGe7TfNrMaXkYWBL8x
/J1/azP7RwHW/MZUZO1oSNkEG3+UUup23wFm6Gku2Z0usP/znWDFgyUkpB6AGrr/6ZP5ByLwWTbz
s5Tn19fjBSEQqnwef5AKpIHRJBCbetSJTbxAovhFhcOUsmdf85+/EgaCP7+WhWnXhbttWDb4q9+v
nKVAdAbRvV/pEKbI4bBI8oYopO1iXS9PiR90JzZP8YbJT+4FVe1+sqftLk0+JLvMNak08Lpre6BR
fB+T2bBJdRrUz4Qg2z0UKYFZUwTaXqp68zECZPWXjWb7xIUMDsxTFjGDDa29+EEAwBy9mmg3Qnfb
bm3YUaUdWrNWL1GKOWfZRMSqtrFt/mhFWLD67PHj4wSQX3JAjx0IVFdJjvKo8NPpwokCI6NlG7ap
OtBNwIC7+1hAaqpUV+225KJQ62FI560Q3uI/Y9hirqyTpWojvE9tggudEUQVOeL2ppyMugCPGXNT
S7cPsOEwXSnYc3f1VxYr9d5uxM4OeB60TuorIueP+ShuCNyT0ktQhe2ngHY40sG9DEN6HEK9JQha
7ZYQ7l6UDK6do+r3sTnlm9yyj2yisJu7cJmZnVVLw1Xq4xgy21UlWCZfxU+aapg2WUk7lKxE+640
ZUj2hLW9YMFkOAv838NGWhB7iyFw6OwzFE7Y/kDgwzAh9VUbmB0pLmPWfNwkgX7PBHlBluvDWHVE
LNozo34INw4ySC/N3J1ead0yKQ1envXGQtWCL5Yo7sKSMf8Q0guqLPDY+bvLLrXzRRE2qidMXlwX
GeWSo973EjOWJJ4K72LwHujJKcspknURfPSkwyy0hi2KmSubqFfvi6TGZ8onmhih6/lmeGWREkD3
0z8t6R+1xN5VBemH2NA2aklXxBaqXMLFuveJ3mJVqn3GIlsboE6WmWw3hhp/qbqgCPTrF4v/QbDy
GYDQF9b5Y9YG+6BMtGXS+WSnhdUVy9VGsZqFM3aH0E9oEZVjiLlqVSJxAlLiELZaQZcIjjCoenai
JAreVS0DaKV4yTtydXuGjQujTw+qO/wQsoy9ZCCVNMn449WMENhjkwnftaCCuGBBVTn5TIpiyi5N
56xDBz3D2/kI/eZ5YEO/svS+4cNImIL6ys03guMY2+pyMkzC5ZTGX+o2UsjEp8QRwSHwk2Ijav2F
io5fwGfx6vNyaR99+Bah0VA7FinCuWVrE4c7JyBlKi8tel3ZoY9mwdFYuAbj8D7MRhDqRY9oJGUK
xq4Yv2KlT7dWYQrsN/atV/lNczs7djl/B1MtP9ygKFb/c7n+4kH7V+4xLh8b9e9PJ/ufcm+898/6
/S/v+edfzu/Be/2X7Xv3I41+vnC1337KX29c45tukGSNbdGezV/zvfrXG1f/9qv1CJHOr2qov2uh
1G+ofV2I3DiGrF8cQ3+TQqnf1FnfpnJJI3RTjX+LEPDHC9ea0Yw2NzuCK7bq6h/U1TGX64CQ1l9B
cseIQO60Ga41smySwfy1ZKOS+icgrD9prlRLIMlD48XVjlT0D68VZEpZlFbjryzGR0w7HkYo8Qjg
13lhrTF5vma4jtr+2TUIeJrugMqqy9B4AdeE2HU4DGm5BiOy/emv9w8qgF803b8rAeZ3ZegzSoN/
+IWa+bMSzC+jwhVZ5a/KcFyR07NLxQwk0O21BmRqwulmKxlTSrEmUmIWxHijb86LA0C7DLj18v4/
f0P6L5/5H94RahFHswxoXQje/1AoZKFdKq4a+KtmkuEGNNAuyC3zAVidfzeEIXh9S0nv0OlwcQ1i
2kfFPFqcLNLvEpIdoFi+kYxi3futlsIycfyDaUa70s7XJXcdKuX+zR6+pzSOyDoXoshPAllF0tM6
oR8hdBV4xBwGtjLQkOmhi56DqLBi8qrQYvNinVScbG7JatPMCQMAzJXItQyjvVAeer14mPzM0wNg
YAxrLGdc4Zv1eunirdD3gQC/UxXHRugkTOVoxV8g3e0IVl9O3YeSH+DasdrsjT0U7lQ3t4n71Mnu
uZNM6mt41XBn7Z3ZoruWOy6MZdoVG+ADiA1SVjDB/QTwxo7PKah7FuZLxxpXme3vrbD1Ek5v10+P
o9Vf0WHsDcNeD42xFRA6lzJr11VMrN+c8MR4mqsS2AFJOdKsT10o1o3xNdi958DKTaH4coxj9S8W
DQhox91DN5uJzTsttRiog+Yj34Ax1TK2im3NBDNIGz4eXsZlZ1n1D0VtwfWEq6MYW9kK6AD9nPI6
QGWoPa0ipehOx7uXT6BKI2fZc4Woqovem29m56xwjCyV6JpQBij1eSzttXDD9y72Mft8YJt/a5rv
OQnCAXCcBDZM4yOJGi9RnW8daovMIQSOxOnAb+SZXWd5jVr/LUBqcQKiaXq2TO5QmfUP+jQULbFH
cqG3PrqWzCy+B0aFOY/pZsaMqwTzO+TpD+TV4b0+BcW7a0TIyAxr/tJQ8UWaH+7s3rzamtQfUfV1
Oyio8pVCv2Bm7wabvrdRvlGFB08kZeK/Z9y8AJgJjJHlmokCwZLZlTWnXGtQIby2nhSD9J2B4VwJ
quGdIJ90i9GJWLkBTeYpJIH1aEjjzqpZ/dRTZz+0elat/+eS/L+5JLHKc2cg3NVxyOjcTrPS/Z93
o//4vvzLf3CBeu/Ze/7LVepF8ucb9B++xN8v09lEzW1l/SIr1n+7TNVvDK0wmM43OLRFGtG/ebN1
9RumsFkFbKi87dmA/ZuwmNsU7Cw/j19n/pH/VvuqGX9sKC0IyaaOwFkTpm7Z6JR/pyuufHCvgcDu
5vePzN9O7k1bB+vQWFLxR2Sdx8vIWqvNg/HIzJ3Izil+bCr0bNkz8Yho9+HGsxhis/3msqBLwm2I
SU0qa9sBRMqg3W+yXeiQFUE4YxlQv0bPsn/TyQpg5yqItb0adIe9Pt4ZaAtnOazzVQ/LdOuLW6ef
g88wR/BkYXRmY9efCnbpvvgiGWOZ1PoiVPi+kg0Rsxl3Ve3cZblHL0ww7rjJBAtjSDjLwYzXloIg
Jq7XMdLWJRIUhLkETEx4o/oP1c0fm1a9z6op9KLAZjtgjOUKYdPShJ6R3gnwcEykAf6Tqb0wyEFI
w4rDfdHb+kWL42uQTjvDqNcz6lgxs32i4oAU2dEYNPKVy/KukUgTqgCPpaKsZkRdquEZLuMYV2Tx
w5JQPPLKfFVjhXpGX2GvXhUu5gW/X5tNsh7NkXEsWUbwidOkOUFDvbTCOLM8+p7Y4jKg91v2I1ua
UtOfhmh8nAn2OjurwDQpkzAhLkKBT1p0/NQgjC5BBlm6wlm5MJ3oXM28/+FfeBy1P3ls5++dSolm
a3gc7T9VKkmnNkNU0EcOU/ZYt0qxNM3mMnQQVfu5Z1EJzbLFvk3yTVreWdmwwYx+gEcvvVFlyIwe
j8Qc392JKN0mCkGBsl/XceITU2BcAGysh8G6GqguqQSZYBvRocoPqjQ3yCAO2rgGaLfKRxSfDLwR
Om8du1/Vmntu+RMC4P4ya+vBSl6ZduMIJGqGXNggBr2L9rjmiq56JgZxc3Rcbteh8IJa2ZaTeqmt
et0Z5mVU3SOL+tMwsmQfsg0JP7e49KHzis3k7k3tTbBAjie5r8R0VgsYB0qBBN+2B9TbPJUJHh/M
k0cnP9lVuiGHB3ur85G1aFBSdRsQW893iaImkdNxoikHKfg+lta6QLSa8QNRIUcAuLVxz3HxTCzA
Oc5vel2foFpv0Qnc8uFtiq3hUOrjnLqs2SzO2c4oYfqixMaKiOiNiHlEenbj2hwRa9SfbHrocwFE
ByMgPYcFrue2hjxUPRo1Mb39dLr+g3pWny2kP1eP81OC/9pQsVdQEphzFf6TU+zv2aeiSH4Einz2
+fj8Wnur6pAai/WtXT+wrTgTJ3CH530X98M5iiCEJ021biv7iM0s9uKmJIzCvQt1EIBR+9A4LjkG
bXKJcX6CwfkXT7c5jxB/974FJzfPNwc4F4ym/tG13ZQIBTqNCqayaxCiOuSjhDdMBhSIwTlMkZ1p
GjqblnORhecWEBUTMU2+U6kPZb6pwpTBiIIYrq76aVnaNs9soGNljbYQxekhRHoeo+7Kwbox0uES
xfIKN/txMnBW1fpnYA3XDKGWbzhoQMO6XfgRspdatMVqwIYPREf/UmUo4Qu3ytHI+paHsaS3L/uH
sOsuvSMPpfDZy4qcIsSP1wwc3yp70hZG0t2Elt7BWYS1ZpVfOfkIK8sob32rfKG3SpdOJL6Ekl4b
Eb9kU7SpIWZDEfwqU+LXkMm7Oe8gqHY1y93JcTGNWE8o3DaGg3zFrj/6UNmNICqLrF81Gqs8ROms
FxhYPef4d/so3Jr+QMBje1KV6IJLAPWDqnsxWg5FQ2QeSvmMtPSxUnXOcfNlSqrHIBruILZOXgdR
bFJazK0VQ0t1a1X51QqR5LJKh4z23VfLK+iOvdQNj+UgpGwLuLNzCXJ1x7LlgmTE01MHWwkxLjIT
nlTdlauB3g4sUEPqmj/9EXL2qkdmKoboOR2qbUeAUmuXS2s8qcWxBUXdjNa6dZlEQanWmpd4uvoC
KUjkeKE8uCVLo9x/puoDzDjnG8cEHVd5xl4OinVPLFhttF9JGC7B+l6kanpVHb9WGUW2Oycm63r6
y5CnWsTCbp/jzL4vAqPGEl15CMLZPpbdha3Z9yoFzqHoX5GT7XzFfTYRyvtK8QmsbV1Ktq4FQFhW
TvwXXXFpq2SrT9aaXJFr1osHVEYHUx97b6I+riaLGJIUnabSem4hERb2nh+QMJomL7i6tygEtkhy
QHqSqLLw2+zRCPOXoLGOQ208pS3wI0u8WFN1G5i9rXiqd5Vvf026cfBlKFZ9I8mZIth8HIS9kC2a
uxpj08oypyNm30Ulirusorywa/XdbKZ0Bcj7oUCpmlQhc1vZviBQwpWCv3sZ0UTUZvvIPnDf2Vht
DTVaKcku0a0nBvqQ8TUCTML4hr75ReryoA7DR0YkPPy81NMIjVL6wRtU9ZLhZ4Q4RmIRm8satLrp
PgipnILkdQJLUJA05Prhuemie4N0GXS9T2Zcfk3oZEY+sWFwr8NoPOtVRJDjtAOL9YDdtUtQkU8q
kiAUDfqw1qT7PaZnijLYxYFlPfjuj8zmynBXpnKunXOpnS3jLpcPcRddaoWEO6NcCAMbrw4KzXnE
T7pMqDqKCXI7Y+6uHDw9/pFE4ybvHVhUL7Z76y3EloNJSOoXAndP019lcLWDbCOcWVV7T2jEAhnL
QyF1HhflBC5swL67CKejiv7cHlkDc0dFwtwRP2mZ2SphSOnGYI/FndZ/p0EjV8B4aaWzECPf60R/
cdxLNvRLO71XA7a8nJXPla8nSxkh+4o++qZZZ/JriJHElu7HYBjpGr7uh1KKbVQH2yTSPjuIuTSk
ITt8LO8jNqKF5faeTgBy6xbOLg6xdhId0zAczp7QLQcrxAPmJ4mD2sJRHDi9trNGw36w6vwWBsgu
p1i7uYnyWozjc5FMt2mILxNKriUg/QiZksEso01YCaYOFnGRS4+Qye+FnDbOZG+Zci4EKgVUZpRT
QThcFROZYK3Ct1XNmR/y3jLRlVq9E72vLSWpEpOwP7Ku27t9+MMZ5c3NCTmoYn0bxyO+gYbShEgL
gAs28QG6gn2+a2/wzyjtshWF+rEoja9EpVPXNkEr9iZLU62oTwn6KMqnU1hZ5xFHnWNUuodyMVjX
Jh4ts7cUr6/cyGstFI+N6barNEH2+7/CyddTW1KmlZZ7SQgoX1CB3SI1e6mnIF9kRQjtrPEfjFDb
89nAGGbMvdCxfkHcQxZn4x1E+e7wIpm4/lc1rf8vwrxUmky2jT8VQH8ax85D2JRp7M/tIwPYv/53
v/aMrvUNWYA7Gz1tHPRMU//WM7oGU9bZU8+2Dtv2PEv9rWcU39hkm5hRxa/rUOqsv01grW9zoo3r
COa6Fj/S/nfMqKz/fl/5gOUHeQUbns2g45CFw5v4XcXmNLpKmGjG9W2QC2K/g5ZwGfvU2Tk0R/+I
/MryciV7LMoEwFMilU2F0+N9MC37RIadRn6fsyHUj/BGrlrYxzw6ufMYmJnrEVBqD7SJyLpH6qk+
Mbv7rka30+sG6SylpOIIEwVNXV1vndDEz9Kw2hGnEZkJKllI6zapZQgw7iVLUZFnxkplr7MwYv9x
CH1nXcOLwH5uHWGPinc7QsnfJe6qKXSybxwXSR+yU+a6lGtpigWkI5BQKk6/7hucCXrsrCfTwSxO
cInh4Xcg5UOzPUl34BUQpSEabPkLfjKRXfRldiTxZTU2+kOUWYeihj2qy2gpC/3L0qJhr4Q+ceM1
VokNoZ3XiM/2rsAciXJNKTcIkR4HTC+keh+lxYfptqVxjEd+5chIzmbebuYsLbSs1QmhR8OmsMg2
0dB+p+AnV+6pYbq1aKrUXaPjoCMJKSmV9klYo5dWcpWScFFlyCw0J//C8kN4sIjXDAu8wRGLfIxv
lRvswpLMtNruA68r0QebaKeVKd4qo7xXdKtbBU0zPMposnaGna1KqQ9elBSrsWTZiHgp2Gao+6+o
Kh5Co2PFNNqcJ2ZK94YqOiYrHj8Aa0Pix4hm9jkO8SnGG6clWS4lrmenu9N4M7LiwUgwNwAUMCVQ
kXC8qqk/hQt0p+WmVeLgbhAnN7MeWedB/4hFfkEdpWBD6E6Bat6F8eAliXgO0hH8Ocr7VrIziHvw
BHWzU6aAaUTw3Ad9fRiiFZd2xJ+qOdMJfiX5lVSE0uvoY/DnkwA3ZmO8ImfCHDrKVhRhFQGEaB2R
5JZ6dYauSVsCxWZk3ek4zhoTym5o1Ec/e9LTEv5RmOHCA+QZ1PGuUhX6hVJ91CNuHabEyL1w2DTr
PEQvmSFc2lRYNmAEvZu+EhGu634BcD8ZycRKLdtDaLsYrbPscsikif5QT6H22tXqbPMoopUpXefq
inydA1Dm5yKtXBpZrdwRuW5dtH4iqscltiU3ED2WhOod2jqJ2iXFq0DkRCyx4TfjITZrh9klEmhX
5sFBwRi/y7Vaoqn38RcZATYYRzbRMdRDdUd8cL0d7Tq4NaidWN22YNwKdXyFvY/tqeqLC/7nDplm
nr4lo29f54QkCLpJgmSV5FNMHO6hdCNBY9r361bTgh22r4HscTO7YUEZbk6ZyX2sltljxqh9XXVw
oXA5uvU7TZeNCj3szmbvWifXMssjc+ge51hunC2NnrxVa+1Vi1O5soNiWA9sVQ5E6iS7OnStuwkF
7Q+2tMxom2ysP0uQzf2iIEngRAJBdIpLtz9aftoeUjJuNZD3nXpxnEF96I2uYjKja8csKcJHnKju
CQlkfeRRsY+G0qtHptItHkoct4zxS3ujYQ88s4kKaFgBU8ZpqOb/Ym30qxTl7322g8Td1U0abQ5u
YUFknPvZn/rsBD10YTRTsHOCIIWojQdsFzddc66MPPekrw5eqdEzjLomPQ1FptdDjiEKgTLKbOWj
6BpljdwWIr0dz1E0cAg9i2QRjDEIUUMzCl4RpMH2iorAuohcjQ9ou88oOpB8Ve50KQUBeqbvpKcx
QA3Mk/Ro+QNhQCyVEIh12bLTGgv5tnWra/SaUvbZnZAB+b49o4hb2bOB3rjE30zIC6eK/j7nBy/0
PnTLpbBLatwp9CV6EOwlGzULwhgNg1m8Khp5ph6z9oIEeC1/NMjNem0IUUGTANxUdx6krWzyqM2X
oyG8Mh+JHmttkJ5qCqUuy4+KEZjbMdMYBErjoRzaY1jWV7+2nWVZqO2iGyyirKKB5C6kbMjpEtw2
RA3YfTwutTA7NJPZHfy6ICCQr38U0RiSH7Xu84j0Ulmz9YFstqh6EXwPO6vf511vrpUgVtieo5Qp
CCXgjEH3Dz07fign2pFSBtlZosqbQ9B4lCabp2piZnHsy1koIpldReg4TtJSw8dQDfRjEInqzLxE
fSg0oV7CBFLR0o269sDfejjmxKKderV1T5pgXoBkMmw+7SDv6BVsI/yRpUW+HGp/WNfzN2WcvzPO
/O3Bp4Bkef5GpQB19qE/GOdEyYf7soqqo6nm3M9hA8i956rMRd28V2M2T7dcs1kn8zfYnb/LWFiH
m28n+Y14yeFkadw+ZWf0awpXSAvziYBBUhxKfDrLrsrn56ByrlAX0rdoPk2m+VyZ5hPGnM8apLnN
jizSEvUtJxFs33rrKqW6SxwtOuZ4ZDpa6zp7rnEh7+IELUvZ9sSpthIzPnyc9zjVxwNu63Kvklxz
CUEJtEuXf/tAASK+Q6cKN0Ms2jU7HHHh31buYIuJpVaMJuBhFIhLLC8Sm79fo+toJpcKBb4fv7bj
omlfMJSPe9JN/CEGYwrgYgn7ph7/D3tnttu2lmbhVynURd/R4OZMNKqA1izZ8pzxhlBsh/M88+n7
I23n2ImTOn3sAoJC6y6xTVEUufc/rP9bmxjpe3OamAF4AT3XI4SbNka06ER1e8MEEFZWyVC62Qe6
CAUdQD3MKip8alhtUpehuxNqAySVaelDDq4rq6mxKUt6MNu5j9hDBtOuzSzPI+mw+1EcHA/6wH6N
Qwj0Dc1gjpFJznRt5ZV6pkqNsrfcTr/oJIS4ka2WyyLQxGU5FHqI+Z0Ty+vc8HBBB1OK24gTpDYa
zMz5ojZGThfSxicHQ+DBk1C2R0RADXXRaG6ybH4cosiH9uglgrWlDwIGl0iPxQnFD+UyxAIjz5L8
AuI7/oJB0C7lss/AhiSbEv0aFirVu6o5MQZIPq4j7wEeZXvNp+0M3smZE6Oi/C7oZcgmkjTh4BGU
2S5+55R5ZqpmtjO5CT5nod2u+qC9EYmKTrRQMZ7rlXNHztvTtOIZNcrii29+gUto73rFQWlj9goN
abYBNc21GXqbtemlF3RuLoMUuGIXWefCaR06IqaBfA5jpDrXAGkbnbFhBDOe+z41Q0u6ZMSIPc8X
6onE/r+Uh+wGDqE0fkf0APpMnRVee852/m4Qmf9V11pvi3yfMcuIXBa7LjrhbVq9F5bcLwKm8r8y
JMk9WAPmVudlUTHCGNk+urW3Ss6eqVX/4zStD/kaheqftxH3h8TP6uKFNI8/e0jztLHLJ8sq0/kK
1igjnPleZ2OjsyH9Q1Oqa4hf0dH9kebpR4ZNWsgKAfMZsQ254WOapx5Z6liQllHiIBEhEX0EVz/U
4WFe/1T9olijlvSPgMG0ZASeo4BWt2kzCuBIzwMGhnqTTJJDexMUmA4zcIwI1KetUeHdnVWu4s51
t0MlHiRrrYmAgHpD9y4umRgDvfKhcO18L+WMgLtO3B2boNIuy0a7EAmwuRC8y0y0Gu6ZXSqvdLaC
fOYVzntNseJ9FaIzK3B+0moq1DS8LqUkHLUHHV7GEjEvAywYsjURDHN4szMmDmn1lQYwSIJXdk3S
0WGR6aCHmYixQD5WzPi2fbZnzQIyq+e9PI+9dKTHO8GasUhzIyXYxm7sEk9q8jrvo59ld3gRJubC
rcZRns4PPgNG+ILtHjB+TaPRwtgC9MjwuIWvtyhVrVwkWv9VlpJ4odVJftrprTErsTO7DBhoRHSi
b8BcRLNpzLvwdWKFohVsYz7EV8//2LCPzJhOIpmYzDvKkoZLq6tbWRTB+wB6WDyTocgVCpt9yS3C
tDMUpUu5DW5bvdRwTnOcuepBaINr0pIMlvLnWACmZoouadaQVl1WNc29akB2VGorXTU19bgmMqQ1
dAEnWWToTi/01kRcr7mtFxHNiEbG7G08ptKyh7GUhmj8pgjVH4NVZzQgqaCa4BmJgoMOJ8M2myjz
XIl+DEhiBu6qAOMKBXWi1pWYUw+Bg4rXY76PIdCy/lApmKtsyxzn+rVNx2OHVjKnuWsP2Ko3es/O
QS2kceb0eCKNKpMm3xi52r1nDixhFsUuTaT7Zj6CkeO4wllP6u3zyiTZm8W4JxVzYZt04tp2sKHT
icD/WJVGsR+Yc8+WIg2ovLvCIUN0k1gsqlbCs3IEQ/gZTRXTTpozeJ+luOhDqtdzmwkwNlDNjMxl
qwkCXrsgcL4MCtPxNsyq1/mOO0xlpJdQe1gQoiinktQmX9PMj4/NonbdZcWoTLZmbyz5znvf3FVl
SCjbigJppdHaF2VDpE4jmZ29dZjZCpeVXMVoZaFxwTQkJldPLVn7GJXmeRdgWhL5skLkW2y8iiSZ
seJ9lJHT4nh22Yxpd6Zd1Ymx7IXWn/pjGhujsW3r/CRwnYUaphC19gYCGeJNDC0y5ikqQBZzTWn1
RRX38daVQ/WcQWfpjtsZKjbiMnIepfLBhHfWhSzn2SptOxqTuryyYwUweFF/VYeLGMloyRjqQojs
YywpwUUpy9vM8HwwHQUtKw/YJlMZBsmrdKvBEL6ymW6k6lGeW3iylD0TN3mLN2CjW+5mqhPUqncd
q423DgHSshGq7iY3XWzKjRj+V8+MuojTct5jQroMq1Q6aBoS1txcdwnOKAM2cJTGAb8kloyoK1UX
psaIN1UlNV04Ikn3sh8Yn+3evVKi2F/4FuaKLbOoPDL0bTXEyEKl9lnXjnkzaAPhkOiXwurKE0UJ
0PY61hblgrNtdPOKpW/vBvjMq3mv7Gj+rCosDvsgYs6+V4x1bhfrOLPqNUqQW+TlJSq5/s4NHTQR
bTpvBs1ABmBdS0Mj7trKCr/Ug/v1ye70sPw/df1URtuBJ8v9mB+i3oMxh0LTtEzT/E4JkmQdDqe+
oLnmgqD2YjqQsJcSsXC7TD/zUoOnRBroBS71HA0CXC7/Iw4c1Bi6pkGQFxutxzpZGTx1Ror4KlCy
evTdCwtGNBGFEcaIEOTAaBT5Pi0ScYNpMM+zoFOFpVwW0eeg9FYYADRqxB1dVjS7UADAWnsuBm/0
THQWiyRzjokSm2alT6uJNK0s+bTK0A2KjjumeaUtjSNTIVBGpuYVRULeJmvSCkPY4LIKJEpQUS6b
2yLPWabGpEtxwGArlbvKPKM+iZxyBfcGuzcfYhj2fieYArfHupwcK0HIsDMjbMtAQZIWKra3iGPX
ZnzUNmZ4Sl4OY5oYsJydQHbU1zmoZ7wIKp2kwC8XceesybiVHY6h1Z2w0uQd4Xq6zFUv4l5lODRZ
l6Gou3XQACeZG9Ae1iWFLn9hyAGqExtpLvlNJoLwyu/p8h8DoohBkTEDDnEKpqVt0JLIaQ7hIJi8
98bcG2kblQzScT8tgmMmPrVzVCcDlC/HTT6xKJTziM7vSk/bdGGmA/Kf2MiDsyarrVu30uulnwQX
RZQqOwPQ2CJ140DsqQWGp6REhJbVfZhZ0Qo+iUGPHnukCmdgeWCiNZ4GmKGR1kKKKmBTCqp003Vv
sPPiae38vIbUzOrVWI1yhnpOvvCp0WJKLr5okSM2gAli6rM6vRUlLs4jag0zHwvjKE77NZnCjt0O
l6RaashGc2thdEW+JHUt5giDfRKSWV71J1mlf/TcoVty5T5EqNAxamIwJHVtJJ9MytLSENexXaXI
LboNCMCAfS5b2516y5xpuzJy6SZXAxjtCYPgGAHsVBMTJfrAkSKOy9j54EAttaAjgR76gghk5qb2
qdxgY9TXtb7qhvo29jpxGubqXaq59j6s4foJUy5WVidZm1RUB90qy503ah5LI/Rue9wOd41hlRdx
qvTbstSHWZDRNY/j0Fo3TXlDsIjIVVdvG40qL507Y05jzFrEwvexBZA+DV7srsHxilOwB/sAG425
GjKIkiRSv8DTIl2pFaKVHKzVrMHrhepbjbkpmC6bLzvUWuqcFqXPyFilWVnth0wUi37o+7WpgSuP
O4YGcbHaR0L4WyVWqJWI3iD4EOBAOlNcACQrz3XAQThr+lupgt/nUmOgA53gRQimX2lpdDG/yKw/
Vou1yL6Gjcu4H55vK5BOKVpZXYHYCOxB8UH7BWoYrPO2Y+QjqpUek02zoRHX9coHs6+rbNYUEGjh
1DF7XGl4fiV+EHz1HF9hqshxPeotbgWhUOnKbC2Ng+fLNC/iY2fco4txtw6njTubNnFj2tBVM3KZ
dJw2+mba9PEgIwDIXIdgoJsCA20KEowxXqA49EBxfmt2639qtkV28ots6871aKv1hxfyLf7wId9S
jkxWEVpgYrTLYTzwMd+ybMYFdYPNz7YmLSY/ebDJgfHKwMEIc8cNGXdim1TsMd/Sj2RYsaCTydNI
lGC2fpdf/TLfUr8bNyDfAjGr6oz1QQm3zdGQ52mBtnYYjtWpFWwKuwAMqOQhTmCWOnSwHWjT33Yh
DCGqB122RYlfX2mit9yl0YpgWLm2o77LAXVuk8owCN8wFycS8zHoA1tSdfk6ljz13Rgp7522lc9i
rEurc1VHIzA3O9uqZ2C8A3tTprBz1uBq8uxEllKst0uoXrru8pDALKKar5ts+Q0LOcGPkK5tAQjB
qs36Y6ZBc8MAxF4KOQph4FiXMvvIolFlOtJs/HaY5Qg0yqZAkJJnaA7BUeACobnuiRyUdkUlWAwn
ukeYv2g1KsCYM1lrbYhiFFFFfJYrvrJxdKuD3jiom97vSSC13IYa2KM4iqPeuGg96JpWalvrVoTt
PrMiGyxO3Mww2ZSXahFnNO5s0kfPIIVkHOJ9k1ptfemkXWbO8jK9FFQIUbBnPhyQlJEWmZDO8d1d
m7TNRc46CDgASp17kvtV0GJZ1DQqBZiI6BPUTge6m5wgW7iSCtISFhi5jitgicyixpbExSDwfD9D
0mIkF0KTKfEMMrDXTcisoEOvzRLDtpYrTJKdprVHBaIjmmXNOOawIuCFSBopuX5hxUWlrMRAcwk5
qqKFNKuUENLZUDb1ygH1sDYr2buV08zFwi2L7XVS1OK97rR2sXBl0EVoG7/adndcY/VzriSWcpIW
fUbhWpY2ErMVHxnh72ae7Jy3HURX6njQEqoupvFUtIuYEcIL6tzU/+UonqWRQ9yb63K7LrWkvFXj
xtykiuT5a7+B67aIUvSeoZFZ11Q8R381MyW2BxdoXUVC6sGl0v7RMCwefbSiqyqk04DeHkBgmhDm
u2q6k01ya6m03aXsWzuK5qOJuhiuHfwCV02e6jv8nyGtIKMdMV1nLqKcMC3Lq16D6egJozzDA9RZ
tWHrxpjw0tzRoqKHaJt6qGNzXK/dNaaW0QlddMKIgI5zH0fxSZET6KD+1fxr7tb6OKUzDxZMSamn
9rYfbHsX/cUsdeoF7V7kS5lbb92mDc9s4p5PFd8tOVzqgL5B5dO7DOxCZZsNQFwXtDoQWcQmul0/
vsj7dJ22+EHmtjy8hwHq3+rgg5YAEBBj1S7upF4dcN2DHuWmm38ygTJsIwJzzHX6u7SusxhtqxIv
LcoeqGYZ7DQKUwohFbTGVZuCN6cfEZqfs74S5VJm4n0LdgBb+64DKqaALDMkpYbDltcrOQdOMtgm
NAisHOcxqMpVhOvEHCZNtIlsaQcVxmCFibu9ocv1R0cuW6A9bnTu2mq+K7MAZ7zes8/GIYyD1jZO
Nf//IuSfG2tg3JyxOqQgxjglwPDPr3bIk8PtIfSebo+m9sIBHoYW7CPc3wycIsbSHyz0bwIUUz9C
f6Jgm64LFYHck6EFVT+iTIixkEkxhGLZqE152CkxCeb0UJlTmbQZW0Pj+3/YKZnwf5aqShRL0ZPL
DCc+3yG1qEpDEVbeJmrNeMWDRsIVZC25F51gqDGqDT/clBJrXatFSTdJN3es4ChgG3hnp22GIhR0
Rw9yM0CvsGkH5pmFN0pE+1CJ5mFZyxJmRIZYRkHC/LOWeccNPWhKiPGAC5HqBp9VepZnRJHxrY6Y
9kKh9ebOpWKwTBoeQQ/tMnBQ+4u6ddDS1iJHBoyew25QJ89oXTMVaCuD9KGlHQnMyoRDDF3LcMtV
icNpDBoz8U5zN1MROFpDi1o8sa+oZbqnbFBw4uAC6ceVpwjm5WRc6GG9oOiTyjS8cjW7EbOKbnKH
NHOvYn/Dv4oOXIoRgKp1Gu1McUAhmf2gn1mpWe7qKLFWtkhLbWbnhRqs8HQNv8RJBUVGeCpj02WA
/JN2t3GSJCWLfZtEOyH5DRl/6uRnnTb6VUJ9Uq8CnFPecR4Oe3iR1Pmcnq5jwnDyXHehaKXBLEYW
e+8SKZGPXWgl4VqBYJvM3BYw+typkPOcRaLR9sTT6TJrbQSktp35zLYz5pys7VRD+aPrqfwhIF9h
KMKOkU7LtVqvqiLvPoL29fZNadHCAv8IJSxh6KKeU9W0qo3dSKNDRe61n2RAutQTKHSGp2oiDesG
q1aw6r71zivz5FRX/IairJWhKogth6Fl2/CadRRFVbvCFDXYqXTDMyi6NQg9N5XUS01S+nXaCPdd
BjzlPaRDVCKJG2vXsWJXPsp/T1sqWRJ1S0Asrj9rcbjyZ0Na8MXj1HiaQjbZ28RcdwSCSvlp0Onj
L7pM0tD1JJ0wGLfxYrrbcpTUCEv0yOjegyGu9GNJMXIZBnTscns0aPr9SpKYq8jEZ1pk/j7xxnze
z3GImym0wmvklIZfrdPYNxAZijbe4HYLJc5VdXLmMZZZ2q3iXddZmpPYeco2CSU722BkH8dENiHl
sziM6OqitqTQRwmg3xldlFvUPWpdvRBDmt9WpVN3C4jEfULLtM1VOFVlch6FMPBaLR7pT4Wif7Xs
OKG/7JQGCmuXCGzeE9T0Zzk8KSYK20BXNpXrKh+G0Z+4tpISMVIBTCspLWPVT1bGGjzype0RC1mT
1bExuR63uXIpT1bI9WSLXEwWyR0zeCHzsJH0lVL/sKJKWWztwcRYeSCIWElO0i0LU6Vvqo0ezNVk
xwy4PD2ok0lz0LjR0mmIzvNM6c5TOUJMlEzWzvJk81wVcAyc0fvZgfG9VUknz8LJGro3ytEmusE6
GW13i3ugySHdd4GvcU5ws7P3GXclwywMfn5NoexdFmpEhIIuBhtcJwfjAxyfgUfqPAXmC6xJOFkb
joqwzGHQO531bgFyNsH1uh5kpvMnK2x9dMX2Rn/scLLK7kbXbKlCR9RPVtpwawHOUhmX6LyPZtuW
h++2O1lwk5Fjx0205OzohBY3/WTXPSADu+zlFuaSqvj2MXMiCc1zmbHXrksBOkplTW/DDFamanVL
t1DyJUL7EBpAYA5bLfAYfqIlu7RTCYU9Pk17TlrbaYyQfzT9Kl/aoZ2ARPVVaaFXUTozW2dgIBax
1TxALM86G9aXqcaAzCxWwfDhCQY3Esibf2HKyMJFZoMRwaFKP5ZjRV+WeugsFcP50iFtXMs+v5LW
VbnEkMX9rBRx9aWXZV2dSYyALtxeCT8D4zMv3EGUCDa0ONi1OB+sBynGf9etuuuuc857r0JFBDvr
QveL0YerQ/DlGHq3A2PWbrQscvHFzkKuu+HvLC+yEfObPjzsUFY+5AVUMAybU7zUfClWV54sQ4k2
NY0ojoGH5sYOffmLTiKw8aXSRTmAVfaeJbjmJlKDRV0w8kb1xA+qhasO0TZNa1YVOfbTa0R31ioK
UuPcMDrtShtwzTCNEmpeqavL1kh5AN2AJlkuQf4DyKIoWzx4sCrqGu86E77zyTOUwZtbTp3RwcfI
moSssf1ZlFBIZLDKQxjmGedkUZjz5DyzMAcNOdzrklpvPN9TT30GchkCBC9yVkS52y90Gd2bJ9fm
1ondvlw4dVBd9eAk3zGF3Jzbkgt3r3TEuYCje5fj+7mCxu8wugb1AjseGi4flCqtWJXCYKvnRrBn
Aq3qaOLb2hymscrs5sjgqq042LJSYkeBXTpZWo5s3Ja6rZJhWUrduTuWIj4sG3BuMMwAPZsrnjKX
Bt30Q5HL2LWTF0UrmeFJdECkJOikrWu8T6SQgl6moOBijm0FlzZj7F/p9mkqoQQLo5ZZMsDBybVg
r14ZWhOcp5ry1TQLteTx7EMSDissrrtaqnA7BS+m4y1ubeHcagU8LK19r0d6eleMVAUabsCxUJYy
ilk3KTBbrev/PTH0vwE79VD9GmXSyynqfeK6/K16Mv70HGZ6dZ3+tV96DDZfPtAzp+abtE6q0ffZ
hULwNFyexhufVaCmU5rO91dHiA6YSde3mEArRME6jqOwJO5fFHjQS7kPPzbtoxFURc9uNBvidR/P
P7lCP7sGv/54P1pY/3icZx/gp2bVCnPMqAb/zEX47hhPLoJxhJKAWht9pulFavH0IqBhYL1FrI5B
3vii3Mb7/U4XgWm/V18E+Yj0iTnukZgyvZ5dBEs7QudAFgVuanr9fheBDOz1N4LKR7RsMVpEjq9n
1wAJjKXgvwN+5v6n99f8N7oR7lVA2vdou5+sCj9/IKwjg+FSbnkW8/FF2vz0gTCPIN9h1kedeXrd
T5f8TtdhLAe88mYAymcKWVM0UAQvXQTjSCCHAjDz294MTHSgj3rV0ijkI7yox9Y7R3p6CxhHGnZM
hoYid3qxZP5ea6ImOL3Xfnr7CBmcTAPkYdH77jngFpCtkXt0/xj8fhsDltHgrbhFX3shzCNLRnvH
wvj8NrCPZNkeSZMPl4Af/163AZVB436rulcZfgu3fgySfrocCowTuZIyNIDnn97iITDHfttvFxap
4Fjuv4u//rFpM1LIxTGXTz69nt/9FgGDYYzR4++6AIL+Eq/97hWCP4rDKjCxFy+CecTYCrc/PdLp
db/g/qmt8E/80rd0Y47j0e2UaPh35Uv5yM9+4TEO//HnD/H19vYffx/ziGe/ODL+7t/77lvd/5/P
no8p/H3yw8dweHqfhz9/+IA/vvWz93r8VI//ufHvikNxAyhueuuH0zw9xKQrEI88yIEvGaeiLn5M
jV4kFH7bBn95/KJODje07V96C0Rob/EWZXmIH890vPhj5+Dx33/9zGe+dygeDzMeVrUV9uQ/vqF/
/P3Z9/dkQ/jVBdkciv6QHB4PNN0sKkXex//46ycMme6nV5oW80j+fe3J7w5xXP/tvw5x9t9/Oz6U
2BU9u0KEbmPW9Np3OT7g9VUdwucX6T4AffWxeRSi7w48BXWvPfDJISy9w217d5c9XoHpu4Vlzbbx
2qP/a3/jb6vKX7stz259Tv/xRKen6D4Ffu2Zn9e3eLzfFUX/7OCGKsTjf/z1W/68ToLDl8fjTGfN
3MQb3IKXh+BQVt7hWXHooTLy2ity5Yd4UDw9aVW2xoDntQe+PsR+BAD2tn481nhFHuK11x78XVXB
lX1hn3gIjF57/A93ZfW32R3Y5+jZ2d9HHK89+v7AYs6CVRXP7vGHlOa1R1/XAUevnp73yLdX1DfY
L37KzX/lA8/G/w10eOrfpF/4drflCK0on38OASH4DZ6o//lVIECVhXzgTRZKn17q83BgPDhzMm+w
w17jn1Q/v4MeDv4GT+/LSMqn38X0XuoIgn7tDfsv+CSvvLV+PRX32oP/CxHoKw+/uIs8//ECTxv4
hG0ZC4Cvveg/BYvyvUJr0d5gP5yzY936AMC9x9N98hHe4L7BGQDbUr/84R0YKrEA0rzBYzDtM4iY
+CDPPsPDO7xBLLVjK/jp8d8gH7m+YxV1v4/x/6gbvfY++rMir9c+CS8i5f8KIveXJ/JSSvutFfRj
ovvY53rpz55n8eNv3ER3h+Kf/wsAAP//</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00000000-689C-45F0-8812-5164024565EB}">
          <cx:tx>
            <cx:txData>
              <cx:f>_xlchart.v1.12</cx:f>
              <cx:v>Sum of TotalAmount</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solidFill>
              <a:schemeClr val="accent5">
                <a:lumMod val="50000"/>
              </a:schemeClr>
            </a:solidFill>
            <a:ln>
              <a:noFill/>
            </a:ln>
            <a:effectLst>
              <a:outerShdw blurRad="57150" dist="19050" dir="5400000" algn="ctr" rotWithShape="0">
                <a:srgbClr val="000000">
                  <a:alpha val="63000"/>
                </a:srgbClr>
              </a:outerShdw>
            </a:effectLst>
          </cx:spPr>
        </cx:plotSurface>
        <cx:series layoutId="regionMap" uniqueId="{00000000-5C8B-413C-B012-C2A4D6D76520}">
          <cx:tx>
            <cx:txData>
              <cx:f>_xlchart.v5.9</cx:f>
              <cx:v>Sum of TotalAmount</cx:v>
            </cx:txData>
          </cx:tx>
          <cx:spPr>
            <a:effectLst>
              <a:outerShdw blurRad="50800" dist="50800" dir="5400000" algn="ctr" rotWithShape="0">
                <a:srgbClr val="FFFFCD"/>
              </a:outerShdw>
            </a:effectLst>
          </cx:spPr>
          <cx:dataId val="0"/>
          <cx:layoutPr>
            <cx:geography cultureLanguage="en-US" cultureRegion="US" attribution="Powered by Bing">
              <cx:geoCache provider="{E9337A44-BEBE-4D9F-B70C-5C5E7DAFC167}">
                <cx:binary>5HzZbtxI0u6rNPr6UJ37MpgZ4CeritoXS17kG0K2ZDKZ3DO5Pv0f8tItcWS7p9AHOI1TMGxIrEwG
I/KL5Yug//lx+sfH4uGu+2Uqi8r94+P0r18z75t//Pab+5g9lHfuoDQfu9rVn/zBx7r8rf70yXx8
+O2+uxtNlf5GEGa/fczuOv8w/frvf8Ju6UN9Wn+886aurvqHbn714PrCux9ce/HSL3f3pak2xvnO
fPT4X7++usvvnM/uql9/eai88fPN3Dz869dnX/v1l9/Wm/3HjX8pQDbf38NaIg64YlwITNDnD/n1
l6Ku0q+XJT1QTGskNNafP/zbrc/vSlj+pyT6LM/d/X334Bw80+d/ny199gBw5fjXXz7WfeUfNZeC
Ev/161F1b+5+/cW4OvpyIaofpT86//y4vz3X+b//ufoFKGD1mydmWWvrZ5f+wyr/49xd+U0tf4lF
KGdUaay+qFw/s4gmB4pIrpGmXy7Tb7f+YpGfSvOyNb4uW1nif67/VpbYPBSZ+aaOv8AS6kAwSuH0
iy/YwM8sIeUBxpxJxb9iQ3y79RdL/FSaly3xddnKEpvTv5UlTu666s7fWcDsX+WpMDuQGDHC2FdP
tbKGOMBCaszBYJ8/K1z8KYletsiTpSurnPzP38oqN3elKX45v7vv/0Kz4AOEBUZIqefoUAcMSUQQ
l99u9gUWf06Ily3xdO3KFDcQCv5GQePsDhKGO5f57q+EiD5gnCBFITx8/vwnRJDSlEBE//xZBfM/
KdPLpnm2eGWbs8O/lW1OHrq74q80CzpgTCspJXsOEQEQUUQw/DW+QO71xVt+QcrP5XjZFN/Wraxw
8vcKIRf3xmV/oRUIOuCYIsYAHV8+z4yh2AEjChIv9BU7K3D8XJyXjfFt3coYF6/+VpC4eSjuqvSu
+gvtgeWBQkhwyHOfGULqA4Q0VB38q5uCy09R8adEedkWT5auzHET/63M8dp7KFcvu7v7B5d9U89f
kPCKA00oFxjC+QvxQwGChKCcqJdTrD8t1cvWWS1fWej15d/KQm8fnP8lfADMFH+hfaAa54+1IaEv
2kceaIkBN5R/uQzh5ily/qRML1vn2eKVbd6G/0/b5uW08Gld8uwb/y2DQg4eISHwV1Do/3BnVFCq
EESWz59VOvyV2fi+NC+b4+uyZ4L/X6ZJvk+h/E4wbaDm235mpp6wKD+++vnxgDBbLf16cF/0aV90
dXT/r1+pJpAz/U54Pe7x7MSHBrLsbyD4Y8EDsGj/+lWpA4oo50gSRDBTDOAyAmzhCj2gFH4tBHhD
yjGHyr6qO58BXyYPIMOWwIdhTQQRGtIEV/efL7EDWCEgwUaIU6hV9e9s4GVdzGld/a6Jrz//UvXl
ZW0q7+CeAgrW5sv3HiWVUOYqRTHGDCAPOQmHJ20+3r0CyhG+jv9PO4jCVbqkcZNgdpOnbNn0c1Yd
T1K6zZBPfTy05W1myymciFK3RpblKWG8b0MPf7G40licZTWzb/MsM+fVsIgzrCuZHE2Lz3ToSJf1
oemEeEuWcbHhWBXiNLFZnYfWt9WR1bOIUzUsbzUV9aellv5ttsi0Chkl/kLIYLpEKi1C7VAQsba2
uxES3uOpG8ir3o3tCXNVfTxjJ5tQV/4oHWY5bTAJ6NtALISdNN7lJ3mhqQuNYtWNNcmCjqxhwQnK
4UYRZ/lQRZkYRJTxMnk91XkblzzgJ0LXw/vWNL4I80BZE7VyNm+SSaHXCZ9HvetpCnvTekIRLfLA
hWmxkHudJkURiqysjzs3pTs+CHu+kLxjYe56c4rKXLKoq7ULy1qWGu5Nu6ugqa0Oy97MV9qwfDeU
sjqrFLNDiGyf2ZAMvOwvUj/3n3BhglcJLZIpLEwy3jWYlzjMgmSwoQvm9jybLJ/DFqmy2SWSBSJK
s8FeuWWej8TI610/U5OFVWtNaEdLd00v61PKHT/KMU6XTckQ3ZUy14ek550NJ/op84Vs4bF4HoRV
wbrDPLBtH9Ya9SqaPALrZr0mNlxUad67LLdHM6vkdvao2TmJ5TWvkdwNlHb3sy+MAW0kfdwHOf3Y
WDzeYj+I46DJ0xOeufpKqJm8HlnVnVlucx5lM5LBjjcoD7ZTP1RlaFmeukjmgh/3qZgPCzvpi66t
mm3LbZVGvGbl8TxU8pRV+XjMvUdXC2/kCc2DcYtFz9+X2VDclBX31wyxbDysSY6uzBL0TagIRyTM
+aTPgbzOLhqBMhNKq/wZ7xQ95a0kRwgHZA6TpO6PereQMqxGUKnqhC0PcaDzK5P2Iw2tHqbTZHTX
JVqS97qr7HFgGbuVXSlOZDAXhynpCKipxvq860FRIZeVcmEztLyOKqcaB5vkQRaK2sllh5NxqELl
FnrkBpfOIRWObM08dK+CWiw7NedbNJpgw5v2fdOUySYRdblp/RC8aVk3RZ2uj9HUBzvZJ/WGz+zC
WxZOQAvvSu2zMOnY2yQz27InblfXshPhIrNTqDbH+6JsP+Kga89L0V23XfNJG5dECbXbQvc+bBoX
+YWNF2WbbiRvWIRzMYSUiF1tRF9eJLyEUy+knMRuJMRWm7Z0KjRsmkNfuyWe0Cx9yPKeH3eijUZE
R3AIZUY3evHlqZJMbAGGw+tKs+osQFkRdpjWccF83195kSRpmNKiU+GCgmwM02BS7/tc2Sr0ygcD
HNc0+2gr8Ikb8CZk2tZo8fpYLVOWxbQH5YSSF8G0q9QIQsIijsKapj4BJIx9cDpy32XRqKS9N7Tq
dz3Og50SOYdj4acYl5zFaGBoy9IWH+FOLtEwIhSXKStNmC5J8lqCaqPeDyocG253KtVlt7HZSEyI
irTdVrnvd3OeL2eeG3St8m55r3AraEhMN5yUhNRHVCb2MiEq2aG8Np8aMyY+DCwnRbh4NO/G2U5b
Q4NxChciAfB06G8bVqDD1ooxDYfFmsM5Me2ur22ah6WT5KwTSITUanOo27R7x0jH4TjM3aZNxnRX
NrXfFqwarlGBu3dB0dtjWbZzuyG5lLHrWw94SN1lnqN+iGjD+g/pVBVbSvThkvITbO186pEt3nUk
dSdpOh32iw2u+2awR3ml7KvZtOmFcGi5IIEtY1VV9LKtThvjj8phmC+RN2ZDJB1ea02HnWvGikT5
JNujxTbBOXIVak4onKaLsemK0zwDDx/ZXuNjNha3idb+VgbWvmlNX5+Bmu1VaRf23vNK2E3boamJ
2mJILtKsn0+zYWZ5SNLFbfLe0+2ovI4cV+QsK5dq2YxJb7ZM9yfFvLAoWwbehsGwnHTBoEyoCzDd
MtpiVyzlcp0snnRRUqb2rdIT3c7N5C/KjNFjWZSLCPtiaSIn8vy+tVl/hIcejFQG3FwXLIVT9nhv
aQy99JUhu7S08yHBjfiIx2yORZKC61MlmSNaFVUfFnjyEwTSKjiVLq3bkKVFPIwQ7puu3eEci928
2PFVph1PQx+kdayUskd6mdM4YVkTmSQp3gZVv7z2TJHThSLw71i25LhhSdtHVUbxUYrovZuR3SA8
2g88U63dLnXevJ7wUKQhEFeo2ui2k6dTo/IzotysQge+lWflHXWVgWNs8/OcdekFbRxNw2RJUhqW
o7bvR/CneWQzRIPtnFb1lWQK+6OxNctNTSB5C6e67I+R68Qb19rh9ZTj+66v6yU2iQtCmRb0QmqX
Psjep7tKZL4KZzLRcHaMsZCNetqKgpI3eSfHGwmu5i6ZpAGnS4ZchsqiioUy581rOefFQ0ELG/W0
LjZlZvKwKT2+zXJCxGGXt/TCt824ncCJTmmgtqrm+fHS8OGdTtIPOnWHAC110iqdb0syLOEQpIdV
i6/RAnae83o8ntvknBeiDVHe5pHqx+WoypuZXNsOQHLYa8NPpioX10NlkzBwPYnzSvsjleWQdPDF
ug9NXp7XMwVDzaQ7Ik3A4zaHYBq2XZBvCpMXm4qT8SpN4Ez3M4LQWlK9ayCmvK7nutjhpasjVeHu
spBsem2bJdgIq3loi0pEjSvYVtY8uFGT3E5sNmGHiLoaHS/PuzGFfI+a/C2eZ3I0dGW/7Yaqua+6
3MajddU2hXTrcJKVfidoOV8kWNT3gyPTbnTLmIejEPN1x0x72OceEhPiDlmKstOs7uedHbL2va7c
cjLhWnySS4CjJuEXDenMSRlAuK9Iiz/M1TzUockVSaJpcDQL5yEwJ0WZpAwySTt9ShI0ni5znprN
VAbifBYdOJJxqj+UQ0e2Y+DUSZoEPh7L0VyKGfIonCZ6Jz22uyWXzVmf6CCuTFVGOGEibN10X4rF
XZqmPe8V9YcYNW4z4wDSAW9sKGdhT1tf2XDux1NIOs0m1xW7KAZSHCYNuPUaBWzXUBsjaU5nn33Q
bL5vsL6Qaep2Ze3rERBs5Ku6aRoatQ3Cu6wNTsAnln1Iijy7KVvwq2E9T5WJ0NjnkEbodjmRwo87
OvvglUIzRbdjsyh5PCRuiqVoNNi+LtgnSLLqPua0xG8gSLXxNHr8IPmYtsdL2ULu1ymr74deYbxb
OohGjg3jtS643LClX86QC84szvkrSCbn41znWUiRs6euMxqyuT4vQ1XmZo7qFLskHDtObwqL08PS
eQcppU42o89PKG/EOXgEv+VtWp6KlAxdWKbUvGtgxSkpg9lFkGcu551Xsw0b1MrbAjLr67oj3Sng
lfeQe/l517XzcGWD1ozhLIU6YwH2KGxEtZBtAhnuRvUWd5sJV8X1ggVpt83YpLeVzcpT6uyCIlwS
fk5ryFCsbUkaQrJakjBLRX1piecicqVLROj4aJbItl26bNMF1UFokyZ7i2yGT7qm8XmYIRYcpxJS
DNa7o9oW5fmAuCg23pVnZBDySqVQ30MCRo2M8rIq79Vs8Ie06dWZ0Fbe9hnuj5TSQR8KYWwdlWlm
syipkn6KWAGE2qbqp2oT1A1ut8kyqhs3d5kPO9vN2wl6B6H0tdqxlsfa6mIj6qazmyDTOJrzpIvB
a90NxvtQk77eZIplcaGaMpqMjzOSXpKWf2rxkB4mVR0cTXniIlsGR6jJDhk350s96nAQTbkp8tRf
o7ELthXqTJzwItlYlNCoYDYOHksMKctDUMQSjfWuqiE3BEmOBa8+oRlUYtLgkIgJhWAIE0KJbENT
6GCj6+yt7sYiGrP0xmfLHOIifR1A2hFCOTjuutxfQDlfRfWozihx7aZEwSE1ftpBMfIhSOip5fmm
MlxFizYQG1D63tfkJEVQmnHXkY3vpdgsYzuHts78kbTlsi1HPIRcJMsmMSXd0GrwkWU9yDlULhJ6
rKOx6HZlQTaomO7Kod24Pjv0us02Nasull7ay5GW9VZkaDkD7LG4oYneQOjB4TjOHQ2hbqLHeeXS
V0mjbMyShkdpO/TbFvW9DZkRXRg0Fd0tpbOQlAbzEE+YJ1dzwnESqcLONAp0r9pQFr47FXOfm6gv
QL+qK2Rsp0CGC2XDIQtk8qbHpH/n8qrJoywroGDJvTAnk5tls1nIMFwVKC+zrUgb/aZg5XTnaZqc
OLGM/LBLmhASGv4uHZs+3fqA6zzCCxQ4x4hi80o06VRuga9aDpsJTSEEDvQ2rVxx7VHajGHQMYHi
wBbuGNpZHnJQ5TpweUPzljF/TWc4isirG+8tPwEHY8PSNOpwKtq7pTE0bMUotn7KI82d3jYYDQ9k
7jMC2SlS52lP1SHUWJUHyDXF7ayUiCYyt3lYd8nwHpBlIsMb04ZlmcWlmEQ8zRCquYESjmQ6Pc4X
Mh16BSxBqDKst4Z0zQlOweeDF0Ljm5Tb4rYutImN8H21LaWTrxUkLixMRVlMYZJTe/R0qugZd/Ox
bubOpNnXYa7ff/z3TV3Cn89jRn/88nEW7I+fzr4Nkf3wW/FD/dj9c+svPbJvv+/1x0DTI+X1+3TT
ikP7Mnb2HYLthxf/HPuGESZEMvQjBu7rNMsflN0fi76wcDBFAxMbjxybEsDGfebavrBwUhwozIBV
BU6bAOetoJv9jYVTB0pJaOQJrDFDgjxh4R7nDgisQgLIM9iR/Dcs3COd94yEgwJTEs2gRUsZ0HAK
HvYpCWcq3pQgXhub7tGntWPrb/ohHd9lgx8u6DTe9EEXvKqod8CwFFlzMjOdhrzBqd3wMS9uS9sN
d11bm6PE6n4LFBuPlkX3IWbe70xh+NUk0PQKts9Cl4/NZWrK4iEX4sPYO7EZFx1sW6iDICaw+rLR
Y3ID0a5Owxa7txRYlLtaQWkEVMcQusTay7nmr2xdDCcFpjmUxGJ8Q3OBtihfkjDNdL/R1tfXda3f
TUEOBMCY1uDOW0i1g2CMUTV1wCgSs3Gu6cJ+bq9RSbNt5qY6pI3Xr5opsJu+9+01K1mwdWlebtPR
EaBWPD80iW1jj/T4lswTP3QkKT7ppKlOB5pmH5Qo21DNzn/ogUK5yXtSxnmSQJhhAqIkG6iE3Kuc
AgzOJMHvbZ7NkQBWc4sgMz8d8TTOEVn6uowcFPPvKSQtTVhAV8SELRvQbY2lDlHSQLaqUtzVYTfw
M+6HnEOeYdUbFRTuJGtxWUVULc0QLrruR+hwAM38lQL//94lPGs7POXXMQYW+/t8/LNmxyPL/fn7
XxyBlgcMYwA1p0wIqQXMPX5xBEIdQFcLA/hgrkURCFS/OwLKDzjCWiAJXS/N+OOlr3S8OJACkjKY
uwAfhYXW/5UjgF7AEz8QQH9AMsmB2X+Of5dMSW2NFocZ3mh+4QaYXf39+b+ek6c0/8v7Eg0P+9Sv
aGIG4Qoo0TwHrxEuwP2+zSCv+jLw+mXe9b/YHnpST7fPgUGZxwn43axru+7VKBaU3qTTUn/6sfjQ
CHlBLURDU+vp/rpcLKTnidhqwt1y1eBSozCjOcchYgiycEZbn+x+fLPv6epRiCeNEAdleT6mldhO
jioaKkTTDsoood7/eP9Hof9ouHyzMfkcA57sL3WLmhxaHdseN+wM45GV1yPKkTidla+mOJALZHjl
3DavfnzD7z3Q4++f3LBRqBnk4w2HQsvpuM76pI8Y5KVm++MbPJ6il57osbX05AbKLCPyPeVbqOnl
eCxmmpCosY5kp9wCIXKGe9vbqHVtNUsgNBlud6jKhu7wx/fHj/B4SYBV76qRkAlzN/Ntn6ZDG0Fw
jyXFnxpLW8gZ23QcSggsMjitxxTbbU/qWlVhkCpSwhTTPgADx/BUBUU6l0PBR1ABtAoi2tWfoFg2
P3m+7xlw5RVqQOqoZs+38+zkOwS8TJgMfX6xl+hq5RsKlRvhaMe3lhrzgODFhNMqMLaP9tt+5Rvq
YIS2Q8b5tvByeIPHFjoLySL38zxq5Rm6YsybBqrRra+DZdmiKRi6jWigSbGn+CtvQKYUq7nIwRvU
rM+jWYiJhW0LUNrsp5/HlPAJeEg+B1XtGuCPaiAmLh2Mqfk3pffBp/32X6HfKdSjceIqXmpcAm3K
Aki3jHXdTxT0PHX93Z2pFfh1bVnRkzmJ60At5W7scDNsi3HGZtOajOk9b7OCOGV1osYmkLH3PfGH
lagrtF0qXExb6AWM035QeywCnlqjrYc2oVOp4gZIpRtgS7KLCtrzNz+2xfd0tQLyaCeFR0g7YhJM
Zlu4TtLTlM11+9ZyZaefqOo77kKuAJ2ptLFKNiruCjYfBeWCLjSkpsWXpPO/DfZyDejEzMD8LyLu
gfufgJue2K1Y6uYnweR70q8Q3Q+ylgrekYiHAizgi7Tcsj6AgvvHJvje9is899Chm4s5VzFzgwUb
zGoKoAExm2XPG6zwbHXAWw3NjVjjEoYaoB1fjdsul8t4ud8TPD7ZE4chyUwdDoCr0C4zb6Ry7nIy
KdBUP97+UREvxFK5wnOph5HnfSrjsnBt8gqmPNr+DW0XjY49EITyCkZPqDj68c2+Zw2yehbgu6Dv
yiWQYMybQ7/QSYcwYzKi/fAsV3iezNwKaLMB6+XShh056LSoMO9Z97PY/HjqX1LXCtJzmqeoHOE8
tcncdJs8pVJelsEC4wvQIS7tdkrJXL0rSkXf91U6Vj/R3Pdynsf65ekxKKY0kfUygt8tVNEcZ4FL
oKm7WA1pnfJjznxY+XwZIpMBEbuz05LKjWAjra8H5EW/n4LFyhvMiQikskESlzLoN9SMMlayoD85
jPjRTi+oV6y8AR/8ZFrS6pgiaERtF5wM0AtIlqU4bDSV80XqyvpTE7CxPGSLqvj5RCmpzohUKn+n
LOH8J6J856iKleNQFbT96tEAXysTRyOx6IdmmsZ2P6ctVm6j6KjA85TLuAuaMU49ZgWMLaj0fi+g
iZXT6HEnVA5DXXHaTOqWQyg9hyGqcj+f/Xm27IlLamla5UEgdcwLqGSiHqtyCXvTze4np+w7KBMr
P+FMO3MydSr285iQI8W6Dn2YGgyIy0iGgE8yfVOGZAHG+WNTLo7saZaV/4BZkwIOUSdioRJorDUt
cSU07ViwZ7gQK/+xsAUGp0Qnt33L8VbMQ7pZRB1s9jI7XzkJkUC7PW+nBUYxUh8vlcxD0TX5T3zQ
dyDBV9iH17SyYILQEOfElBHxON8kc032O1SPL3Y9dXBQ9dQKG+jdQ/emClGG31Yp+1nW+j3RV2jG
oqnYVKRLnMrZn/VzhSAXaDOc73du+ArOGYyHNLSblzhISn1EhsluEqpYvJ9ZV2imzcAbb2F3nxAW
jVS60JXY7Ck7fa54VZFFDRLMGniSRZb2AzRuJNvPjwJh/sysOQo6NCYw2NViU+ychtm8gbNl92PN
POr3hXjBV3itEp4tCwZaeQz4A5Sddtgxb5sq9qMUez7BCrJ0kEOV22SE4TDRvdK+zreY1Xa/cpyt
IOsrSIXGRYxxDe/RHynN+00+V3u6G7aCLPZlkagl7+MUJjdOTFHKs2Yq9hR9hVgI1NAPwNTHbZ0n
OOo4gYlMGD/N9vNmbAVaDpNkNliA5mkqMx1bn/rTHoaS9gMVW0EW+NFgwDBnsut66C5cU5gtLi5g
ulNk+52bxwHwpw7NYjO06QADhlMK7W7b8NtZz9VPDv53HBpbgRYGcS1TKhm2bZHhkMIsUNhqaPv8
GFbf230FWtrkjCS5GkDzwW1HIL+r9JTsadYVZmGkqAsCJ76KzkgL02CD2Ff0NVq5Snro3Q5bPQJp
TB53d3srhq7QatHQJIWD3adcZ1Gv7ONEBsn3UztdoTVjXNWIINidkYfWsGKXmnRPZouu0GrhvydR
JoXN9dKXcSF1B5WXmPbLDegKq5OHcdRitsOW+2QMYfqPhLhJ/H4hiq6wWmYNqWqKoL85LFU4Zuah
zxe8p9ZXOHVL55s6G/ttaTMWQjPwNoCZtD03X+EUJbyjcxb4rWxhEtJN5s71i9tzc/Lcw7ROTzlk
wv02hyH1UOSmCPuOyD13X+FUwqR8agINousenzloj1wmMFK5X4uKrnA69YxUDHaOF+iiunCplOCb
wAfK7XdmyAqqpJ102TfpEM+srGCEhjY8bkbiP+7lIskKq9gkpKunEiJr4opjnTu8cTaft/vtvgJr
D5M2NJ15H3tN3+OcXDlGr/bbeo1UN+flPMN4o8mCc3CPtzORe3KFj4MTT0OeNqaUuJI+zsdMbfqM
39Q2qfc06AqnlXVBp1Xfx4HxJipyeSpJi/Y77GSFU2gLj42bFMytFdO9mfFbwsuT/RS+QqkyYxpA
vJ5j2NZ5GMZ3mYAJZJru53rJCqdDyuEVIdb5GN5LR++YBz8QOrPg/TINsgJq3xYEFfCSS1zW3bKp
J/khM02yn9rxCqSJMq0cTAejp3M3R2XZgOj2Z53X72Qxj2+CPzuNlWCmCUofw8t3+ky5FJ8VQdK8
3cuseAVR4onv4L/WguOYJTDtWo7vpDL7mRSvMLqwWudJZvu44wMNsZpui1Zd7if3CqNsZNNoKOwd
5O6G9fMZZ+5sv61XCK1HePkDxgX9FiVBEAV5cmoWtCc/8DgK8tSaGDcNzHyTYCuQvihneau6udjP
teAVRIMM8vSuBp0UWXVVp/UugRHI/XSyQidrxplOQOBv62U47EZywvh+EfQzU/yEhWtm7mGOF2o7
Uaanqp7iqkv2a7PCu6bPdG0KP2V9D0I35etl6KNcvtlLG2gFyULnXbNYMCLL7Idu0ldqEfv5KbTC
Y98OdppH4ePZ5fhmmT28HdFTt9lP8BUiaZXAmxdG+9gFMEpAKnuoE/1uv71XiLSFcRxe+A1gEBWy
2wCJOwZvAe/nYdEKk3Cw27ZAEJIzIyaYdGYwTK3lsB9w0AqUyg3SMz7ACKG47uqNAhZ7P52sEJml
WcvabPZxr2CYY6SuCeH9t5v9Nl9hcoR+1zxXidvirDkcC+jttzT3e56U/+XsypbkxLXtFxEhJBDw
CplJZVW5BpeHtl8I291GIIlBDEL6+rvy3Jc2p/s4gld3NEkJbe1Ba9jlS7MsRAYKD09V/MKW4UcT
OXNoVSAM92tcAqLmbjjF6Ww0e4nxbJBhjz57F5qhbRLGthBjY8rI45LW7f0YbfzQqoR7SJcAX0Sh
nsVGicF186T9qLg4VGABr/frqmzZElmZIfI38FzagkTgu54oKqDm0NECtOCvPzBYHVW4q5nLOhq+
BXb9jMuHj0e2YpjtwhOMaGI4w7osSx2fxgWAfICVk0N1RJjtwtOINcE8esOLb9vL0pP7bR2PRShQ
yr8uSqsTEiWCTWUq2TsFwOEZPBN6cMV3EbrUBpjLZZ1LAPlfo0AVrRGHipQw28dnHHSuZnoqKY1p
YXVoijBqfx76nHtwlcONwpTqeQKagX+pp+2+SeK3Y4/exedm5kqmNDClC5XNVZ+Ml063x2AY4R5Y
1ce2y1ZghUpcIflT5/unhE2/wxjcNvN/T+nDdBegC4h8oENZU/bA2qh8WkzwEKzEvT+2MrvwtAHD
qQhuVUlX9+eECm6b0u/HHr0LzxmJRwyg3ZeS1++3YbgSrY/twz2Qaq1SyVtoKZR+HcV5tTU9Bar7
cey9d8HZ+KiazCanMgOTV0buSae/Kztvq/pPH3MXmjbAPHgdElMKvcZLbhLevhv5sOW2pYsrjr3/
Lkgh4bB1so9NqRr2VYnoczDID4cevYdLbUA8Kp6AaUTpOt2tkwnzcI2OXdWFe7RUTUXcGEbx4lH4
Wa8BtAuC4dOxN99VuGIbB2mImMqYNpE9e7a4KO9SJeTp2A/s4jQSdZ0uqcKW3ILXRtMPzXisFw+T
XYyChzKiYcajK5e9zqR5rhg/dA0V3mQQ/94YqtRVelydKVmlaRmkdH4Na9scQvqCQfDr02kCruba
YCdWBAwdZ8aSRQfRaWGyC1O9gWa8TcKU3TqQnKzJZbT1selwuMdCzSZalijDkuN4fFgdfVDxdjCG
duGZ2VotLQQiygS6A3ni3UNmoClzaBfukU4ZdgnZqDRl2K8vLBwfDZmPvfcevWQa3E5wG4zlxNPP
TWhelRwPNXEQC/51n1RbpGU9tKbkWJkc6hk2H51Oj52HezTSzNoxaPtsxL2NGAtD5esSZMdK0D0U
iRD0WV1MxrJuQHfKLQYV54UE/ODC7MKzBRncr61D3GROQ9WA8/cQxvAHv+guPMG74hWwdmPpM0OL
cIqekEmP3Z6DBf7rN12CDioOW4/t0mcRkThrnZxEnmarPDTDgdLxr78ALDDJoJCCta+FTYoOw7Oy
qqLx2D0ClGB/fb6Ty5IaXQ1lGkxyhA7NoH8uWWIPNo17wBE48gRU5mAojXDTSdcc2l6TiC+HToI9
4AgiQdDbWslQLorTgnCA2KFsf/B83AOOZgUE3sS6oZyipJ7z0FP5TUI+oT52jt1k3v6elzZInxm7
YW160UKRYtYfNxUey3l7vJGivdVBsmDdu3S4cxOZLlb14u7Yuu9CdmUrc4OyA6iTsf9M+qq+g1D9
IA8uzC5mGc7JmDp81qyrxgkqVCkDB7/qoXxy7P13cYvLONl3w4qVZ5O9GpN+FKM6NpsP95Aj6AJQ
YIzNUCagrDf19Grl/HbsvXfRWlfOMgX9pxIKKV+73kLXDYLDxxZlDzQaMTJPg0UPJTNt+jXBpcLd
IvV6bMvsgUYzCTbnWQwdLk6znAP6kgcuSM6HFibaJVfjAtzRKzw9Xt2Sx+FwL7vfoZiS2+r+Q0Oz
hxmNzQZ4XUr7Elp9dQWtsa7FYZM0myxqndXyTg/Ovi16Ulc2sYCXsxBj/AEUt2R8gdDwZN6yRPM7
iXvJ/q6VHSRhEtVgGF9vY0ps7qN2NB/tSIOlIG7s5LdeiGAsOApLegpjzNrPybBsy0lBNQl8ZNxS
b9dlDNK2pMkmomvVt+AlhwTThD8CIHvdBdzrKTmxZMMzrWpmf6nHTExg24G9fIFA2OZP06pZ93VL
oqh6mSMetN+nMB7HMvU0W0uz4e89DbOPzy1ZoYvRJTSUBXdJvdzVYV9njzztwAsjo6dvNM1svlJu
rkMzGV+SPkuhMabVGp1WE9XxeU0s2NqxEmtU1GrQPerZLHNFahqWQO2wMeGD7ao2uyoWzlHpsdq2
iJlcr94HkA/qVhKdIrJCGwmaJJV/U2HbJ8eqkD3aS2/RwiW0m0oeC4h26ACyXiw7GFq785JFlUMh
qYZScP1XFcm3KmkOvvfurFxxE7MpiveOl6qcMnUP0Y9jw8Fod0rGK5ApISZIJfjDUK4IMgnJsrA/
uCa7ysaQmnGJS7uypi1kAuT4k7fmWNF304j4e2ZtQW+FsiPpy8UtwxPYYM1dz2Z97CjbY7wEb8jS
UT6VtZHRY4T6Fcj/Zf5y6CjbY7yMrtd1Hda+lGm9fDLp6DHM79L52LLvUV5j18ygiWR9mWGonMe0
fRS+PsY0C/cgL4IQjqN06EvXD5U+9cS25TaS5mCXs4d5hV0T+oBhR/Jax9uZTlCfy5MgluPp2OLv
AnXWo60CMUPrLlI/7RDdx8F0jNERsl2kDos16+iSvhQkA45snpJNFSxr6c9j774LV2gLeig40qFU
Y+bTPOlHhjt2KFgew2KEN7GDv0eVHToVkq1GgQBLsnxJbHtumuZggbDHew2JrVpIQPaYRsymAKIM
anKBJeWhxdmDvSwBVTpuuh6sWqXuOVvjOeej4cfw/eEe7QW9pBpAph7HcLck96Jj5Ct6WndsFEx3
5U2y6RHiTqhXMcrarlUEadyEzMmxTU93fQhlCsqBt+zUNrouJjtCy2zW+tiBs4d8hSbcID2W9mXg
OvaXANr8L68XfQz5GdJdxMaUdS0UvIYy5skaQDO6CwtSWRv/5u7wX3h14R74BW4r5GFU2pUeejbm
wyCbtS+qpKPDyU598AGEs6cgyFR7QhUns6LO0IxeRBDH/cGvvwtskII5WVrUn9aNIi0C3dbQgxDd
oI610XuAGISRPHqW28lUzWH1oBsIWpVuhDhzcSz6dvnYk8WAXku7kkEFDILRtrXQu5bRerDA2sPE
+OS16Sh+wC0UsGW/fAZ6/8ehl9+jxNSs3ZwtvisHA023rWY//RwfffFdZNejD6dJJrpEbXtRVN5T
Oh0bAewxYjoISA1BWlBdohVyfEGEqwbr3x9blN24fhbK1CFkpstqMekZEmuQoo2bg6ky3AW1hcRq
1+GLQvZqC77r1rIfJkC6Ofbuu0Q8tVEH7b1Ql6i1nhLI8aqx/o2Wy+0F/6FV3OPE6g33jNz0XTlt
VNyHN5VpOEzaY0nsP6TYvwG6rORNukqmSyZTCHC1aTrei2TpxLEw3QPGomzrGe+ILpO4a4sxS+9k
FLpjeWAPGTNDV0MktenKDFrq0P3UUZHM7fr6v7/pbd/9w8LvcWOZlW61IfK78tGIkp9MdXZWJOyh
rIiurjtWY+0xZKnjFZwUoIVMFjYPuYjn9hZaJOuP5WKyy8U6aKZxzRrszZi+LTN5X4fVsW1PdiEL
JYs5JQbvjulafGoMRvl+CbuDn3cXsh02YyCBCjyHianery4Y3joRH2MzQVfv19JTNV24EDqp2xmc
vg6axeUMqc6Di75LsJAw1qTSncJlOKYS/Zi+BtDSPbgwu6p5cXPnFtcoIAQg4VSAfDh+8QruEQef
v8utEKSpqmE2qvQm+Y7Z0TudiM//O6j++TQjezQZ5OxwWw2GIEirfdVCxnhZ/7JsPCa9AdOtXz9q
g/atE9Vt2Ye0wsBxSq+aQ2nv2MvvMivMGpbNG7x8VQuMnUIK1wa5HctQZA8py7hPXDxh/hZCCNlB
NxZ4hKLtunY9NHwhe0hZulpoFrZClaHg7gQBYPLSg8/3/tji7KLV8QYTLjsGpzqst/6+JSF5onSI
l9+8/X868v8+j+EW/Ou3hbEt3ThfsHXgpKGfxzDslrtGrqO5oBFb6CXOIj6dxlht/WPg0BU8DkkL
QxkasuiycOqvSRS4OM98tUBdwUGT/xleHBst9Di6pvC1qPz3vnLNcukG5NxiidvtB9NR9LAO7Xzv
GrFeWAVtxcxDA0PkRDeR/yBC8Fte5U2n4kPXwDoDyshJ5PFfjS0EAfLzqR1EAJeTJpoaSAVX/frj
2KLvjhngGkd6IySf6ypsn1YILT/ShsKf49jjdwdND2uHHtNRWdKN/AXB6tcsrF+OPXp3xqDXdBBC
t7JkHjhbRaMr7affCWncUts/bJU9JG5ZAl37aZPlOECr42omr+wpc0A9nCw6hPrKM67Eoenaf1xj
/z7DCMcs5tEaQ2t6CPg5klZd/ACl6EPrtAfJCVct6BGh0r72kTgFlf88t/R363TL0/+0TrvSICR1
s0izyJKrpXkDqjp6TkW9fYOpQfCbyea//cTt3/9WYJIqS2o6wKJh2pjkJzGPZmzy1WDYfm0sGG2/
aar/7ZPvjh/AE+oF/lL1GUbwUl6WeIPYdRuoc6N9Sgsguo9NlcgeRFcLzE4qo7BoHQ0AdOOfcRAd
TGDpLqADCI5gENDJMsR13MzsZWbhbw7of/sSu2BOGLCcHhzck6zHZL5maoovfZrh3p/XqyKH0AVk
Ly8c49m8aZIAMh0QEgTXvf4jg3PRsQNpD6SbXDY2jTNtmSTxfAHmOs0rER5rVsgeSLc2GEWyJRRl
E6WwRlidPqVZc6iPI8mueCB8CJVKoE0frs095OnzqOfH1jzZhTEsFtTUz3i099G5ysaLbuih/hCi
tL+Gr4PqWjNlEor6DX1I4uBh5MemeGSPoQOsEIvEm+o0tHa8b6dpLoOYvR06NvcQuipOxOpYgM0e
1tMZBjRR7jIVXY49fRelJJOmiknQlEkzDQ9AvX4ea3dMHJbsMXQ1T+pgpUtTKkfVZcnm7o6M6hgU
FX7mv37QwEHHP9LwSWjadjwNIn0MEjOdD63LHka3tWRcJtZnp1lHzXah1H6E1QLciI49flfdiz6b
R1hBwXliHZ+k6svW9MeS+B5K58S21bpGIaXmpcm7pSOFV/FvTt5/aXr2SLoV6HwPhh+CaIJPDFBj
xcChKHxsUXYR6iHSM63z0IC1pF3R1QOMlyrTZccAaWQv65VpB86FjDMQrXoPQXRVmYd+k80xHiQ0
7n/dkAvvqi4ZIZSurced7StQAL9Zmf/M9v6hvNlj6SLuQcXoalGGLmDrA2k0/JGAknThBygl9WUT
Z57lybjq+MwxXbPFCBeIFXKcA3eXccnIePbQvaffdBLTtaxSuKUcmsCTPQpvC8YQuhvzrV0yc31t
GEkXCNLDseh0bF/sAr1rmpmnoUhOmxEcB5RrF9hOwiqZHes99jg8M8vFr9WwnJdeDGedRvY0ZNGh
STPZw/BQssVsYHBzCm+6XzYewdSOkkP4amg//rrlhmSNpmrGw+F3JnM1RWPeK3oM4wdXnV+fHokF
bPilW860DYeCwaIox0Ti+6Gvugfh9TKFBTmr5vNKBfyNggAEri0ixw7YeFdE18CawjiIzeceyJq8
l6Z+UgmbPx17912kRxY2UiEf53MAS60ikr6Gg2R8cGHor6veGBv2uIidz9CopC+d3uR3TnxyrAza
A/B8LGCTsazTueu4KqBcDUWYqDqmekLiXaiqbGaepfF0bpLNXOJqhr54ALu1Q8u+B+ExS5lXcp7O
zGoBxNX8AfTq7eDDdyl5sSMksxI3nV0S+lwSaYpEHqxV9hC8WC48YCNW3WvItdjZ/SQG3pvHlmUX
poEf9FgptpxrsGdOmRWiwHl87PKe7LFfHjSIqllRWCUD/T5p9qYFPUavJnuRL6ExUu7hc3luiCH5
NtDqXFWA0f3vdfmXNnGv8qVCOI/JnqUXXql4fRGLbvTFcQrPqcgMyIL/+2f+pSbaI8GqlVVR2OKP
gBN5cFppXBfdthxDgpFo1+sOokrmmePpdd01JxilAv7Ruz+PvfouXGWL4wB4RnMetsEVjR7b06Sr
Y4lvjwTLhojMOo7NeZXLetEipTkEjP2xzLdHgjnNOPfGmjP8zGC8OMmPHg56xz7pHgfmhY58j1nP
eUhFUsCaqi0AST0G+yd7IFiXwKM3SavhHOjAFK0fOlj3wJrv0Dfdw8CqKFIGtsHDuZlHUfhYqyKF
TP6xWozt8uoSOoycTZ1e2rbzHzwZtk8t6X6nW/8vobRHgVXM2nABWPkcmxB8lFvBMdDwdzPCf3v6
LrHC4QbjagfTxijA6HwNfvSq+3Bs0XdRKkMaVvDPSC7Q+aoU3IGBTpzFNv1x7PG7OA1Vz3pPTAYT
b90BgNtuXDzyUHXpsVjdI8CGKV1QxQ/ZJZvCvM3ovSIHK7E9+AtCXOPsKB6tI6S/Gx6iOwZIJHvk
F8wgmkokYwZzP0gfSRtGRSRSeyyt7pFfLVFi9q6PTlDhuuvM8EL4MTVBsod9oW5CmaR1BNswCxfa
ADbrzeuhrfJfkC/ICAnDuuhEYRgeltGgwLsWVi8fjz1/V/p2Qzi2aumTS9SHGyTUoym6v1H1fqcn
eOtc/qHTpbsgbQI5RKmtOOyyg+lurmDR+jTBb7KG8eiYVNdaeyvezb76fXP9/45R//Sju/BNHK26
tR3VzUfNdlsRqkbR4Swlok5dRLXBG3bsNexqYAQ+IrdvrTNdcu3VwIW+oLFupc6Vl6u7isoF1TfG
LGB3HezYe5mz1nlrcxQ5w/goeZgO79apsiG/bkGUjDI3XtWwuyUsa2DibOZkQCHUc3y6mw1tX38b
jNBLmEcyafSVeQm555NDQ5/UJzeu1hSwsWy3N0jI2bXJYwmLH8h8u2abujzMloDDvddBGl7ehYPk
kL7XmFnOOgevADbkUEBN+u7jQDUamTZp05960Phns8C17cQB94XRJlZIFusKl/XSu2WD65Ik8KD+
BsNkkiwwEoW7oM3jlNfiS9dEMvuh6wVGPyBy+t7oHGpfrfvjBtK7G7x2W95BNGoqrG2mUJ4SECer
s8eVDT0HtNqmooJle5sVK7cu1id4PsfkIUxXnl2aePEavLCxd3dwCegKWPGu/B1c05v0RBpmWSES
PqIKS3V6SjUEcPNtrPnYAb/Z9qI+zRn6/aTAhGSDvd5sxs7AsJryBLyRFcarUYKyEWcJh0E2vlYP
N1WTorLLszBQ+rTojn4dZw0DQOe35MfSeAfDZdPH8skbmvJPYqRJ8sTmirFHX4l0qU/Kg6MSXTK7
hFBE8DxZ1DswNFJ8r6GB93FX1MRn8ConUDVGNaZJ7+Wd4/Ax/D6muunrol8xDL4mYCBlH8Itge1o
oboITmJ1GtxkINWiOhuAxeIB2oKCTrLACBUOzCiyrzTGII1euexSkUt4i164FHB85ZvVBtMUF0zr
rbJcpweyTPJsDc6oJ97XS/th22jdpdgOPV0uLYunDU7EIqJQiRVOndDXiPRLOrOuf8g2j8ZPxGSB
UaEdZgzz8yyNE4oKap4ZY3AfZax9DWVq+AUCK3J76KgNMdUmM7TVPK6Z57UGd4u4ic9AcnKIrBG1
fKcqAGfGrEk0vCWxDtOTqKa4/Y7eJ4VZOiBT/Xqa4MQ8PcmF1PwD4FmjvrQuAU0o60kf3/s4oPIx
FFb6P5tO9QsYMyboo6cRQSvO3SDgvA1PyXb8LAKdwmjdR7LmcZ7oKBueCJxVw+8RHBFTl1d1puvS
2nWN72HWG/V/tJa7uIDmPQEbvbYszCDtDKfiH9Vsa1nncpTp95jxcfgMdrkXBW6XkLvA8+jdO6D6
phT/cx9EP/rWrP6q6eDcB3gph3DqFoikH22EbX5XS+qf5ozUF0LHtH1ODax3zyRtBvF+lGLzLxYE
DxrgJhq6AenppkTMr5Odu+6nxM2NeGj5yFzZ962qypFmoXlYxiyhRRuxiH5JOY2yP0MrqydQyIN7
XCP5H6C26Ly1cX2qIRAUnLbGp/YeHhKrv4N4EPsDrq5RdhoUmI6viROqe4LrdxNebd8s7hyMot3u
MmcIh2/2JslnwitZvRdjVg/FAH9taCK2BAbjeaY5jPxWP8Xm3UT8TK5s4IP6COOOqn9e4iwRFyJk
n5xgZbvi7LRxasQF+OnQvBuzlf9Q0AToigojQ/ssNmJwlIh+s2ce97OpTwS3VeuDbCFwfKnqZQC9
JkjW+oNIpyy6ajiE83yuAsO/C5G1QwEHXgkfari6VwRGRxHbrpOC8fZptpQEsKHuaAgPbm+HLwzW
xdl6ikkdQs5ww1s0QT2ZvN0C2Ld3N0meHIJ2Xj6NFsS0czwY+5USZzns1eoOupywguDvUC7Vf1UI
YfhZK0F1wbWN+89uhD8jBI60huRZzqT3zdXOYMl+cPCnM1UuxjnZcN77wfY9nImRpuF7nsh1+mGX
lcWfYMFhkBAk1Gqy9wpPuX3IYV7MGW6uuOk8d5bqOAf3s4tLlYWZPK9rzZTL63BO/YPdphpTiw02
VtkdqRxqRDDZhLhOcFkLcm+aJnjjsYQftIj4EpwmsobZKXHet58M8ay9W2dvs3LRfVCdRksr98hg
lvNCwqlt3jA5ou7mWa3m7ALV+Hq+zyQ6mCeHkRgMuGWDfDdXVTwC5x2J7RG2wq0sem/CuYgGkwTg
LZipgm05wQ4K389EapAxOri5vjQbSehdjyvj9qmH0h2MjFcXwUAHuuLwjjVZeA1ZNs3P8TQG3Tfa
bKl65IpN2GOd0Er8yVTqsRM0JNumc1+nzXrBX7a151jLaPrI5Sqq+6luWnYFiZardwts1UOUEQtR
/ARfJlb95SGVDE3zSbRwX+2buga2GQws7BH47bb3op3dcDe0mgEzTIEhJudpgOthvs6uo2/4zfTT
Ggp4qyqIxoOTnlHRR8UI+cW6CHA+VcVWDdtbS/nM7tIMdvV53HUAq+rVpEHhhmWGpZzp7QYCyZqE
BS4UUvGC143jZ9i31s1d0NEIN0ewig2WD1r7vrsHdFd4VEWd334ga0ydhEYqIeHr7aaGkYKJMfHv
PMkiPeEk9q66pi0+PYRmOdzNHi0O5PEZ7heTuZJZZPPdNvMsvmXuTUAToMYyTlM+Z4hyAr262i91
Afd5515Ztqksh2tayi9JpHG+5ZLZ1jyTOUzhbG2mIWpzNa9bfHURI9tThN0v/minDRY0+CNZXz3D
cr6171OJRbz3tDXbqWNLPN8h/wcDjLRnqtez9UliYQ8M/12Pj2nq9bJaGeiPSehm/bJizdb7sQUs
9LldG9EUUSv66Y9tSGj8RdPEpTqHQhjpBqwUU/WfcCUPyQtU66PsWx/Bi/7rqEZJ0V9BEJEVuoUB
+51OZrjNF1KQlPf5GCwOqVBtSB+o9iAZy4N4TU4TRBp6B4xeEnyHqryLCoKk3l79MsoPyYL9fZbE
Kl40m8fMVSdd9DmmwEUUzKVVW6AXjRI4IvbJUlKVxHzN2Ub0+DSIUYByHEK+8zJkrerfMT3YQOUc
DKxvbQ8b30scNtH6HMKTHvq7uGfNPkRpZ8VlVXDKeRmpYH+kE1xeTlNUYRSQNsHMn1w3VMmFmNbS
Z9w/se69ksnkH8K2G3scmBFiA7B4ANXSUkJE1byrtMqGrUijqH5xQL4ExcYbvb6fvB1BiAbvldoC
MoaVLJIsbIZnOWHGlAtdq/HMHHi16gKKWnhOK9Z1J0Mqii/RCBW+i5bh5uTKp1vxkwJaKeoiS9eY
nvQyknDJpd/c5xZu8H2cew3W4ocB5Db2qZ54/2i6BRVXIeo2KMIWqnCuwOm+5onlbP5MF8ge3NXc
Dsj3yUZQpjMQeIc5dywK5muDVyCvS9/NSUFjPp6kE0sHY3mE+peYGLteaCJVCGcSA8mzMGpYemIK
8OB8YqG/ZEhGds5NXLXT0wLoVNYVmutEPcqpcs+puxmgeuPZw5SmkpxTONhsSKMoOU7GRzj2rVqD
+ip5F8MfW1Xh+r4zS1jgjmSkX52q7FpUVkR3KNfgminBoukxac/N1oo7MQ8Q1ojAq0ayZTDHnrMh
72GGxE+zIfSuRj3w2eqEPdSQUtI5z9pxKkRIeQ3N1oHmfR+1/D61tfszAvunfUcROrr07eSzd2NA
zQuxkHhFC8Tmx5qn1KN2CiPzsgYDYLvzlhQcNPJ3uM8BWRvmpQxq5KAhv3MmpR97G9RnSVsOs3u9
zQ+rVNlzbaGgf5LYxkW8LbagomruoijKHhdeu/s63NRXV6/tW8aUKRrCX1Vs9Me4zbosr8kwAXay
KCnHfCNNZqccht7CXRys6twdX2n9iYfbcD+3Ls1O2M680H7x26UzbXzvAF+MPtogTd5qZRlk2enc
JcFdpZPVqrzCzk1Bk3eC/NnMlZs/xjHnLl8bvaWAcoardafmpgdwVW7zkE1JTegGOOuO40TRxzSs
b081X8Pgfg0jsLFBK7Xk3oiwyp6mYJvmywqeP/nkuaK8yFy0zg9LNMT1V1SuejzHMw3o3dAMTfTY
bquC2WvdrSq34WDST2xRA3ke2cKGM2QaXAdJgomLax+smfoSCHgJt0Xsmrg5kakVc77EDUrRbF6S
pjAKNYrNKxYwpnIXu6X5saUxGx/XrV/9d5hSWZRDYk5j7G6F2IqHvAVhqD1DRaeipUlV075uIXr/
c99FTF/mBOfOCR1NnVzHG/zuPCaasmeQatr4AfhZFp7CbIuzawja1PazARhbPy/TnA6kcFm9ivtp
nBjhOQRFUlyP+pYq94rWOKHoggHZ9A/TpCacC6JLbPhu0AjJN4lm1X6RscyuUY8rMjZpm3wJJyaD
rxoXrGiTtz6G4yKG0KLA7kCxlFfLitN9Mst2WnVt0s8cnP75U2pxtv8xTWNG21OcjAHyVdXFwfrG
rW+3Og8oTVg+z5XRRVYxRZ8mn27uZwS6v/rTNGCzndMWtoXvnRJbBsGBuDcv8HiO5XbuVqi7llkT
0P6FI8pwIhJmxhTHk9gSDAtFB1rzXcuIsHdMCkn0KfIGJUCuOOc1ZOB79B+o+NqxcOtwq0Vg4zLb
13Y2prZlJmtpPqkp6NdL3wZzdp2mbInxxXxmzWmkalu/yiwGF4kLmU1fZyvH9TLURAdFJpfwoRnr
ihcjLsLnR9e2UY1PkjQgA06YshdmWEcUpSOHnMynxUdZCoL0WD32NR1LW23p+5FRN6M6iL0fnp1S
KjfwBs1BCqsXBn+xtO0vzqaxK2rYqS5XzyY0aCJbknyabR8M+bzMdnpNQpuInyusTdKzl4SIE7e3
vJrXEzwm7jzX8XcHo7ymzVkfZNU97JgjHhWT8m2AetSRoNw8dnCJjB8m9zMO+/Zb5htxQo6Pquee
TubcBKNfcKcaVMEV9S2bC4I54pQH6TxWBeSV2Ee2zsCfrVbUwzUTt4yB1ZpDqLv2fVMgIw36U4wR
Prm0QnTzaQjixp7XDUQGNH0B+HU+EWHzlLaWoGFunHwCDvz/uPu25UiRbMtfOVbv1AEHvzB2qs0G
iHsodE1JmS+YMqUEB9wBBwecr58V2d2np3K6umfqcazqobKUilCEAnzvdbWHJpdM44rM7bH1AXTc
xKQYycHmY/NFYFiZL7qeh+PYc92UmXBuSSnFjQNQTJF/QexFJbNC4d4pK1PfjKOPAW5FDsl8aLgo
02516CWB+8PfS27C5qYfw6G5MbkdTrbr2uqNmEXUm1bU5glLZ7hRXgjPCH4eJg5u5Sgka5ZofqYI
I/kwhPnoJUf8hsSHGHNG0sxcbUO0Ttu0x3jfpgLE5oRqPLEA3cV9c0j73ixpY7ExYrDp4iWF48UV
SVDiw9u7mjRpB6EMJLrIFyE3baxHwCujt8bqyOeJlq/LPPXreY0WV31CzEdLzopJK4d0DKdOnloB
GQ0i1JYlQ7F5a1EdHd0SVBhmU8uXCr7xHFW9Guc8vw/KEMtrPmA1Shiq745rlXsL5IV9s2Y1KEda
JPkIE9G3XKOa40BqjM5JDm+++GhHgBA4szDzo5pv8cE4ryNubzeeiNvxEeQEMecZtu/m1syojLxE
Fmk8qRCmm28VuKOv0ao9xNwUdCxfyraAt6geu66BbEpFT4rEo0zQ1lomc41KCWzMqM7DvW/qXkqJ
HRGI3LCtB+uCBPeIJZfJCuSOZjVnZdmc3MyxZiaw4wRfMGDrMG2xiE63rivW+d7veo+/znmv7a2d
ZCyPoowLJTfK5rU8TEW5BCXut4R+r2dMk19qV8wYsNe4Q6hw3fbrJ+CsClqhCQu5WpIFZ7nZL9Uw
48om/TMJy3ALSDw4wYuOg0RQJEInemaWf8L1MDebuBxLBKWIQC/nWVhdf54VFtjEGGBsN4FHmP5A
b3xcZ3WbG/LkkVVNF+djK7nkLQqx7gUAKPJj7baXbghD/Z3qIeb7JSgaP40i5AqfcZAVOKyLhZI5
yxlfRJeiUggqyXQNoBV4nBAC4x8ZAm38Ez5YvD5aFkYdGs78Rd/EHeCohHXhjFjorjQfPg1leSFr
riG/yP1a75HP7ZE72MM4a1OU3awzYG7tui1q6mazhaCnUynAY2q/6lkNHnrg1lEcvAZb46vfqB6j
O8N8lwUm7ip47jBnqosFTFKnkJGPg00QORGQk88IxQxNR0/vJejk6etMXDzgVbF83M2FFHNmaNfV
myYMRZ8RFG+MaIM3ypVbDL1NfMojpExBY9ZcW5BQCtVmVSnj5ZiP0B+nkMMXMc1gOPcHxEfnCrQd
GJ+2OLJpCVfcmscu2uM+2YKU7HGEJYCbgjqBL26tsl5p22yjxQb9B5e0bjyMSEE0hqj1RFYDyulV
A9tKDSJgHNJJ4TiMUq8x8Y6RjrjlUAciFM+IxlXj+fqZWzq8cBlVUVoFS9jeUi6b5cXDq4m9pAzG
sLXba2gv5u5JrFN0sddF4ZR7bb3gjIEsEDk6Li+KW6eCATOZsSHzJ+xkWM15CkiZYij3BxXrb9Lh
lg0Jk+PK/zDj5PVbiwxPzIW4zAGbo5SjNcchbq24pWU1FTgRRbW+1yVA1y9VNbf1Nioi7c14d7tQ
o3KWGXkfYarB0UBiHtFth1t7/1F2EZ1FMiIJ211mHlnxFACGkGi5AMw5fo2RWlk/d55tvbu2AK59
P13ncRiznWhIyqce8a1wB3WmOZQK8D4+JFEXbg3HfMc2qIuz/QlGp4LO6QqovMVALw2XPIM4bBSn
uQNgfsYQIdi5tlE0POqmqs2RF+HcHjyL/ukvYF1yP2V6YfAutMqzScPJ7J1bHyE8954drHz1VtSv
pTEGAL1xVglzkcMIPb+iPp+e1gbKrVT4A7BsGTYaSRqm8MZvgg1d/hTOQ5kSjRj3alqP3oqWYoN9
qS2bw9wVoUswZlQAK/gy2r1rdRzuDcDEedfUbPWfAZ5QepQ1CI+08xV4zg1sk74R1zN8xQp/BQ68
bW8IsWnIVOUluOZuWDe4CJQKRQrA1g+gIO230gsAazMNJNslDZqkROL6paOZKTmN9uNi43XfRYvn
ayRXkdnGgC4KVEK1Ng6qMw3MMDzTAeHRH7yIrDr7gAD5tqGljR/nGQh01hSiKmDCgu7mTmrdsFNe
NLp+nAXemJMjoh6OvkVzyM2En5WguNmt9K6yXBXHpTJx/QnzrMyn1LfMyT6rWqGAzkWIopJ+anEx
d16KiAPmugx0Bxfxtobq6ZrUyj8jqM0fgjSOkfOnNgqI92APXM0Gb+zIq87cLQZvGqghfBLQ3Ux4
7B5DvO3wkMS0rNdPAInzZTvhSt7G68rP2BWYdyJeHoPZYj5CusiVrRBk51eMdbu64j09r00Lg2lA
XDt+nqWN4c2vLRIStiP6eF2ZBDOjHFQOgbbE7wcxpQz72/BFTZEgdy3c5QPZXhMtA6xuC0WHtTBr
PFVprOa5zpwy1+KscWAXavJIHyIYFud9rzsbZsXkOn0mA+I4gAT5oJVaZ7jdSmCVQeINQeBtQcWM
MmtEEWO67vqh4wkLlQzfFo6y7FO+FtXyAOd5NAJiLHOzvoeahsXXrm795uCHcHQdfIBb/Q3M0WZ8
apC8W35qNY2WcxB5g/vuelp1Z+cKbwCOsRCRYoIBOA4YzQJClsMATVM/RjfWV8Ocjg79iAeDH6HK
7EpInUICzEANRtFVRTiJbQwB56WZUID6yZ/rYrgx4xroI0e7F+YCvMIcku54dCjAHnhUfQWa4YVZ
RYXXDcikxCCWDhqfdrUB9l4DHMCN9LrNzNd5JPbMFKbO8wKDi0X0Bqrwjl7fwbjDVl4kvqHx7cCn
xoOrWnL5bq/n4zu3cInDMkuLQ9/GGEV83O+ax9AYMuLaK6jqx6QTA8yj2KTRh8NLX/pZSKgHFUFY
9PmFlHyct7iNIvJtarScPsZq6ZZzu3JFXzAMsGhJqr6yR+f4urwIrrrpFqd2Ee4HjCuJQqZHn6Dz
pLhigt0y4cwFT3OH4Tjmx6GEoPoCPFjB14uU9xUbfF9jOafo54vo+AZ/Xi8S+CfIvFlYVwOcMH35
ADY4KLJpQvfsQwUBF85FVAkgoi6eRB4/886PIajVPmD7aadz07djImFripJWgC4NU1B8xn5gXy6A
UWEv9cc3LGWr9BI2gjCuEoq77AiopGkhak+Qxd3NxXaBCw4dKHqJWPkZRlJnTWJndHX0O4WVQ1bp
3CMmeT5iH15okJmwBGOd/TlhwE8aFeYirVo9NBs/fq2iJzb9OSXvz+kltAknYMN43FA+CKw+kv5J
vf7P2SUtouHiXHK+xWHlY2ONJ/9mwD3z3/Vw/0E6jv9zyRX2bjJC/oLx28NV0JetHE9q9loErg2m
w3ZLpgoZ5Dzuyd0yACdK0R3q+WnrLVg9/vWv5SoC/SfShp+DTgrgwYv0DN+2qE5sMvTbLzdQKvUp
piZwHQD+xb+xNf+BciP4yb5h+sENURiyLdzHPX8cXZvbrCswbcKqioUs9eE1bzAbLk7/G0vmHyi6
fo5CqSBGwT2d0C0TKAAYkXGx6QFs/ZsX9EeP/pPUpUN92MDLmIKmVl9rEzzPosv/nErv5ywUDMu9
6oqcbh06BpLSuIO0TfgnH/wnOcsYBKNuLaNbAF4bsDYyyQPAHP/6A/VH78pP13m+THKksWTbwvcG
nKxTjvUbZ/CfevSfg1BI3YWQIuB9wcKGINAxRqXd2j7+6wf/g0/ozzkozARq7pYKH5eSx+R90FLN
qc8cQYmJIKpLOgvp5x6OCtr9qS4w+AB/L+YvRTFzBETQLboX6UvUm+FSBQBp/vUL+nFt/ZOr++dE
FF65kE2uiLZKxCXgrli7GUgu/vlwwcieI8y/+D86CjTbya56qlb5FOCTRvf5IG2JjaEoN6iCe1+m
ED2xycgxGP31p/vPb8v/KD7au7/+HMNf/gt//tZ2zsiiHH/641+eWoV//+v6Pf/9d37/HX/ZfbSX
N/Ux/PyXfvc9eNy/PW/2Nr797g8bTMeju7cfxj18DLYZfzw+fsLr3/y//eJ/fPx4lCfXffz2y9u7
kjrD6mHkt/GXv33p8P7bL4TFfvi//Yquz/C3L19fwm+/3FldvX39J9/y8TaMv/3C2a9xGIONJCFk
CCy6/t7mjx9fCX8VQMRjIVjEI5Tx4bLTaFgsf/slJL/SIOA85oIGFPv6L/8xtPb6FRL/SiMS+PhG
ygHa+uSXv7/23/12/vHb+g9t1V0r9Tj89kv8w9n8j08Tj2COZciGIzGJKP79OY64KAqEKWkEhlkY
RfYmqO2blqxLChHmd2HjDSfMES5rvKg96QnQOVW6OAD7q05wqQUIm6DiWWhH32OD3aePuLflAfJp
CZSrJ6/W5WaNPAZOi+bHCIlqGNPXN2ajuxYIZGiJS9iiTp7X4OiIBb/CbuhKieXlSvOl0yqfSRu9
5xGmxImqYz3gMCWqAYoW+vWy7TvLUyxHciMrHnxqqPQE5rayOYZrpG+62q23OuDqm8VEnjLB2Fcn
SbnH8823Xey8LYm8ok86FhXPBPG+qfGmLo3AZ2QmzusvFPxQVqx41lyFhUrgIezeJz+cDhHUei9g
weeDh87ljIPQyXqt7jtZt8hHL8djFTh1mI1Ybq0nBGRsdAmTYYCaMqnbxd6VzbLsPbB1p7aY7YNT
A12wZIKtKJGX8Amhs0kBfPIRMoPiMpTRnJAcgaie4nck0tOnqzToA4Hd5lWCf7hXvg//ky/iOylA
4AH3h8ON5fJxqhQ5xMQ9V4AF7lC8EjyGdU8PFu/1aVS5PE+l0M9Y4PwduP4wgfgD8HBRp6bvq7e5
7+SlLEWJpgYZgP1oZz49RnGlLrwrkeObY2mBvSgdLOtfmXR56kWu+8bW/LsDc7ZmPF5eStLt65Ie
rSX1RkLpcD9dOUwpqvqu4nP8GrGlO4MAi06hMuHBYoZ5j7CXAVMxQCdAQVFQzaF30Ss2hcRHovQ3
ABj9rhOFOgxL6ZK6NPNRQbZ0mRvd73kTqRTaAcg9tEduEDr6AR9oQF7DCs/sozbucfBUe2zoMGSA
6jhNkJbTbdbCFUWqvE6vCX4J6q5gbX2JyxU1QQBOPpEV+fS6sSYtAA68BMPqLo2LcyimJv/sSD9l
OPORwQ8eMMOeA54lQNr3jZotuJiy7Ya9X+ZhZjVUQo3Hvts5EhfwauOmJ1ed2NgvadmS5YDC7ebC
Yv6piLDSxzXyA5BTILbQEfCnuPYwyjaqeWNIyQblLUOZUublSV4XwaYybEj61bkt8GMw7M62qef8
PmMoONtEq7TIZMNmqhjElaS3fNdUvjqold/qxewQid0lXKzdTS7yKKOVSOmIc9ot3W4tpgSAfWKq
HESS0+lM2q+0dLsgauSpAOyN89Wv7zvQ+luIew3QCpJEQR1tWWDYjuRSnwTxxecaI+IEJlZP94Hs
5wemu88RU1815Kl0Hc6D5t+qSbO7FUEQ+84z0RZHe46bz/URlQGRihMQXMD6MA/RgwikS1Rjxqzv
c/dYxHJMIM8FFg/HS7pI9Y7o9YuR67JhI9FpALPWQ8s6C2B9BkAR1OvO1My/5W01pi2UZie/gjap
HcJogx2Wf4yizresZeENYEJcTD4PNtgs4seQE7yrKKTHzQNsxTBNfdrSdt3icwxSL3CzBgHaLS+F
ysUh5BVs2zW2e+Lz9rhwT8KDNqEPra3cAdoEbBFIRISaby1WhAvm650oVrot0DYG1rXgicvdkhUG
v21X0zKlKxjtAJm9uzqGutnLeZt0zkY7YimENhELv3ZVUPb42607j8YPIDsdl6MP1PzFaW9Np7bu
zmM8T0e/X/RRN7PYgwTWX2eqx9MMK1gq4tp/wEXeAfMveQ4ap2cSCMQcfmKyha5wdA1EUPBETUkO
ff5lKHDj25RShNtqqqAny1nxjr7xT+Hcw3Lj5M5rkKyHN2LfRBD64cCgr5P27u0wX5zEK4eipZyk
Ts3kQLKscEW9gkhYN6oRVVq5cdxCHAPpo2mg7ULIDN2EphwwHllc/yNUmgNUGbtRU/9u4A2kM7ZJ
yiJOPZ1PkOfws62oTW0ImUgdRqdqhbgWxOSjXqflRFuc3VBVocCg9JiEhGR+r0VY7+e2CLI8n25K
qPmrEHtPXXnLFiJJqAwGRFiO7bzuQotCkZDiDk4D4JRLHvYbq9bpIy7Ge4hLPoH4G+NkwgPAAdO5
1w7JTyYpcgXJ2MRy8JHoJ0v90c8GONh3wOhAHkGN90U2MX3wWTOd8OhpI6Z9PhWfxxp3/UY+hSG/
EAVVhgfESAGp3Qyj5yegVrwUTpXybDy/Oi5tHR04FKIp/CzQEKk4/DyE1ZwBsq4POCX2esw7SBuu
VXq9zWkaTOiM+ZG4+rqsvECshhtvuXLdqfX4+KHiyAN0slyPQSfxS1V6O1AGVeA6xA8Dk0ECYGQD
MPDVEpAzlTrZuVovgSpuWlMSHLMN1JyQzyCrqpetD0ErbqpL4B+9HmG86Jg7hwvk0guZElKOkE1V
4a5tqp0JAj8Z+yrsQDKoOgNzAoxsThbQOGcSiQJW6eojQBILFgL0o69QJBDzGBZzf+7EB1/C+bvk
Lr/0Sy2SOafkREeDrNtphiE9a9t5fFtxDH1Uqy+ybvGbu6AuuylxbOlxvAGefrpmkz/VSABDb6xD
98W1baC/d5M/Zq6DwtVDklOGFDlDE4lSj2fcekCGdPmyG3oNoyhx884nOshW0aASfjZV6pB59uhB
6HtQ0P4opH27vMzCcnhCMhcO6V7cCg/tpokS3jNkDmvatRhRoGv5aCAAfeogHUq9gbOtjRqc3mGo
4nvg2c8Ln+5aPSk4g8vLKM2WWQHqPLSvwWg+GWQsJ6Guw/uAxu1WY9PY4tiLbzTanuXG+Q1/rejQ
JC3GioLW36oy2oVtsV8HeQKsvZ/H2WbzHOkiWyNVKFxZrdoUWB+bodq0EG5vA7/ft9TeOc9/qP3y
Gw60Z+SCvw802vXLTC9dUfTbIojilFUQWVO3Bjh3MYXl5YZqxrOKrdAyDJEPXhb2mtBF/QWhYsDU
EXSXzQsfMsSL2wtUS8hG76AWA6ZbdUA6/fAJt19xdisIigQkTrTBCK8PAXj2MCovflvLE+Q1Xian
Odz36+DfY4pzj5BRr9tomuldAPaAqgo6Jwyw186Ek8UvOu0be8OqoT16JUSyA6VNQgcyZH4Xxsec
yDFDmviyD9HpmLbGe6scQylN3zRgNh2O6LxnG8TSG0QMsiVr15KehzkP7jB+90fBJ4h5wJkf+7w6
KW/pP9tq4c8TZN8wTcgyTGp3JZbGUTxAFtLdxnkQ7MDtvIlG4+eNTbeZcfokC2eH3pMuHfrxtWfm
rZ9aJGES6EWd6ndsrKtj7gfeC5VKvGrgWBvZl94nKPkyxboCzSJOWqj8J+9j8XKFPuaA3UPCWaRL
pcH3xcoMR9bXzX7s+z1WC7YHM8rwpqKBOy+87o4LHFJF22ThqO1LB0oRjIEwn1vZBllN+6sHgfUe
bjwhKKC5HrYAbw0+OzJPS6eu6orY2zKOoOmVRnQHMUj+Sbuyv/cLIrK+7POH0HThhUkoLzCDzQ8t
afSLKSASRwd9lCCY2j0QJF5CkDU2760K+K6HqOI7CIt8tyD0PhU9JmjE8UVnEkRrk6yeVm8SqrYz
nVbwvQFcQqfWd/KxKDDlQazWy+fBb3BkNAjUIzYvLgFop10RKv8SQDaaWYisE1YOwyFfVbD3uS6+
gIwKkpxwks3erN4jaCgvnujoswMFkUDPwkA62OFzPPTFQw1P1iP0qeQ4I/YWR14gJ7z10H912AQ2
uGKqFAIkHK66vEfE73Y1tMTABv7Jlnm092B7QmXplKds7vUlGsbhpJA2sVnz/GPWM1oeQWCzrW4c
RrclzLf1ysTnYDHQ/WkVPswrGzbLGPSnYqgY5k9G9w5E2xesrEgeUUX80Y05fBhYAA+lE+0tK6S8
QMos9zQaMZBHuj+2Yezj1Iji7aJ7EaRE3tXerDe2uOoaZRwcQblBNUziCiy6uVV+CcRioUOCIm11
FGsN1UNH4gNUY+EZ5ET9HS+0R5BUx081LyMDoXCbJ3PjvtN8/TaqGppaxL6m3SwKcOhIWsOzyCSa
Ctw/G52f8rK4THWNyTGIb0jnatih6JQONZUv0qtcNq/N5xY2CAgDKn7TWejD6VptERTsUuiB5tN1
yS+TUX/0qISiQsWndozdJjcl/BKur57LknjIboHwICtxzWXNxK7x+6XOrDXBOcIIBmMI0Z+g6IRW
p/Wn5wJ0bOL1/mPlinwb5VvwbDvIwetjrqb7amYZL2bcXKByTCDS94rAXVy+9mDQyJKEbrmtouEr
Pp4gRxZVQVY6rRl1BpmTEAdh52bRzqxBCOLtKmemIT6oYKnglKrYrUXe4Fr6lwL3T6QIE/86G8ht
23veZuo8+Lcil+9FpZqsjqS5n7oGYsFy6PfTEK8bj1Zqj5OiOgbwGSQ9yPxbu7poN6wcni1a3Ew8
9As8l18cJRQBqOuFMysr64qg76fNhxzBQ+SFEAxPEVxafVMlU9M28Ed1Xp1i8N2X7RnxIjOUjdN8
VrgVQkbpLdMj/EL6s8oJLp4QuqdvJterh9w1lE0kftkvfupP1b0ygfewRFSN6mCiK304wpSEMZNO
l1bV+lKNVfAFJ6C5dF6DNbc0+MGrGkzQKoOlSAMvfrXhmj+TwEabfsLekozSYT9VGsJObepgx1Q8
7nhXsAejl/roRmYP1LX0IVxQp2onYr4xU8V+xkorP7cIjPq2QIyfDF2HixHCkz3eGogyYNs9jPgh
9zGZISNlUZ3KFu4UPED0il16fp6sVI9jP0eXGlq/XYkg6BXkq7kN8Tu9J4rgh1nF+FyQ+aNrKrLB
JiSPJawbty7Af9klj1MA+xNwA4oC7EF7wS1O22CjognkYV6qxDnv7FVQq9ZNVECnD7F1HPTwIDVB
XCUEclGM6eiCufhdzB95s3ibWEHODZBE3fjK3xCzChAEFHesCR4E5lASGJsQYQdj+wQpwRuIxpvV
gQCrZvle11F14L25gashBLe+gJ4Ll5cBy4/ANczDwN3Y2H1pe+0dJUR0fzXX/g1Z/B1m9t9o5f/n
iGYQAZr+z7/Dhv8HoPk/h+FN/Q7P/PENf4UzY/arHwAuFH4YMcbja1raX+FMEf/KaYy/yqLIj8iP
r/wNziT815hxijJ7hm+GPAcY6N/xzOjXgMQ0FgwyGRryIPh/wTPZDzLlH3imiGLfj/FMaFmHVgbP
9RMz1ZYgUEvI+fd5ucIS5S9eGWxskIcVmrgswqREuzZ3AmbyEmqHUOh0KtzIod6rQHyXI5+gT4c0
xWRrOwZbLfyVJqGitt2jQSyXu9ZFHtw2ZtqQIIiu0Dtk0J7m8hhRmDKTwoomjeJJHpiGdJjq4S4C
wHoPtz27YFqEgpx4+ryQWB6GIl9uLIkeRdQNKd5Bt/O7wGDfIOMNasu2YOOzKkLgP2XhkSuVov3M
ZquBdxKXjU7ICJYKRvt2y129ZlFtySYEGZy2fXyDOSu4TN5Q7OBA/KIDKaEiwWpRQf+Trv4Qb1sa
vncxoekM35hWNewZnYTmaKBrgluBO1RdO96vcTwfa+mX73HPprRxwXDUwfiGSjWBAcY3W2BmV/QW
zykk+8jhNboAwXpfIU7b+otrsKd5F9bzpK3Wr3FfHrwizIA7vix9eEI63jniVTY6e1RRsJOlr0uo
o7xvUSvmbb6E701z7Z5sUZnJ3N42rsVEGD4VcTnB1VytG1ojkFEVcML1QfUCP8WCKZq/sso/VybA
TR3n3ADntLRLv4mLHk5h602n4KpQJ31wVKp1Oyej3YIlPwHdcFebDpYVOJXUJioUgV8i+urglcmU
Yf79GjJy6ywlaQMV1hc1EOUSWA2LbyRnMOdVCx7Bht5OB3P0zRjr7RqLZU2pgp/ChbnvJh6hdoX/
o08gYllPdafmsynrWz/o5PfIzC1s3rACBIWHhXvAMkFlM7530Lqiysh7ABl6rC2GqaAIYFhfPRNC
uzrne9eIOzgm42xm64Mo23vo6HYemKm7Vcn5QCfgc7If4T/y65zcxVPbZ5K6bw1Co7fCa76o0E43
WBkPHmlWzMZopH/gHCJwjADVafGhNu+Z2KJ8at7oq9oPFRLuNNb8FnJh+jBi0AzOnGNzhxhaB32m
Ed0ABxTUdHaLDHUrIeabC2/D44b1STXhxWZNh2qOpGI2nlOGM6wBPJkrf1dL2D1Sz6vIgxEibpIq
RP1PBhWcrrMGGi8Im2DDQnSID/3EZuBQCCNPtJQs5RgfeJbD8oI8nQoukwQttSWs6IWZirMXSTXu
cap2Y1qSeoAWDANM9+LVFZyNuJ7FCGEvuuCbBPVpIiWT0NMFir7R7dH1ZxxO47KZt2KhTZAU2hjx
iOoY2h5q2ngtRIxyjfG8FQAHf4CkMi2IVzGcoPkPFVUsig0sC61KiwkS/10JWRYMNLSfsQASX5bb
XHlieG/JVKq0DdCki3nItWWikdz8xUda9oueccXEY5XfYakRLoNLEEZH5pay3WPuaXxoRTylsT8v
FtsfpiaawX2EN4vXkM9OADTxY3yqK/869ghcCnKFX7zS6nEA5vkB1S8SMWQ5z9AOVjKo71hbqWq7
2kiLjRqnobiUtcZvH2B/uSumhYwbktemAdEKcXUGTVNX7ZQteXBgvRmbb73xrNzGHONrSqBtBtQ2
BeubjuEo6RdbPsR69VGNyPCEtquzMVATXmiHco8DGp8AnfQTxOPtemRwUnwBdVXe6Dga32aQ4PDS
ofn9xkL9oBNkHVUHtbD1TVB4g8oBXgk2PFUjf4Kl8lXoaskG3bvPgs79FikLzX1YgVSysgDdrfX4
GHHebqdpEJ/hTjBlEo7R+iXw13dok/PM+FY/wzqcdbHOgCtMwKLhvmF4XAPhjh9Q5ChAga4AtaKq
BLxBjncU5euw+BbQhSSN8PpbZ5pg45ULeqwKWLJI1vLazBsC+R+2ibV8nmCUh2gFdt/HCmBO+ACv
8JRvG85FttiBnQai4TFxZvSXB9pIqBCbqIceyW/q8rHhQfnusQb63FkqwE/CRPIJtSzj9KVo19Ec
V2QLrFsArANL+gJ6O1m7fT0vX5eyyqF1x2c5SETB4pQU3YodfKhSswzT3Tg6eRt5ukincFluRGjv
HWSih7xk1b0AxLeFlUJ/8lafn1EKtXy+ejTvOzSEIEcbwTxPSDd39w4+mOZuitv2q4bjGT2r63zI
JwV59wy/6RvIq+DeG2KTcDLGt8uo4A4cg0p8xZJvXxpZIw7WaCpBMAJsrdN8DMV30ayA9Zydv+fl
NNtU/i/qznQ3buzs1reSG2CD3JvcJP8Wa67SUJIsy/5DSJa1Oc/z1X9PdTontjtJnwAHOPiAoNEd
W5ZVxdrDetd6ll+62VNr1DgJXYMEJqPaKNq4BCeyj9hTXAoTg1tOylH7oSwt9RnFI9nFlI66W+y3
KjtbRT2xKkAOMAq/eSp1XdEQRrr6u3C98mNwjfFlrEVfrWtSe2vl5Ax6rKRLCddOS32HEUjeaJI1
+U0G9eTJSGSdn4uKDMUeKICtIIAbQ7Lxzch7cUsNkiJp/WmXVGEpjorByXuJ9e6iUuE9mWWRnekv
xDTfdKH7CQiU83Xp2UHimVUVhMGsX9RgmBfBTZP01ZxNeBvlsPaEq/bh6MuNpR3rFGnRHQZbpExg
bF2snX4k5u5iYU63XtMwMVnIn2Kd95f20xRZxm1YEPldTbqt+5XS2cKx3IgxMC06L0jfDTUB8sYk
ttibywxjhTv4EcMePQeLlK1zaZIhe8lbzUNXan29ZwwDgzABcD05csuSy8EL+y48YLMzmr1pm+x/
tfZUcSHCacx3tJhH4mJAjJhXEzOaYWsQAfXIT7r4WquIHx3lMdMELox0lKvYs9KRgkrf0ee4MNQc
DMU4XCwmUPpoV4tjnsckWTA7+kblBVVbPvglOV+uMMbcP4R17FTPBDmCKUeNSDKM98KX5qZI+ciT
h/cZP6nhJnUtbzd2tf8UTrm64L0dGSCGrPsIxOSs7UXufceb1hVNB3v2s/wOvmG+99zW2w12xB1q
HlDDDLKS5za0qbksqNA9xbLlXaiyuhp5IIaGjB1sE1IU1Kb0XNXbeYypsAkfTD7wQdPG4aZTJhe3
rBpePAuLd57E+lOC0BekmKzNlVkp/WQ7OtJE09kdFqOcDsvs1dW5KYnz7KRNJnavJlwsKEGdI4MQ
fbe7FyIz77zWlTeZEclP9thN9S6LjTGELJKyLOeduvbkJkl+MMjlMr4eYt5m3Jh64899/zgxXKgO
1uylx0gs+p1tjsUybEZnWpGQknpP3324sbh/vFYW6slsI7QvdnlfuxYyeYxFntwwmbBicc5lU3nY
pZ1TvThyU4juSas4RdVByhkNZ3llw0getSuy96qvhl2d1lZN2MJID4jcIfAEeDzvsBg4gpUOtKHM
HPfZkLNBVVPkUhIWN4m1MZn8bWvpmj0GdTaC3ZWMEN44UefTdj8SqB6nabmDCtAA4p3Lb7jHv3W1
wSims+LcDwDmOqQEZMYow8pyOl5/uJz9cT/90cPxsznrzzeeqxvwh64COfWFWZaYYu0yw0QLsqVh
dmckT//9t/FsiRyEAuOKX3GfwwKNLCSefID2eZ1kak0z1lzbf4UTvbI3f77AXd9fC5EBE6XDfe7n
H8fyDdF5PgUsCzTa1+S6w6tu4UagyTVEwWSk8fdswLu1QksU3l+8mOJn7+T11cR3w3yMER/2G/Xr
jxmDbzGqRnYHu4mrbXQ9CAgvV1v7ejgYxja7eLWsSTbZ85d0LpnAcpoYTP8JVfTJ/v2YgbiXXQ8e
BViM3TLdTy5MHiWJCxxNMi2/x2BdBlVjnN215C7TVeku4aoitdcg0v8FNPHPPxA3YdPlyk5UQag/
MYkZaLjgb6rDgpWc7qIUPXw1lPFobno1+OzxOvPkX9go//xNpakAWGKt8Lj5/+pVa8JQoxf5Ld9U
L2fpSs7S3RfU1yNTtvr1Pz+Z1yv9z08M38yilQltwWV1Ej8/MdqXosi8vDuMmKbBCYr3KTW2uTl1
f/FT/fmTJnksHQeGESKH/BU0LPLWglMeF4e4z0V3Z1sVI2RdWE7/Fx7X3526v/xI9P5wi+SYKBDf
rx+SHz7TOiXO5CxOhtxnqVPUc6QI+ynSZ9QP2a9x5QusKPjr0ZWjsb1Lx17a957lBGxE0TsQEk5/
lTWAUGmwDuyn38+Hze9nxf/84v/pNbEswaPlI+zwsji/sjk1EdGuKb34kEaR6R4qr+/up3LisvRf
fx/Jx95x/KuShKHu51cEjZzhh+6jQ4GE268bV4BI1SEdtr9/n//Xct9N/K0p2/Kj+9XB+JPp8X+R
zdEyeR9RzH54V/4kDK5f89fib6/F+9/Wcf+jQPjPL/7D8yh+8y1MihZxNWU68E7+IRK65m+eixGS
VfZXz6Mwf+NXXIEFzxMUB/v8Xf4hEpq/SSWl7zsMOyzsivZ/IxL61wXhn58u/k6eB90K7VBZNk+t
yTf68dNVNQYKeWHZGyuJP3pX3boNA0TlPyVhla5MNv1sdjmSGOFTrMWlWtQXt9G73v8K0SfDZKOZ
FS3PgJ53VexsLYYhyXlJmmM3ck7EZKKvxpDRfK6F3KWd3nLM3CULx9kqKKNwY2fVyWoQOsAVM1pN
6uKcJc2e6QbkDnlRjXOL3rcba/tih9YtWTQQG2+TjrbkoDdeVj+S1XlcJsCBSoKuQytiipl1b0v2
OOt6k+TLzpmuDJ3xxq28Q6/zMxmW28KenitpB1VX3LPzYb+Zd1muVgl2KbCIT5zYUcZC+6lVet+M
yV1OZAq2gI/5zmn2C/QQ9v3s0ml3Lwm8BrEzfO0a/8n0GnIgvGTaxAgQXofL6YYV+ZvRSSwOOd3w
2eaHJ+9fnHrQhf/Fm8jGhkbLcya8XxYEkl2ijUxG91ldr3WhVrmbn/Fz3DnzfOc2+NWjiGDs4m6M
3gmY2f+Va/1nZzlPkc8Wh6CtHIWNVv5KzIfn5pU+6VduhJyTq/js9Q2xHOQgnErOBm7jnR2mane1
biX18jwUMYNKyzEOuZLxyl19n2XXbEG6qACFIMY2yyQ9LJfzlDV7YD8pdlVtAFHiLoMFIUBfztc7
VB+yhQ15N49w9ChxPU2Z4ggb4vP25amemmSFN4vtvRXf5jGcOaAul96E5YgVKuCz91nW4hS63NqT
/lQwKj+WXGf/Xmn1Xy2k/3er5L/9Xdfv9eNM5o/vfV2X/n+5wRl6XC3S/3548qkjnvW3++b1/Xsb
/bhG/vGVf18gPfs3nlphAnpSyvfFNen0hync/Y0tnH3ft4X0hHcdcPzDFG7+Zl/N4JzCJWs1m+A/
F0is5Exd+Erft0mcUxryj/HOH5+lv4+0/rUr/Ncnm+GJw/JsXt3lLj2DvxyouqLzVdM7w476QNKp
fTPfFSVWtQBmafOGGJCeRtOvq7/4RGGG//kox/bj27bi1MiJh9UZBNzPK3PfXi+SzjDsiK2H27iR
TvXK7HA2VzEEHPA1FbYrMDhj/5KRgV82k11WaeChjPW42EaYg2ZGBj5oYVZ8CesQ++cMOADr6ay7
wGtkHZgkiyNWzLDt96OwCq5tvQVNzho7PpZV6c1vmBOR+8C+7gRXhS+5nU+vcyn859xM8mhjimG4
IEC41TrtFHp6lKHzEBiqkmCwRP9S2G4MSstBcMnzkx2XMbF7uCWLwtBXvCU1NjwgFIyYrHLdhuW3
AQmHKuAxufh96n72F1WzjhrJuckr61qAYsMMMLQKPxkI+AkGZaM8zJ6YgiKcv7vASHdmLrfhkIhD
J6YECSS696Le3Q4Tek0BmTYwrOI5BrIVkIvBjzyKx8EzXEwQAuM5SFInwXyX5SUtC76074pqZMAK
cE4woV9jT+cLm9q5dkziKevMAtoBFrVm4q5uZMVK+/bJdNo1YjdDMNmQdcy2ZEYZF4RLvKol+X2A
fQGzpYzfVKIWhe14N5JMP5t91R2WsEEMyFqmBGWfr0smKyDAyBT0mmRyN8buBuulXLcTFIPO0f1B
EFneMkNxDsQcMEkMgghU0/d4l9p4J3GsBkB3FjIKhdinYdJvw0rnxyhnVfYxQ8LMwoC6jA1mBmED
GW4BQhyKwrDfr2fnPdFV1DBDGbfQNLCHcfZ/mJesTddQsuy1xj0GLHIKQSMliSmBJXkQyta2x+1y
TW4+AjQn7fZ1dlUKnm6RvO9xtLhfdG97N+4cW2/FIPL3zp0TN/AI9kpsjQQBdJmemVyiB4FmjW8T
4deHbsZwQ8/JMZdVdYwol/icY07ltU6aChDsAhx/0zhjvAStj1kVM0ipgMRhXb/PsyHD3Bw6lqbA
LS3WOAEcrD8QR4PJktk5a+FHTxZe8l1qRIwyHKOp14AXzXWtikVsHMPqTFA0yrsxiZKOq7aeh4sw
uhmcQTTro0YeJjBrkiUHyATZMRTpclu7EgZETSzqAWqPyV4GkSRQNQcScNsClAPtrvBfPb23/cx+
KhsEzZWnPLxpjtcnOQYWGxXPUlV2B19meGZ650Qrz3cBN6lJ4EkyGCBtUPF1fZzHzvrOXoaFTebW
cwqrsN91kFc+CjWGwOChCzUAnmrSOqtldoyHK/1oq/yaCRwltilAAYHLoKhNhmoyS6KnXsQFyk9t
nJrKtLYgQysZODp2H/rFKbBUEtrYZotxF9rzu9LpW5tHZ2tIdhVnk20/X/PTg8j2Q+TLO2WTeant
/nxte1xRop2e/S4G1mJBhBYmlrF8Mbp9UtW3hVrae9gZ71FqIW5DVUbbzvTeTNzqpnDddAvHx2fs
m1dbnbvxfRQaHfPL1jv1C2DlbpzKN84WcCtpLL0154RERz6H4zls0+kjJ+Jvr0i6xyeftoaIB9gT
jJILVMhVMzvWm4v54piJPjv5rns3uTkoGQcAjlxTYduq7zAKr5Y3l3l44BVGzufSeOkwHRNEagMs
I84noBeMsIuhv/gSv+cqikNvTTZ5OMJQ+17JmvWjLW17GzVVuPbF7II2sAOHkh3y5BO4tzHX8QGy
Rn5vmPj/cCfRgWvCPX8g2pHKp8FYGtAcc9odgH0O3zoj72/b8Qo1jkpikBMpMqi5QxTMXQm7NZET
RD8nJLxuDPrNG5J2bRSOt5fexA/muCblDyOvxiTEJw/QxMnhfcTgOfInTDzAekxvh9CGZa1DJtGC
2VzuHLsswg8mVAQTxvlgd4pvi9KvdllT62SleFLaQyJTOJxhnepNsyzmvIpBRjI6muvmPTbmBDQV
5YJnVxWYnkSYUH0TNUYyrbAi6ZspGh7iWaefu7iB2+JK77sZWT1Da0mVs88HZufUAzbwqlKJvRmG
wbulFix/dnmfgmGyGibDYfGOE9O+b6c6fAOuZdmPLfSlPrjqa9267EBqXtlpTbKuOB2UK8PSzSat
muWGsLkMkt58qyLMu07eLrtMWMMJthdVXcWLMfVX+wTJZqhIbSoZuAOFYpif9229sisPaLyo4+5p
TIUdkVFN7Fu3dcdpMyvYPNkw1vezV1xCSagdF1SzbqvcuM86ojwTBc38oWEQ029ptk28tgg5rgXt
hTSlHPBtJpvRs5sTVPfAcBp4l4hc/AhAsQbzHYDTt5n1/TC2LkcFU5C/pQg5wD+LEm+E4OI0mGPk
bazg2bRZem6D3gBrPNSCdsoI/3IJU/OUOPpZS19vaghjwRiOLM9awmjobHjaubFEDzndKleP6hZV
fBPnytriahDnaCJ7mBkY1k0DJMLE2CWAINfdAKNjRAFbZFVOE362thYQynD6V9dpBu/QuOEsKIP2
SsYbpuVTmA28kPnvwS5e2KwuwhssieUubKtPoxMZT35ZNPsOAfV61HCZqTfdriSZuGMF8ojmVNDC
0waKNDGsNckGtVeJBK2Z+PetMfPxzYV9N/G+wxhtu0A0w2TvyKjFm3Ry9a7x8FFK2Ug+8LHtnDgu
tF9i7/qmRsg3276N23sVc09NrK71QPuF4xcEyuzB7RbzZPpZ+sEoEHsBW87BgtD2OcFCuu4BdA3b
0THLJrCRtNfaNcMPULT9Xjkz07AuE3hhEjPcGYMHG7mMreheGz47Z8oM/ai0Pe0mkchX32qgEJpi
usN3l2LOqQrgZmEv1BGQN9PSgTzcUVNWST7Ick5YGqwn3Jnh96wNF4JNhZfvvEbHKQuTFR6SznSO
gEev7YpTwlRfGjFYhamF4q/nQe+I3KW73BTWs7Q9ALYOHEaoGRMcUQEbtk8LE9sMKa6SN6HI7/Er
Gk9M4pJ9HLXzKZmS5VofMLzYxAMAdJPGuQZdItJuBfmgtveLY2eaqb9xIrk8pck8f+8TeDXrykvT
hwYG+INPqowxfawipNawD0aO9tskTNtnby7N2xAl+xiFlrmbr0M6Nj+XJAfPgX6J7dpe57mZESUx
pqdhzO09d9XhYvjI4J1Q5EDb0rvJEHtPXeG5L/g3sKnqunyRdggQmvGy6vRt4yXqLLiyLpsakq3i
ObPRJfDztAErnrWizDw+c5VmgOg2za40qMsjbBFPgVtzs1j1LdfnVca9ARuCE+a3TAWjnZ8xoRFM
7XAMzN2DAvF2cCv+BgWc7k9SDRgTSdXKpzAcIZEuhkise7YI9rdeu8PMAmapdd56EIozcn4+Qamt
kgW4VUVkoMdfGLiZ/5qQSdwYgkqqmDzrDl6D2tYknd45tJCnIqkTBwRUgDX3UA12OZ7jQ1UP7Rc+
tMuD4becNp0J2mvDN/EMU1CvACHPyaH5K6Kj9+XUiNsRTvb0WkoxkQ2Z4Mc90ieuIZxXIOW4iXDB
C0I6JkZsxM0UBrYYTHbZviPWqrzB2EE6Th5ye9RPE4i1j8VIxc6flS43y2gjUjVme6lmYX3pS99+
woIgoKo1ApfqorHkJnFcPOrciN6nUSVH2iLka23DrsBxFQOXGis1PYCesb839NAc9Ug7wiqPp/ph
bizWioXqdg5srcWq5oA2IKyRsmQ3rew/K97u1zR07U+oggouYG6rDgZbbcvNAhy42Fitx+cnTyiK
knOCGOHoGVIKtqhmxXRvjg+VxUO47rVB7qtnlLXp8lkx9kv59Npz4lnrkv3wVFqJr0As1dWtbtyI
vIchBYzZyiXlAaUZO9ZQXVkzvfwCrz3CieVXz3jd+lfBlYicclU/NI59Yeq+1lPWrunF8U7djDFN
8xwyZ1Tma+JG41dd+MlBYWt9TpbBeGEE4HgbBWz1C0nX6Th047xljlLeCWxhFw3tiuSensL9VfSq
5yo9cKKOMPzZgIcAcyDtiOJ1cPVw7kpD3dtR1Wxzw91ZXenexeT8jx2DgXU/9MlDYRv2DU17NHQ4
Pq6SgCgugo9Xm2Qzszk8lc3SsOK44Y2OvK+9xu8x5NOlr0wmnFPdYExjVgCqlFnPByEfN4joRtsi
j2ISGUX03Hh+/3lM+ORkRtF9TjKt1+FEvLEgMX2MSdBeGHZ9aDsyA0Fa7aHmOHufXY0YE10W3ykS
WNhBR7EHnq9o6fO746JBbZHBGp9TSyarlgjTbRs6yT34drmZwYcUm9yquvMU0r/ZGCQ0lM6jy4AA
sJZVXFYkS8fqvudO+lbPwr5EedFBYPf7VeuVzd3gjOmhdOvPvTnF5XryBJnjGOvaZip9L2jIQ2yx
xy2vkcKQYE29GaSZ5AxErPplIFl7MwyoGJlK/ZfYrcOvYcya72jOaaqth4dZl2TsOIvdFp1eNguY
iJseWNZjxymPHoKMhN9iVDQm2Db52JZHfmhZ792q7L/GcVNswqWLX2eUbuB3PldqqxjcG8/lsoY8
yKcrZldZ47vBR+6zp3gjSQPSjOaKwvMtAYzkpiCj8ZxRsHh0qjB5Nkqeq5aaEm6CQ7H2rvmEPJLW
veub4hhek8bG0GdP01yJGyotig+b4oGaJppCPMEF727NnD1vBSJIvntMmOagb/LmZOoW2/YSJnpv
8KBZGwlC2gJRm/afESE7vSalUX3upgoAoedP1mPqzNWTi/z6imsGbcVN+7pYT35dvMDuCV/Hzszq
la9ZX05t2RDdZfV7XpoiVeeE9gRiEyq3cY2mXviqu5H7ldPH8m1QhXouKaZhiOWWrxOUYowhpvu5
VIg0WPTLs+akFq9G1g7+Qkm+puEk28aDaz/g3rA2FtL5nleyvUMfHW7o6AHblPc4PYcauIjwwg0g
/mw/95JQdNSW59ZjwQBBVr00rhlvdZob2KhSJ0hyE9iJG3Qs8WVQlGXxXoJ/nm59Q0fO3gAjRi7U
n2eoS9p6LrhtRKsqneIPWLVAuBpz3pB9n9QqXEaMVWUxz59xlZoMrWL6ANzYYKRNWwhnAjvkQi2Y
HedbTgHNeTaH6Av+YOvJTQoeoNha+DsYWFPm0qOQ5Vog8Wzn9UcLgNSDkjwXwPHD+aPkDEpw02AZ
Co1lHeV1uXYGw9ipKX5LNcIW8PdV786v2eTM646tORi7jgh1lJjXw9gzi0x5JBzyaIaj2Ok+Nk46
AXqKVZEkkp85awNKetrT4RH13kMXt/ZdKEN4dtqmh0TCGLuGfNODQwfJiSmLOhDw5nEwEP2OCxxC
Qi+RvG5TOUP0jky7m63Yqlo+acZymvrZu4n1HK0RPZqd5YfmW8Tj81ZZwONWKRkCvj6rTyoynZuB
G9SW3obugeqX+3mJrB178/iQhkZR4BMjU9AbDjhAw7dXcMCaO0eYd1dN6AulJDa5n2q0mE0bRXLH
yS4HX8Z6dRO5Hj7nsXUijcXH1gERYdkT21ls9LelW8spyp5JQaK7w0VWF44GmQ3XPw3v4OqSRB3d
dt8B2cMwJKFctNBvvXDmc5mFPsxZAuzbjg7sgk2vbE52g5YY2L0IP9ca9h3AqPYLuBeT0qA+bYmL
wc5r7cG5yLivQfFSY12Sb7+PLFPemJVRIJzhcTv1PlRTWZLeE/HcnqrOrE6xHXsPysqqLVBVlDwB
I/plbofuDnGt7TaObDnSAEtLN/VgAJBZ7CrZaHv+5i9EWzuhQcFrYb4bi04PQ7iEj5BawxWlRoI2
imoRKyIl6VYnvd7inF/u/Bb1LRKwPHHA5d7NBK32shgTkRHgmfySIYu9Ih/9CpLcPVZOlXwibcIq
OJUtsCoJ5L5CvLJWfKjbO+4E4llFIBnXpjlw5nLtvWzZzDo8UJBZCTmleLwbYXzyuquLeB6x3s25
5t2sogl6dzZd3BBecD17xqHLVHU06AiCYlfUX02InmtDl/G6xSnFYtzuua7vUiuv7waz7LZN6qEq
LhMbKf/pMJH38nM2ueOWjpDKXRdRQoMTzQvdxpYRn/FyQG5Q3hzu+rRuLDYess5W5rfPAMQtEOGk
YrN+TqIVytWCf5Li5Y0L6ZF78hhXT5iRc3MbO+00rxd3SIqtQYSwPA2Ex5BkK8oqoa2mPJBRqo3P
BfGuo2dGCdozh+g0iMCOPixz1IA4dlX8GLkLWJDMNxB7F2Aw4zqp4/4jcZkSLv2ovlIypB48ml6s
LbBog/khgMZs65DoRQmpI9yXWaZAZGIXlg+tB8YhGP2YDHZK68jn3pbJ24Ajb6FnYTTtw9Q2oTou
SP1PMejil1qG484Ann839fIKgHHq9gLJCBqhgNxyX40IcXKw8zu2my8OdQ/r0IOASMjD/2qUMtpW
eJpxX7ny2MJuek7aBBdN4U3YqlQkNlAacM7N3YFXYdnQyTSR+sQLjufZLx+7boDwHM5UWLrKOXrU
dd3LGdbpOgHyddb9wqywq6X3jmqgHEqAhM8UuGF0YEyTYa+BYjOPc4p6CRpdTi84RtkgkFDnm456
700fXeLKJZfBFNJ/SruwOGsqeuxUNemaBo7pJhTsBHuYKlW+wmPdvXkRIWFyrFh4cTHigVyhOjsX
r5JyWlXjnPlrjDJGDaoapRYgNZ7ztaQOYMs2Iu4z2+8uchbLZ4Tz8QIav5gJYWW7uLDbXddW8pNM
gdvKqrMBrBijuS3JnAMRcJI7cEoz9/LRU1+7Ko2+xJPKTp1hDfcNlVk1EqQV2acaKr3JW5Dxzwhj
CTAGTllB5xrDy7x0YK0Uh2vavyaCNXCm7yaAtNh07RTzZ8oLcaHaajECXQn9HtLojg0Xv9CjDhF6
V3Fu5o8JXP4N8WEu0FA5HbZTOkyUH3GRmnLp3Dal1T7UujQfxCiLu9lwCpzOYVx/WSYvvlULsMfV
UHvqxmyNK/W/aBOIx11tfVKRL4g5+AoTZk1yZdX26J8rgorukSrJ8Fuc5ssr1m20sjHiwLYazHoM
1/jKirWaJde4pRmyzzxtwxAUWcxOgOo53bXUmH8bje66wPEhcix+k4v56iCtbrkhvu8eo4jyKPAv
gNKRs4O+9c331u6biGYydj5om8YnZcTVZVKNe5x0Up/xUg6HRUb9B90q8U7x2Nar0fNJzNTdNH1X
tDmsm6xfc4fIaHhRXbEnNOweHdbt9eCW2aM9UU5mCECcSzr370VSyypYIDXuqsws9tfpPGc0ndev
VkUgYaN7t3zgioT6XRXtp3SQ3sXjdPZtqVz3kZ5g/tGwDrV6qF90B6ODsqWZcUfstsaxI2y46XkN
H4ux7b6xA+Xe6grxeTIWS4ZBwXQ+3pRtdN/nbounOnWYHrC24KqEJQy9pevuc+lmp8riiyhrjSkG
Uu69mrBTrcw5778uyGrXDXkQN14PJ4WBtYIRXYzZQxrBxQyo7BLVY8jE/DKljNgiDjcYpGJ1YbhV
HDLTih5a4VSBSCccAEPNVcMum03TgCynnCm8I1ygjnyZJuNYG2+TRUcI//kShUO6seJyeuXK7N32
7rLcz1P+XlvOOk+vfUXRNROS+DPexDl/jEc57prSLYMk8h/nuBWbVGUOOyPS5aFrTYeaAaqfNokw
1ZVqzLlCuXx45qpb07hIsgnDwrgduL4yoelROIw4Dw8dx/avblSq+9A0gUHZcmoebA703AQyxxhW
lA1SaTThLIwHR5LNhLP8RadTc2a6+g0bt0hXFXGuO5ze7s2oSvsyIWd8LVzPduDsh7rjusv4Jup5
mkZT71lVwytNzKOiEE0hbXrxUYFKgWZg1sTnKDSEVIPs3lxj+uOcB5SM6FNvuMVnqdmyIMZwZIlQ
OFNLjOSrmbaUq96qnpmndoec13cT1R1xuggQs+macuMBay93WCxsdlM9MbTquvyrkmF7w+yw32Rq
9j6GtoBFZqQZWrDlfTEBxDYUQhCjCGBE+Uf4JBxk3YS5lVx6bjCC8r8T8AWknLyWa49pDnJv5bxW
jl3YAdZ04xBS1ray0Ugo0kTHuOkmh0XOd+tqIgUXPToFMx/pW+NT7E5Y8Md5eoPu1T0RVgG4qtJr
1RJ1mf1Z+YlXrhayEF/rlPnlilVBPyORcjRZcu54UF5YjIfec5nDpJ1ko0m76AZLtvkGo8/LN2MV
digpMxvXXPjqEJauCYZEguZhDwYIVQEdm51Os3MVujw0rUPsrtICTlMSZvNnsC2CuU3kb4Wo2POx
dnRYhMwSh3YIiXndufFy08chq3c3ivSIAbal8AviNADk2f1G4UuMlmcy8VulU8luJeIqNFaWPwPk
yOMI5G0n047HnF2MhLPCBK8oZqnP/jTxbQjramiDRJjpLbKtT9nQMEcRRXqaBneifjM0jAMie+6u
naa9/h/099CU08fiEzNbmmRGBqJukBeO8049Z3FbMUG9sHlxdqEkh5IGh6390Jn5tUhULNMLejMx
Zug7T/p6u8oJbm177U+0xDEf3IyxmdJ8l5k3RKjEe2qX100s84kNpE0U2FZPnMbBRRD4iMOnJTet
I0SCiQIBJt7SuorkeVRC+27EBpKfxSdrIPeejBdqP+5hsYzcrtsXwmUNhUBFdvCMwth0qdWux7ke
vluVk8BubuJbcv2sX1jt165rFmcwcyIIB/4NlERH9KZvzRfTqGOgSVF6Qw5IbMqOPAjJqKGNA+l0
L1FfLZdmGIpzmZJibIlkbGwR5ofMcs1veP7pB6285pz3ZXQHBIAG+SomIdBn4/Kt1TLaa0K6h4Zo
7J7zOjJxCQB++7vh5b9y/gCA5H//0Rz5b20/P7p+/jeRIkG4XbG//94bdHptCrxL6euPvqA/vuoP
46T3m+OwNOOn9f9u//k/viAbX5CN/5FJqYkD+QdYpOX9ZpOtNtEV+AuwrmCF+8M4aVm/OTh4fJ9f
sfkX5f03viD8RdWPvkmFcRLnv5LK50/CjvuzO0e1DtJqB9QekP1+LuY7+tk+LK/YDl26Jt92AV/x
Udtds/rhVfrDn/RjwgF/xK/fmQEVnijLw23HCnw1Rf3o2ERxkYtaMthRod8AHHTNFccIzpuIPZbG
CLIw1oldIGcrhJXlYWqrKTtkQ7TcxlZbfWDmowCHgxF6TMH45QWXT3lKhC2IDMeQ0YEdOqzRZjt7
93ZWTy389SHaSicUQYQSvlvU4B4N3REOpIoOS82McSGbtbniGHc3akZYOFi/JSYxqj71thT/YVox
SCi7dYHBJoeooc2NMoR5oqEPIBs+PQAQhIegVA2SAlYDzg9pXuaiMJwZMiTjrfQSYs4e3w/YW7ub
AP9fZodtuUrOiUzam5RB7WryF2sJgDdyF47TmC8e5zgN8pKJuFSG/alzW1qW297S6Mt+c3YKAk2Q
8hg004iTw1FBf/gf9s5sSVIkTbovNJQYYBhw67t77Htm3CCRGZnsYKwGPP1/CKmev7pnpmf6vu9K
pDI2d9yWT1WPOv16Simy+DU1dviovHFiipnoHeDxIycqAn5M8ncRcvy3XsQuvLRWWgxlgTvB5rSC
OwOb/XdEsp2UbQ1tdsvoKPzstWGFpvjUAmYZipdJLB3/6fCM7SLtckajAqrYVHLO8R8564QUVos5
BiJIrjAfmSvuh3D6JYcz1/LULRQ/eScAVyR7J5+9e8ymFMfJTlyn3cQtVU/V/RSv1ULQqdlRl8bv
L8ov4eNB9qmOtRym6zEL+kNiRWS6QG8csrRfrqpp1C+Qh7irNLqz4p0PLPDVwVSxc9BfLCadnN6P
Q0Bg8T521mNbInMwiMVMZG03Vk25lZ0Oe/IVgzzReZSuhl+xvNIjJnKGNH7cI6nCDOCWVwTzHf8O
q5ljKvuXZ/lYcuNhrPaj14f3iTLYnsRoxR6DWoW5CJPamW4EqTYBdryRwC2gKo5lmIzJeEx6V8fa
e/Xm0WdiDVkq2qmxggU59QHaUduRPKp9PZ+jsvNpS6CQ7WYYkv69qRwepLwR32JRg/Psff2TVyZ9
7PIqvPNzjwrQZi7map/KIfkG+z3lNk5Q9uBkFdIx0YDxnvkAP2VxEvvEBDvst3Phy3di83CglkxN
20iORYSNL+OGxdh63gMHdw5ZV8xPTr24j5UdcPk0tkPwOivXkhV6HKafTemrGNex0Q9jZIfvjP+T
N6I5RbCXQVvfhEWR27sgjNXruN5SuIfb0545w/RR1n33AiYK65NTteqjSXFaE3624MMBoeSuieta
bEmF2b8srLFPSU8Z1+hl0YOaXP8bNTXMOBIXat6OG6h4jgm1U7Jjj7neD5VXPtWqkftuHpTZxE3M
cSkiro4Fzh0w46VJ0GP+aAvL3qnJR9hPGADtE+EERzsZgYcmMdynsQ/EicICTI8J+NLH1oxETcMY
PXbhDs90GuoKoxZqPsymLIxFM9PcEfzPg/yVuyx5WqZD2VrD4tc/haDghPipW54W1LAOs3rm0y84
OvSdw6jnuDaUwFR1FmT3Fk23907v4xUgH4k5YoFX8JDWgfvKW+ptaq1wh6tAq30kVfsUQ0ncSS0N
Q0OvfCjs1YmoO6U2mpTjN8rpaoa/LEPfGQOpdxZz3tFAV0y6O9+uvC2jMyvcNmOM0yqeNEMcKyhp
eeVDztmd/sf5bOn+MsRqJmEWZCElnGPFsjBSBFwzp13GW9Mr81pQNrpsF1lkwDDHELKsgHD8Pe27
kXP14HkauqtVAaWYRXaTIfvdW16gX4J58qi3gFAR7CNTyW+mXPRnEy8tZIcEWiNySbiOXZw2BqZX
JIwl4qCd47MdWZxBSY7lt2UFjOq+FrFJ9lKF7qUeVZwcO+bQ4WWm9SbmXmLz6YJam1IG3GTWh4lW
MReCU0sdlFNF2KI6jZKBcoQrDaTXzuiFfnqyrBZ+qj5rgSjST7T69ayS3mMMt7smqmmjULPX8U9s
Dx/c1AbDNa1dJV8SLJcwA12skTlueJLadx8h58bKW/91yNryMpZjfrVkgoVYUFl8WmeqLSP1YcZJ
aLPoUTlsbmWfB6hzOSv1gmLDHYvbNnZYT/ooIEo9TaSPNike5BKxWOTokIPf/p6HMXlolaux51ZZ
vycSZ26D0oBQ6TQHaVAHb1Udt5c4Dyi+y3y2nVitOV38hVelg7nC8imX8/no7V1+84+lB1Zlkgi9
QngzHjnl/ICiX9xKSuiYPpgIayG+edABjsa5dYriWRjqY1CV8GX4zWYAZDdf12rGk89EP3kTFOHy
Rq/Nk9sANiQlozZ/Gw7O+ZuLevvM8qvvkenVMYZb8r1mf75WTjzR1k3F+vdymELMiNCrFFEHtQ5v
M59yHWeAx7HpQLDwMaTn5d0MXn8vmZXdRhOUDeF33i8Xfsg2iNLlxeOD9DNUFnzPXgDIneri6Mh0
1sBpevrZ2qJvP5cUMNmWUanvAaqxYJ/ypjkPuDWGJzLqw3kQTl5cN+Pof/eGJPm95NAZtxBeR+4S
BdraZuCa1gI4nNCez8skVyBtHAXfZlurD3aX9EHZdjKxbOkSJLUztFhz617j7t00HUQPpqZ1s5Uj
HXrUAlIbubXcVu6ovfR2k1t0fAhwegJKzD4a+jVu67F+G0smXVUbTbsks6ksLTtaxTgYMD3FxOCP
V3Mi1ZNi2mUYyK+oB1Im2YFJvaV3Ja8E4sjc7gdKaRAKneBn4/TuVZXgFsc2giENQChDeghk6nqQ
9veGdpyXfHLlD26/YXHialWTN3Y6WBg2hpOEeYrf/w6UlTUbIMfjsJepFzwKV8FTG/AhwIXL46jb
JdOQ8emESQ5q1LiA8ALSwCSAMYZiOR0w5F4No6QDF2QNKFO7qjgIrYhpiRfv1BaCYUKwMKrdsMHb
v9uc2RTrdIHHpq3AxlmDnO5UyoV1x4RrBIs7Q+v0wWO41zkCwyVtUutHlLa0S6WexBiat4HYamqq
312cJnByEeTeYyQ4tXW7OUMjdVkFQgxhhi54y36qAi3lKR4xibBRLebFYIpnM4aI1EHQIGOF2gkn
Br4GPLkbNCb3UaDJBofCUC7HdLpomFm6FWMr5fifANRa0GvRSv4tdm2jw63b2+rgkVl/M7QVbTyL
5NOmjRJ7kwOqYZC6Ahbo8hy3YRUh9va29XO2Y/1deNuqJ0RvJHJWxmAN/TMoMXBb84Yid3gZi+aH
MdC4o4QZnYDq313pjgJU47zDg1KdqJ2jmREbiHzImKPiD60CDFJtAU0mkmy5Y3Q/R55Hd90QLDAM
SlQsAi88ie5vupSyfQs7hk8YhJx7f2jb6yyZjMV3LPzHBf9JvRd9mDxZUL9vnMHw+vGheJ2kYbmi
LW+pjkGXzW8E9LvnDpQ/QDxMP/OOtuHORnXSw++Q0+BPmcCs3qDWrvQWFz/6tuR289sNOgDBi5Uk
z1LPFFDXnSNvTOdiB3WsJIMSw1MIY95Uyc4eZqi0lg80YGnKJ7OwqGBOizSCVTn7NH1UMROZqO8n
B6+6O9Frlk/zRfIgcujFosE9gJ1WEM2kmVPObsI2VjXFLT0qOOxzXO3i7LVFCzUSoUjnDSzsGfD2
wuyKqZW/ctqa1t8bJzDbOsxcMETNYMiaVcq65EVEY+M0p4B2/QTpo45GjLtuNHMSZKNkUgdrB6N8
bVMkuM53gdamuuGEBDaQl9aX9Yvdl+VBM6RRzJO1uKLQGtt831H6tsWOUbzR+Rp2F7rlkl+5H8Nh
afyIUxGOY46INopmT4m0U7+KwS2eTSeCT8jH9QkY6QT3kyK1NY3BNQ/1N/vIcPmLA9dY787MOTVU
rlVROe/Ewr4KmXRXmxBNH/mxIkKIPwZT9wa9C5CirOvmoQ1MNm4xOYfepk0XDtiDxTWnk624d/y0
sa+KoAVJMbdSPPvQLDYgo35VC3Ih87QAEaG1fQynY2lht/BUbF8U9IPbuh85QiY9BQiXtAzEJWop
dWBZ9vJzn3ntfefGJBNlTgMAsFOueeMEWSd1pDhDs2TEbdXZp/I7RqKuDxaEW7L3oLLqyg5gOJmm
PpcwFG+nJH9JFlXuei5f+5qhddVJVKPa6neOHTtAiNVdxwfgLrWiAGtur7HGScG9geNHW49dspn9
Pt8PM4F1Yh3ZLhmKYTONKEy526bHqrGrByP78r6c2xp+D6fGdS7dRvyYWRbXNRyyPXZn+lXnicPF
BGXSDb3uUNXFaWBj22acL2PQKveVasWrwI/ascBmIeit7o1JNHbl1FGPowIsThHmfPCq6c5PrMns
HG9Qp1pO4TnyaSXgfOJAxfQs0IohJI8rGxYIXsE0WPaiLarbhATfZRlbIxmQhtjfWbx/gbg4NoHo
fus5ye/jES9nP1bhd2oTg4ufOO43pwFiHrCBbn1eoKEtqPTq5YDDXcOV8/Z8x9y6X5Tr+9uJojFO
vEmnn0tC2CeniSAtGyrQnt0ysa4wZQ+bEaH7RB3r+KJp/HqPBrHgdhSz9Xsc/Kp7p6yh9DkApJgD
qggk3bHNchOwkmK37lNaeomk6+KTkAbuETvhZInblw0sg53NaQCvkDkU9DlCdwrCByB+QXawg2Y4
DJ5BfEwEfOLtkILM4prJSWGXr3umDoi3blwdsFAFSBz5jjNSd9Ffy07Pr/a9V3IZARGlkdihlfJQ
4LtdvJNXck2gQtqtpq1Td4AqEUhRrN3KRnWke/uX9lLM1RKpdd4FuALP4RhO4alsEEe2bpVwiDZu
oX4FsUuTFZOcqw6E2+2Md8Pf0ufMwXSwM/WzLWVfb2TcpA+MBepTP7juo+wFbOs4ECyJUaAMnhsq
HbZad8Dd09KfvWOaRlzOiTyNqDSjI66HVusTRGNOT31ASdOBZq7+Zz+Dyzz+ez76f2nSsZVcp5b/
ZD76q/0o/mE4+vUlfw5H/T+QWoIwtEXApN3/S2iSOCXzSC6UX+Fw1ydX+Gdo0nb+8AW3l1CSifBV
6NHl8+dwNPjDYaDKcNR2+F6+o9S/Mhx11Eom+et41AdN4NmeINbJoBHm/98PKcMhsyh6tvO9ixdE
RUDjMTapIt1iNBuuq4z5VYTr/kq5S30irtef67LNiy2cYH2T5Fb/Jg0nSYwNSfaNcJ3xeNCrmqpv
myxGSIsxcjADrUNMz+UdTeMqOI9KmfS69Zr6p1y84Yq6jLC9DEIxXhjqdBgPsaT9aQtLTOX7npWw
2nSUQ01gJYVCrMOfXmnPK3fBGChUMjdrsR4XJKc2M8IiHi6may/Eh7J8X3FZuPboH7hauqYdqIIW
6q1ZjPMWEdB+7hLL3EEVoxxiXEd8qoLqO9qBIj+VJx2QuWIILxisl9uuMhgHC0tgshhR48aLwwlS
7E0btdZFUTj5JCouUYc8D9NiR09ig9s3XgGz2IH8CtIl0LS7xMdPiykeVAw5HKngHjWmMHdqRHVG
qJEUCDuRBEin6TrwCTnYE9wkjhFim2al/t2Qkrp2Bivt9hiB2ut6pq34VCcwf7YKEgiXB5PNHL0c
JLIoh/x94LRV9FvoW+xIJrS4cSqj85+5VS/6PNO3Ve9mmgKIa8cq+CY4c97llKCeeGckQflsPMEA
nHFFz+G9Y8aKNsgwa6d914n6xXFdiPRLVk7RUcVtftHtJGJuYO30KnTuPzClUz9Z1tx0P6jBKzdc
SXlpgjhYuI5nqtgPXue8NUM6vHEwkEQqCtkFxF5KMWyl7zdXWTlUTxJvIKnFgHofBGIbrI+c+mTe
RiXlmMnXwul9LaLDup5m68rqrWsspH2W23FdedlZWISbZJ0d56FjbrN1lQ7X9ToebPVLfi3i0eJx
QmJGw+JOuiI8y3FFaTdfy/+w7gSQGNR787U9lEq4eIsoQKUG6WsLIcbAdjJ/bS3z1zYzfG05mKMp
rf3aiLjIdfiClilnNrVuVZDv2baEboff6msz41tU2IO/NrlS51AMnHXvi762QeFW0UO57o0r8tsc
GLnxGTRf2ycaB1tp7LCrNniFP4evrZYhliB36w3tjgkiM5GNoeqEkL7bl09hmKLLcfuguHMsSufL
uddmr3oJbwt/mPbV0BqfzJoK9ZVwGBsMINngTZjsJDqRvVaOEUeQmsvexz11TREv5b8JG38zOSTg
0tz45mYOq95+sNu0fm2NS9UowFvixmbYktnQ2UWGJS7/JNv3RTePR8iQ3XIuW54UjBPejRgCLC99
UAnDD3AT2Ij4avUPYGPLtTNiBN2iMJQDhpIon189GZBcbWa6LOINRHHankcQM8R12zFj/lhmefoj
sihDNUOlfuS0wugdB3NAr1iZquUuzSl52dp8ZIZD6GkldpxaJ659IY7j4KxC8oB3LkaE5cYC9vna
Q+Rl5uz2HieUibsCJaiJM/gn8qYs85uoS5jGxxQ7gyxtmg+AbVcV+c39l9jLzGLDUNzl4jzIre95
/LWb//Ao+yJnPDT7nJTWfeeM/dHWOv+3+Pl/rMlzV0TH/7y53w+fw8/kV9vOf1U/HUKAfNmfVATn
DweNU0L18xxkzBUm9CcVwaP1zhW8V3/u8Pyfv23w6g8fVMIKUaBKhqAZ2uCfG7wNbAaCghf+jZfw
L7Gl/4v6yXk9kCA/gA8J/pODxF81yP///FiB9z1CaOqwcm5gEvnbgnV8kzfDdIgpFNKV+/Mvr9R/
I4D+PU4L2fIffvQ/nCwINJE9EB3sYplT2pVgjsTpeNJ59MM0GEz++U9z1r/k7w4yjmDkxInKE7C8
HYcX+69/aQZGQFHSQKwFKO6F7uV+S8xOrzGL/DB3+psAbHvknaYToBi4hfkjW4AWGBXV8G3EJ7+R
S/yalfk9H+QbyMJbdyi8TS8wODcR3hIszJu0zq6oHej+NzDMf/Prc6SjWRGchOfwQP2DTO206Ftq
RJlhblafGNkjEtS9xV41ynlv9Qu8a40LA+FyuufUlj7JyLsjkEXE0gHcL4bmG50XQEED8d2S1XXi
0qJV5z9iH1EkKdNz36DsTIZ/65SsTVWwUM9sAox7SdVsg7k5x40jnq1KMGCPoLnUkKNJCm78BRFV
YJ9JEfmSR+llp3g2P7ocMxZqwshUZorGfkv28MFP8keNOiabT+YJA2bUzfsETPTozwrvvlv6lCaF
zPlsIkbAGuEhJKo6doz2d17AHzNV7qtsbffooKo+q1w8VBaJbZqjkkfGicU1g+35Iyt7HwNmRngy
6dsrJ6MoQpJ1pOjcDtsdBpkUTK1vNpJl/ST8PD6QNpp2HoeaiyTneh0E+bKhDbC7N0SjT0vZEVck
MfjuCsfHTpvWd6RYKuIDa3MMEsL7lEdkGU3i/NAebVh66AUHxSviSObWCFTbjQhw/BGZJmtMavBC
Fmlhy1w4CVX2wap8/Zmm2Wca1+rM0AQ6rdOYA2gRYLG6RTJLLlFekEtNLo0MX+JRORuft8ajZui0
htC2OovSk6EvYleUXXMDOm8/DfUz047qfwHwOas54a8fp8ATcv0ISx5JB8DVCj35C8yN6ITd6H4G
Q18UeL9Tb6mrrW568ERVEOvjyjt7TlNnul6SwXpPIs9mkhA0VKilTX0NT+tlcsbtMkacxoch+DVV
dBG5uSiOnRfBjQ878Zhg+3/rmmG48adI/P5aEf7t6Hn+592vmPNWQOT/vKndfCQf7UfHB+Pvrq1/
ft2fu5r4gwQW9hwun4EQkG3+c1dz/uDCiJ/H9gIsNVy4/nNXc5w/BNM7ZljEu0N2AL7ob7ua9web
4MrBc511+wz+JRiazdb6D88nRCMpWfBdN0Cqp7/h759Ph8jN1DsWUXzSbeNJEXXc4TijmWZJCP7l
fcjIrQTERcZrXFouG+ug1P6amVr0Fu4DyrTQETuv/lbOMgxvOR2u/6ICQOU2yl6H5O4ZAyUT2/Zr
elt8TXIB3BT6wQO4/gY6Po2fBLCP+oF4JHnMFEsGuqeE1gvvVVEoxALUYn1MNNDKflEQNNSIbkDZ
FKvwnyLIjPnAp3axiu9J7tm/7ayWJECUg+ycD+EZCKz16OQEagj+LmO5wyQqPWRfu8lh0WhzLb4G
5946Q4cNZC496e9g13r1GN1GX2P3KuCY+Yja9I3at5mCLUsws298B1XRRIp4ZppwvF6mVmZU+rg2
OIwvIQAfMt5NpqgkjgFDoAEEFmjR9ktHoJma/jYzZikWfZf8ZIw/4kU1nXttCXeOD0sXjMXJCkBQ
XNpJDwnkzo7BwEon05u5CwuyBKsy4vR2zrBLrHsGV9hdv4opZpVV/ILIm90GyQNcaP29Q5nx2h6N
psNADVYyLD2SrTi6N/WgCH1R5vnGd8PzNMbtfeRZQX32Co1OtHxpRkzf5WM+I4TeVF+qkioGGW4w
zKA2cYWhEdHUQOM3mFC95Ub2cNkusY/8uBVmoUejxXT11gaLGY4DFenjDTL5HG69L40sMI53X02T
bUhkR111HYgew8sYFph6iPfaJ3wyqG8dZqfwLBgJ6CtkNGQzJhnDSEucqU7OFPRr61rt1Pt4cfjv
/kvy61xoJIc5z8fiLOa6m/cYlx17n/iavULGemKekVjFKVulRb2KjNhAkXfjtv2su8ieLjx1uM7E
l1w5tswFdp5dhxS8iwGYcEekuln8pd0KCx0RpwOhGPgF1HCG9jCdoHfg+U1AaaP0hxiZtjPpkgs1
aSCTUt3mgONTJPXUv/fR4V+6bgCd00eNdeZ6nVwCY7B+dXap34DZ248IJN37QhL8KvTy00iDSLPJ
+dHOU9Ry1qAAMe2d57SN0a5tSj+b7SD0/JRW7vJZJuVyM3qiNdsC56h915KcRxevc8cAo1/0eFpE
XN6QVG37E8wtfB0iG8vvRPaaO86GlMq2oQZZEYkQ1JHlufK5mRPNxdIpVbMJrMDt9znlnteyrxIP
1/KcAqeYqau6GlzWhE0Xl/Km1faAaSOp6QxxszJ978Pamfb+DBFA0YWxbJllU+9W00a3kYGIXq2l
iI7EpLC7TWQ0C20Nm6JNiHJGcnoL1/aEpssC0tVkob/PRcznRoddf4f/CdKELKm1FsX43MWKRBak
dNaCIpwuqZTuPa4YNAoZutlpGGvaElO7oClC4FE+NaKRL3aZd1cwuON3L3eScL/0PT1LpEA5L/ku
aiTRfA4mKMrJj0lba11bEmDCgYYw8HgUzXPKyOPMTFvilC8qQpb4vtyNjHwFttpL2ovbLiEI7ilY
XvHvVT+Jo47hYSzcKT5C3KAgpkQXQ6Yx454uM3ObNDXGdq5MDCAo2DNP2qQRZiNkI7lLGHh3uH1K
Wk+UE+nLCFlpOE4zTudNtwid7XJX0rlBIBhPkSea7m0kXHnHnLzGGI/8bMeRX70EGZmbnZn4oGxC
zCK7yKo9+iXYBoOfpTW7m4JF/+i1hsczeYPMK370A20HgVNnKPB5ewiHpNkxF8SPEpali0yY8iNl
nDYnJTssHx24O5b9nP5dhg9h9VwTIJNbG2z7fpQU/JWzhStrzldbk2P8cV+RHjP7QmbZgxgAEeDi
pECDdKMnLfoUnOxDjVE9nuJUDPmNdKNlG8QsOdvMdss9bHahNsvQDvdRmsfPiGdVsRvjye43nUuL
AIQg8P6b0KssBpFxaF5CJpML65WdRoSzmzrFECXVQzE1FuUwcwW8PR0qrQkVrcqC4yX6MW2oAtmy
NuBfQaqhfzVhLuucV4pKwUuRqj0XB4oNbT+drui5Eyce5sXCwIXXFZ+9Trcj54Pu5Fig3w9944Wn
qsjST0UI+40BU/1gjX1abkDPLz9zaRUciX2PJPGUDUENbyGlOQa8wEIvtszzU+cVGNtSyqApV1WL
IzdBsL4IFXlxYfIyuwcVNnNAaF33I2jQ/UA+Vfp5jSPf1EIbuSMKQexD5rgpwiHAZgDgoLydVJ0+
ukEyvpoZqS2fmTYdhIVDl3w1pW0xyR7g+eEyP480q7Y7k6FKrySkRp8mxVnXN3I+EQC2byMDemhT
WwaTWb3k+CYrEy81g2sCE3Y6JdEdgIhpPskh0yE0IYWyZRkoQJhWwu9QZLyHzLGuGjdLCa335eNQ
hmiCGeS0XYQseXRZ5HZRPFqnjMDA6vj4keli3JLuU+C5utx991rcQ6j0S/DWp4P7G28TSWg5UfhO
8ikhljvmZzGZfMMasyp2cfY0y4yuTEMCbUf9BzHNyUkfiUL5F7vxhXMc3ZVeGkNuKTAkbrQdx+mW
9uoEQwTuRW5jiQMhxcNp40fLxWog5UGeQQOVBd6w98Tu42s15lTn1AmsZya9OF1DnC8J6Ql7W/BL
H7OYxN8GlzXsvCQ2V1ZiYrkVyvR7uqtmf2Xh+rdjY7XACGX8KY1KvkOnebZsNlZq0WNJQfXY1od0
InVSJkrQLOfTaoddiVjSZnYXZzzLqlc/GivR4mhXhWNdxiw72xLBjQF/8CAdxtS0NdnPBVaxd89G
Grl1s2b8rQK/MpwNcpoRVJ/gx0syY2E0cRaqYuZA09Bgm9pG3s0n2j/i8JN0eTq+1vj41sicXX82
nivaB0OTpr9fZybcT0vGkNdpaPMyxnE4zPTNRPrTjQvwFRA4k/Ec4eCBHchxDnuNXZfhpYK88NSI
AGUzzS2MF2FXu+d6UuXy6LbN49hpyBhe24ywNUJDi4nvYl9zl+QG3096Sr0ZWivVBv2xTdiy+qIv
0dFlMtFb1YDk2XAQ7+/TpU3OJZP7S5VZKexW495xkQQFUPam3uPaAmlZ62IfiiJmL+cM8tni8njx
Kj/ZMzp3dhSFOBsW3uDVos4a0CtBqv4cVIWqPmYonvrIQhs+z2kmP+lJoh05lm11N4Rd8zpAjd1m
mNLsi5vPxXXnUJKyLZrYfnOEtF8VZ7XbDs4iAJ4xxsRB8xWIjBLk4B62kovxQ+tm69Jm8pMNstix
ZQVf5VTuWx91H07bgNkk4U1sP3ZyTSVS07zZqQes0A4Tn1KeiFH4lhra6rWJh/jZ1DnSOPA/rv+c
F59MA6Ug4ElunG+wbcCcNUthfvayJLNlEQe3o3Q/cSb/sCfImsOcPGW5Y58tx2XlJ8pF525DikGd
xGKPy3WOK24+UPU5ZLdpPbprRanlZ8SwsQufHIysJIdc5GHWPJ8Mt7C5nh/SZtCHzm/cCbBe0D93
wEu8berEzlOa5XZKJpOtPJlz/djOXfzIs7+clhHXEfFotvldRQ3afRqkcht2LjP/onMPjsWpAGbA
L+YG2Bv0ahUhDpd55y7DL/dWwh3CP+VAKoVRsEI0F1fYNyDzhntpJvw/9JAQQUv3jUrocC/Deu8K
1W3HbnzPB5OSjO4wBJJy89tw4yaeR7V12D8aK1qOseOk3zSvLazLicS4SyV2fUqt0FLAo2Sa7oVK
EGKQaqzvyIyDdclWiNZmYOj0YtyRAT7JWZtWr3bEc1wEoJ8jNtrbWK6Xs9rv8prdO5yeIOSAAa2R
uHgLveW7m0LUcfgtFOnrBJ5NwOutd9LV3VG6LeE5J8Z9SNmUvKPQWDxzwGWFzRh+HGYytJfIradf
ZdTMBzX7xRk+15Ke8OPLGy4NQXRpMu38yGrt7qijLL0dhwwMA8kSIoguOem8CVQMHS4Vg0/exYge
+QYjQMg71uPvd/Nsz4eZAYyBHvKDj6+67vICpzKsBXZ3xEoCbklS6N2YwDcVEC7JJHvlnSM4DO0j
AAf2BQBnpA7ciAU0IapjuVVxvVEQnGm0Z4brvHuAyWjX6WkU5LIh5GoZRmHiohSq+aWNOlsidrhh
dki7Kvkcm9Y7j8lgfwfDuOa+vPaUa5b5xcF1QxuzYq1h2rknYgkWxgvADhJdhupKZg60YOmo7l1a
TXS3zjCPym6TV2ww4L5jqrvyQ5QV6gGUYt1dmhrmyq4L1yK7iEQ7HO8J2RXKCZ6d0Yk513hQX+4C
HQDRi/s0/ExhdD+5XfyShGFL43WmcBlC6uDRXfwDhiRxpJ00uMwdBa8Bw8WznlJ9748MKXULFXbP
3lwU+zkdusc2oqjbbYGU7NIq7X5mfaL6A3WPfXvy+woEtp1QhNcv4x0JGtqpSqbZ0JGoE2KTJrT+
IXsjdgXvw28MU8sjISDSdUWqrkkvUM2jAYOVSWRuKMK9iv0QU13h1TAcmnI85VL97AYOPLmKYeM6
FemThFuS04hjlxWceEflvtEw98njhmW2RGkcVPpZjGl57iKoeEUa8HpnnJDJ9tzK0tKX0uv4hcZa
3wdsw4e0b+N3zhQlgMV0Vk8y/6AixtuTx/E46FfuLp09WFmy9s6g44g4614c2wDnIAsn5ZCde7TT
yv8ciBacItHKs6vz01IFGFfVkIOFm3R1yMrWfWpte77Cxyd+hK2srnC6mA+cLjhvohzjXdjPYjoV
eQ3+iUXS/FxQlQmO5naDS94LCHrTabdpHP727Wis5sPLQVvs4RN711B0mGxPnOlz9ItjRiPgSeMY
5jHR+b0J3PlW4Vaj04QS5mtDyAmAkOmXX3PWoY7SHIe/WZbB8+wpdT070JNVV0nuxBTtoqkL4Aky
+1VYU3tsERPXzeRbExJj2ixUx990ikW0V1mdbTVafXQs6zA+EQI5NgVAvqqn7c/GvYTrCXjbC8fd
hsgH+sV2+rpz4DTdNZ2X/w7cJMQHWS+P+CWX73YRq8eqJixGUXDWbRtHzt2mEoMN8J7lksnNkTa9
s6ES7ZiAq7uDIWfzB01kkR2vrjjsgM49uAN2qtjvveux4H46+LL5Zlpx5dszFmHh+d5jQXfdqSnb
6QGiFIMjkZQB9IT8W1O44lskSiCQQ9veYr6y9ygyzkF7mB+Lzuw0DMwtJxrvPmk8tff8NL1osLaN
Ow8nMKe32A0Njcm+vJo9x+YgFS4Y5KjopirJ44484hvp6GEc2YxB4AqOd0C4rlmosj0fmeCtsoCN
kdlqaDx2SUjjEHwm1ROOxxSG3bNSU3cwXY0foAkH7y6I/QBbfKbmG1NYZs+KC4XNrYrD3MPmXZZY
O1eTnel+zzQNM3LSfbeQWJ491fQWd5Wle1nGkNNenLtvzZSJI1Aawbu6iJOmAGTbVnG/9zsiapdm
An4vTGJ2o+d5nHOW3P8xVcUH9vt0O9Uk/GkNKn+Nsx8dWR/qR3wqhuNQZN0WLtAkGZk3Kl9xg9gl
sMn/x96ZbDeOZFv2V96qOXyhN2BQE4KtKEpUL/kES+6S0LcGwAB8fW0w4uXz8KqMrJznJCcZEl0k
Adi955x98riu6ExYIFz5eB9XubipIRDCwWIc6KAAMd6sQuUkR3Jc5YHSUwCsnXUmRawCyLczB7Jw
OruUxYG06BC7ZQ7EkcVJim18F49pd3DHmd3UVM3us2sWzpuTaQEoBp4kcJaOounq3cS8gTuSgy3B
AWf6MSe59UQKSP+Ckw2Aafadcz8nu9R15o5GagwLp3jAcMPvivewl342jmHKjWbJcc/Re/qKYV6c
M+mYe5ICzabVi266o/oTV/xEcNPrqBmfJokgNc5OZHIcFuRfqHvEgegxtNzpVoE72cH7E+d/CI3/
kRX+haxg0DvCLK8jTP5zaeEKZSGLKVv5VS7/5Sf/FBfEN3Y8cPMxn3nYzrx/SOae9c2ymBcoC0AA
/8URZzrfTE94/AACO9v+pbjiT2nBNL7hgzPpWRFIFdx1/y1pQRiLcvCr8kX4Cf0CXx6/jiaYpfb5
V+ULz1EKiGyad4VhswjNe5oLOfwbVryRvdPTEOuE7osktwMSvnWTblPLjOBAxCrUWEu88SUm6GZ4
ULryifY6nbPtmHlP3th3W0PF3T1IhnJVGuDkUwfMwqqe8mQf91V55B9UrDEuqb3ySeidJsdT47Vb
6e2xjqoyuXV6OAGAONgEL5O3iI+tEERV6eHK7xlk2UDNxTTBixazhTwIi97fVSLG4w7iF+2f6Dxu
LQ909p7KQ4fTwxCm90PvNPtm0gQxw7F8dcoKMGAfGv0Hfxw4KE+SdnUjq38UEhpTAJiBYKQqjHCn
nFqQsSGJUa1USYbQsSkV3rZWg9OFK5KZB/p9cpN0xpJ0ipsluCzqWb8ys9BablAjZSGpB4Nzn6L4
6Ht7TktghK2dCCjRihxmEpfa96oPfc5o+ZRcV2FFeofWOyZAjBlEIyqRHEdT6DPMjKkrAzgtLYNB
20oKnAfyQ0BB+7fczBTZTyhcn+asWV8xcSeNYoC6vuZIPp1GRT/sqnOYNVcwcNgLOfWY7Q3NVGdt
1oa71CKdsXigU243ccTxr1Haq2zsSVuHjSurnd1I96yZTggH0I7oGJjlQOaKBV7+WIEphMjV6R1b
3Nmtq0DmnvHl1hCGA4qv87dZdBYBH42+XIK3M3b5pKWIGNomcKZUoP6s+lDzj0ZS11ujLoe12crm
XE9afY6Htt1bXdXcxzyhGJ0ShzZ6fHlUFTvgPzOnqN+hp403+pBSPcHizAwqenWvtLYzN66dMVKM
8Nxl4g01tF2Asp3dVDRuG9M2htDyIqZwOpEWxxbnZPJ5rKvkBRG9Zjswe9x78cC+FmE3Pxigoc9l
5LJd68YBqoqvblPCshswhRg7yVOcevBiQC/4eop8lOvQUIsPoPPWvU0aNJL8k9QMv4ImZhxWPTnD
KmzDKwPi6N4s4IWUjIA7h9PHc8t2NSAB+oSeXTCHE30g74514kiElG8+u0NQQEpl9/7gWIck5i9V
ve6tmXDlsQlbNsFdMj3VEac7t+/HK6sDewGEbAjwLpJhcqeW1WaBcXyVmWF0NnCc31nmQHqF8txb
vuvWrjYXv0mMjvflkSa4I5lprtPeMR7mSM3PGruIfS68yd+qtBEAvznwPudxab7QEl4/Q2jpv/oY
250wnIOrvH5vZ/xu6NEJj2tKO84TUJi3hkq3u5LS8XflEzDlpCf8B7hO2PtiqigDLHCQphE2cnZv
5O03yprmdWS55rua025a1Zq0n/AeRLekm7N1q4aCnqZUwJy33O9prAFxL5wwwhgjBxahgoLuOjEO
CUG3DyFDnxNSowN064g43aaCqMjK19P6yyRM8rx8ER4tNKSvWChVr6Gr5U9zo4u7qRjPooJdu8K0
UbSY3AzF36k1wzrHEfVmWVFMUN0eSybgPA9vqDHpwZNY2X04JtFnwXkG5XAY4dX5Zc56m1vz3qJd
lqy1FVpfGadhZEHfasjuwt59hEFNrQobB2K3uRPdt0VUvrvwlD7NgQU3Uac6P8NeGswArBbOQMPD
K8wwbwBNpgaUtK+/RvAmxZKE48b0iKqAdEDbxUaESdnUO1QPm0Zi3cE9SCjJNdalAS4XWpnDoXWK
+7NHVwUBjoyLpGa0IJXZmfI+MvOGDAu116uBCfIhhW+3cV2rOZAacY+Wm4f3UW7bb6RqsqtSn8Pv
mpIPel2M12nUI7fU+Jvv/NbNin2lqHIZJIZfsrhRf4ClxGLQ0CbzwChlXbuZB7a9yeKE8BFBmcwZ
/RufukwibbPW80bk9nynXBmpvQnH6CHUk/wxHiLnu4k/fDMMVMAbOKfvrDJVyEy+e03MvLhKsr6I
iAjGNTrZ6N8WkN6Q8UbnikpyreUiG0oyaLqi47CTnattPeKCWJlorzhxKaAVs0y9i5o0Oprd4F5N
fli8j7Lx3zXacXYN1cILOtVqP4yuE4ROE/NxMBJvM9ul2HhN7IGta+ufURipd4I14Pkiy+mYRzSs
bat5gILnskokw9XlqING+QXppwXix2lj37Ot2LJi1CaGDAkmMRyr61Rl1raichLmLZuflVCUB3Tz
NB3ieMjuNGFrbtDqHh0WyZjxvPVY9t34NI7j/jQcjt+xGtS7RgR/xHhlhvcxPP0va3CK/tbI+hjy
t2fTXqwKUZ5CShO3ZZ9Md1CPU57srWzvykrQwSqJjK6MIhVQOiWPOjopGh5eg5vdSDlGWxEX1VVM
3Ixtu5WaH6JQdJNrJAD1gNAkJRnOpBas0qA/uSJPnnlmZ0kAh6Cjbtmvhu+loznHHCLkjpCA/+TH
tHoZosWY7lUpXQKZ2RP2ScKZqA4oq0cSlpaE7ibTI0F93T7G5WS9VLXujuvRaQ+JdN16hW2quhqk
ao6woc37UfdMvL3LwkbqZOO9CCW+mtV5LiVvCP6qcqWJrntx/Kbi6D/MLzp80l3esXORs5evUxJO
92Sh7GvRWsDBJle6L53Zxj0oJovjkBPZdOGmbe2ekjhObnIaK14q4mInDmyNvQubsidHi9vgmk5f
740SyhHDg/uq02q3o9FkXJuazdc5sue139b2UnWdHWK3wFfms+azaSOS4gmHYV9u6tyH2+Zg1Soj
XT0D/xCwrMy2ppXE8DcxlQH6KpvNER0/j69cqqYP06R5G9Rtd0cd7RYRhqiClqZJQKfp8H0yIfmT
N7DdILdE9uYt1DFYtZa3b0Pdu2E6js11Y+jDZ+hIfwNmJWg5GG30OiHabcn3Mqm9vWL9t+q7zDka
nfdo01O+U/7wYIihfmkhkewGu12Y6YPHHStFOl+qVwh8VHmUsy0adAbYpUyDROQ+USC5N4ZlJPfm
wrS46jVsDwGdrB11C5Zpv6IVTT9q4TFkT9zVqZTIfe7q6aWjar70VUEywUkQ5UIGfMwQ9EOM/ty2
a1xujat4E33krsnk8bkLU9MI8JJl53QquVJ9EBLratK0M3LcY65H4hwlNuWGlMloxFNRN3oSrmvM
MiM9tHqlEc8q9McuS619mk88eknubyM9tqlHGaxHRc87b/l2JmNXF9I5yULXrwtdQVNk6wSQBqeP
KOPiUBgUOJH0i87S62rgwcaNKBLjhp6vcNW0uroLEU2vszk3tpkGE5nSZJ6xtAKYsYPopcQawdbc
ItWlN8YI2C5qCpVtNFagxb5AGj61ZEPkqmWceXYGB9jH3MFZXJu0KLjHhgPicx+1rre2Rjt6brjX
8QSbnPsaASVdW+TcrK3RlDluO83zCbhSp/sEutK/IUIan9nf0KUEpn6yuImN85XXAkSUruHSD+NO
124uWCfb5eA+Y8Zx7rjZGewXGz1+4wLWtwgsJUdojRAk10z5IOYxOtWZ03JH7SokiLn2oPVq8ZdP
aqVbI8sJCHecNw/l0n6zyqkrIAApoAju66IztxbmGmb9vLZK7pqToa17bIDka3OTTc2sF3xKHd3q
AIWhTG8wMjtm0OK2edc0Wz5g1KHKpePMvq4hWdzOIu/fKuFi3kDQKk8A6qDjI1AFMmWRsZrsYan9
dvM3ia+h28SI68UtS2mdwHbTQIR2YhzdsHpDXKHGMBIu14l+WHv6CaiurPgq78PB9AkJ9Qw6gwjp
k8wEX9Wg6BtZXWm5DZKlLidsTBByX6SkVHbXubp39CelxiA1o+SpAhUy3RVVO/VbG1fXl2xt4Nk1
27NpG+rdko8UHjzDPOLLcdtZNiNHnldYdLzYmHno5T6UbW+655ohRmsVkLTpzOKswd0fJtOwb/ui
PJKtsV+4LTn3bsXjIElD/1gOU/cwThTbcJqaX9QcCTwLUE/JWVdpF7TxAqfmljS7/1mR/H/FCSzS
ePhk//l65PG9SPL/unn/6H/dj/z5Y/8wXloOB1vPZEXi05r4j92IcL/RTmv6HAJ1UGq/bkcM6xsd
4Lg1dQsEp3mpIPxzO+J9Y4/BdgRPvMCS62PX/DdKFn+PE+CXpOOW/3F4NVM3MXj+uhtpUSZ7d0T7
oI/7TPMn05DWfC9suFotUpTWZVe2HGmLkMjvv7xT/684gbX88l8XM4sPlWOIyXuCsYc/9K8vPmqG
nirBrtHItXkfdpjdtSX+1Y4S8CX3RGiLqQlPa4gx5ukJTRWG/rMEL0rkeozxrQFnxXM5z+PN4OCD
J7bvHMt2Hletk1hXTevDNm+lf7ISyRjaUiu2D/EJTugVuMTaWtwNvu5kp7qgl6Vx3UcrJoIsIpNf
KOaKmRn+/61dGWguvStPUVJwjExgT1YOhMfFPtCtHLTUG4E15tHAqMQ4VljgEafIpIZGao8Cbkng
kvG+5WgzrwSRk1OU6eUu0bTpKU2ICAAToNCXUPEqzt1+Z066c/Szwd8t8s5hXtZrwdhqSz0bEfNs
b4vGvBYOTxxqK5JeHTT0EYu5l135jghquIsSElEtAifm1XjyvtOnm1oc/2rznnQrSBdJKxEZY413
De7DfhpSeQ3TU9urrImLO7wuAwLnpL/BcqawXQd+NgX6XPKjpOzUq4oizr2ap4qH0pJ0NGjOZuBx
iQO2O3olcF2ElT0YNbkfWnrB0kb77va6T+rLHl30hBFgWS97YhhZyuLZTa2xw7U/jjd9DfG9b7Ps
OHhjscvJjO5MHAp9kDZedV3SFnqIoXfurSFWjxEAtJ0fKiztbT9vpfQ0yrP4uKWR6e8gIsDdlTW9
XT7lcbtMY6ZhxXPtg9neUipWnywt21WmcCiWQ2RbCcrr9gYnYugtng9hpuuN64k6tjooHKCgVIKE
9ZayST7+tqC+p6/tA6IDtDnNxBKHuWTNqVK+wFXwXpbEzImOUL7TkXP0jMZaMTVFPBqh5zewFk8W
i4jHgSMRo0XfrZEyJCI6+xOHQC7cpwb9iE9QPsIZBRLhoP08eJH0DTQHfN0A5H2eNGuslAa1JDJR
31Ovt+gIpPUDREavl0ttGcLgJjaUk23teQanZSmTVGaRJPONVwrrR2mHHTCachmPKLnaTYu5X1mh
+IS63z4IJf2nrpMmedwlHZAuOYGkL+xHK8PNvaZrvRE3dox3dwO/rmrX4eCEaimlpgXRd8DCK1xI
0WrMQGkfuixSP8CpJ0AHUtO8TlujNb57HpTcWThT4EMp4cA4u+kPObb5WZHtW+POyB9lYjp7ai4O
skycPdLA19xpkOjbkcxkaVlfEXC5Dx6J6X6KnOSE3To+ICmzBQ1rGoKixhpumJhxQDgJoNZ+NLon
V5n+z5QCiYNWufNac3ItKCXlpUEkC2ef6U3arCE4ytOMZL2ZrLJ9scKc3FGvjBu9mp13GrvKba+q
5MuEZrRRmH7vS1AND5XyjfcC6siZLUK/C+OQt3D05FPIgneXD/ACO4DYr3HqNM+gCqwn4fn2IZaK
LXI9AfRzssVU1feZ2tU0mxDxKlmvBZADjPZnjjgcHWOrjSRyb+6xB6qSCjQaP/naziGn8Cn+CkMq
z/f2pJNTNvCvzXvMDzPulCSlKM4lvzjFyCu+MxceCy7SvnCXybWCI55c3L0aEZwxHZJ3vmnjtCoh
VXFDEn6ir7WEuzHqPfHaOKvCdCtqduFQ4vsCMaoR/nVXT8XVbE2G3DZ2Blna00zvEDae8Z1p1T+D
thkOrJPCF2lhz1qn2qA02MLLiiEMWVkcBzggdOig+oGZ8dUxmhz13KdlJw6AgZJw3eDXuzPgl8mA
rf6wCXGtv7PGq2+6NpYmXasUPlEr8TYprTTXQP/DXTnk2kPZW/UnJreBubSKN0qwRqKTri+BH3Pa
ajBMFuUrX35wNMVMPDcA2OJbuyzsEJhZscOlb9TgqqBAOZNBTyaL3ZKqjbexHmC3EK8xtkWsl8uS
uuneNEjl9kZgV3ohWay/NgkuO72ZzZ9J35mBZc/+2u/mdovbitKJ0fU/JEH9Gx3fTLpjEUJy3nBn
HKP5HFa7KRpBzfGfJcwYzVwBuhdUkBGOJTxsc9GvKrtr9lPa8g8osjmLMB3MikW/keImibK00FYc
KOuaeybbr1VMF22+qzJ8W/gunL4ICH/M49a7MCcLtyLxCniEarEFSsmjh60iqXywbdUItjJbAJbZ
grLkI4OxtOAt7Swfr5sFeZlEcG1WmFW6K+zDZLHoYNE6CKFFeW4oQkaH53KoF5Am2QHnDOo9jjd+
IazbdBjcG4ORNyDTVl6DdVHcTef4WPgNY2dGV+MK4Tdl0QH/gfXlgvTUEHncNVEuMAD2oFiaKBOJ
d+5YQke6732kU8H3tp8Sf2Sf58uvFuva7XxhierdqG3lhTDqL7DRwh7stUf5xp2WVTurc8dzrAz/
Hg9o9Gx0UEurJYPO6hlmTh2baJsL3zReSKcyjuJbKRb8qbmQUPOFiTosdNT4Ako1IcXhEljcjKzc
LeqXMCycvDm+RoTdIJLzQGZI2dl6BYRVmPHjsHBZB0hV4ATsJrsxL9xWdNobG8MHqygSMfdjh4lp
sjv9GIe4JRb664Co1C88WEABRsCZbJssrFgOsD/xWTlrBUYWf6y+oqSVgTKteT1+0N0OIaUFXaVg
0GauGRR1HW/t2lIUwKeld8Ysjz3HlRiY19kFaFuhhhzx0kEf8LFxUg2fAb91OQh9FQsRFwcEcFxv
4eS6ZgoyF9MbU5Ia+AeRIaSaaWVmKEGJ7NtPMtkAUGwv6X72FyxKcUGkDC20FLFwU7ILQqWBqQdO
pVjQKvlAkwN1FEWoDmXi1otVeua0ll3AAzY9xnLq5j7AZwqZQEQOz8N6ARZ0C7pANTo0rwvPYDmq
uCv8Z3AOkENs+PkL/mBeQAg2PqFngw0yMP4hya4iz6KYtzM5fW3aBaVAx7AcN8aFsFBMvn9uZD3f
ZHrLnLegGNIFyqCbZkrwHFDDKBdmw3jhN2SeO9YHFuU2BDb80Hx43MDrYEGJ0mTtZO2nf2FB4PKD
C2EpEBEQMRdahBwpxSmnFIqEPlbtda/5sdxQJ1ZdxwtwgjGVl4kuHAo+F5gUZNnhU8BO4SaWDMqR
1+2FYYEsAc+ijTRWiKC8hnljR9qEgQv6Q7lOLyyMGve5u0ovjIyMA7GzdSbQGcOFooH/HeBwOrC0
vPLdZvC24I84dDCQX/WDyD2OPfrICdhleWBMNrAJ+Kasl5iKHusZqgeIffeFizodrgy7tY7Fwv+Y
LyiQYaGCTHU4MDC7CJE4nVWDJDkCYFl7id9yZMWFdMRAr72T0U9GAgKzKFdC5xi1oZ8BKInJ5DBs
O93Fm8dnArgkho3xkudD+txOWKoIRC6QE4earENetdSNtI32qRtpeJVdoCg6T5XDhNTooFlBTbHU
AlDBtdu98GnXJxB4GJfoH+sOEKQZQWRuHmcbiKDvhN11UaXgWZwLqoU/nSIZQdZtdO3xpmaVFK9F
DBgQQVVSEsRq2nnsdLPB8vz385jxOzmGKdPXDZcoMpOqYdu/JUSx2RONSGxg/YaeH6ou+lEm5UNj
1K+WXzyYTsmDVcQ+injyXRI6u/v711/i43+ZBnl5YMSezekOiVf/LV6ehdIsMkpNNvgO2aXOdXnN
m58f//5VLhPt7y/jm8vEqfM6jv/b0DnJGffZbPebAe7fuh9wGgVCszRvb8czqn821AWoXh+/Y8nj
yVybOIBhvA25ejXGyTlQ2ETRAkuw+wyM9Wl5ywLX1s0bTdXTq2kyKCT49miM57nYnTHEVuH28kf8
x7LyLywrJoR0MAH/fB9z+5HI+P3XXcyfP/IPnwroBOwoRExJfxA4/e8QrGd8W4AP9vLVu1hYWJT8
iXYgBOuAfCDpKnTb0I1fnCqG+LYQ4V1+xsDHgsXl39nFiCVO+5dLAHqoZ3gWYSvWe7r7O2A+GdzG
sysWCzUnBHbihcNxvx01nTI4Bo9WSAT22gg5EzmsP8y8CK8NF29bSNTnCEzT2MBfL4CAkxOqMa2Q
dDfNTvT0vinR7sySY8VoJLFgG9+Nm6jrPAOKkGqvAA42r3Pi5OvexFVICQbbXTS/fV8McHRlH++b
JipvE1vY3aqJusHn1GBzzywIPhHsm2wsm6bd4kszvdw+JmMS4tUGvb0Je0s7qbSlWwzfGt1bBbXq
nxz42gIrpuH/4E4N41FX3qly0uSq6lEJl+MqsXPHwpqD4MRDVI85Mmag5umGT9oBHLrVo2mnZfrM
yPqmZj05Ya54DGk2D5yoGA54gNt3cNfx0TbhwoRttzBf7fykJ6m5GweEcV0w8mL+jw8D0gTHRP0A
pCHf4s2ZNz5v3YYaXGq6G+waLJTVfYtxEdKQd/IwnR6RlunjldkHLszFg0vQKPSc9FAarLUcMUzf
x7lyKamdCarMOpzHIEF1yLmbW9YVfUEApPFnz/RC9sBn2VM73lFjO1BzHtKI49G+veTwR5ViZI6F
92REs352Jzlifchzn5xFYkKLSKPmFpIE1EgPVOE7BiE6fxRk96MbMcGvlrr628orFqty4yHSFC0q
15FJJWcvxABno9nZPUpeHflnOQCWD9xOUCJZcga94uiaBmENSghIj9ckwJVYHmxdW6JxqCy9gRBk
3iRQlb7T/2miDGL+IFFSLX/SkN839Ac81Z10Nmi54zXtcsNtZ4icjxJsEIGY0cMBbap2ePCMKoa5
m1jmC1xAujhrg4BGrVrjznd899Zlc1GsnTasqEMT+b7geLm4P4bphedi9AOoU3onse1vLC2O6JFL
pim6VvxJw5boX8VsnLeUQ7luch+DSNpD+dH3bhaNWxY8RR6EGWvCphbVCdpyR+r4gSGT4UQNW6HF
z5VqxoDD7HDTd7zHhhTp2yiIRDhVOzDCcAzxiLfA3kXmm+gn6scZYlZundiB8ZZpbRW0FPsBjWf9
v8PJ03FV0y23U22bqBWKEVyPujVb7Jw+GlCgkZJY20C+PkUavnVWDjC2scqTavzxENUKS3w6i4Yl
bWEDDxurq5KYNidz0whvU4SMdlUu2AawvQT1TGVgw2r1RNyVSS6fDRpouoAuSXFiq9S+cnYssbe3
NZOs8Cr3SPFrP0L4NGV/KJuIDnZ9sLzpu63zIT1Ij0Yrib/sA2UDB3dgsEet4UUMk9+uDBhgxgtl
peN4iFMMIkD0B6oMK8vO9J+WG4b+Nesc3OIO2jwfBWPYSvXCQ7vV+PXEX4bpCRSYsXb6rngxzBFZ
N64SvBY6m0PCC05PPKHnNk2UytKzjXD6/IW9qdr1fqtBr7Pd577x1bVhdZKHtF4+5S32KfJzLpZ9
eoD0DyFSscPUlp9aECvbgeKB7dClQFLJj1u3FQ/+HyVx67e8HfNAtJ2zH7mKuMPW0dZjlH5UiUnC
PtdnAq5BjsnqIxq66m623fAz1eS0z0Q/f7T4z3E+6/xiYkMGbccW2+HdGFmOfEwIuXlobNJjPxhX
3ng/SWxFG4E5wN2Khv/0EKWWsaaTO1SbJCVhtQ9NMCbroldFfioJsZiHAsRlsXHMRPUrI4vmx5TJ
viB9Y3dEem1qzde0J6LHc6KLhsCTfnYanUrj8RJZ25pSACxuPfIhuR82DH41B7pf8VHm0W0ui/y6
9RiaNXscR0JLbLRJq3C9Kllf9W4601mCxW83jWPBmrtVT07SRGzufVYSs23W3/uWPydgvUsBvFRj
TVy3b6xjpGmwkhtRsIBHVhTpPovQHoMwKaafut2k02rIJv9H3GjG0hywWB/riw1yulgi3Ys9Ur9Y
JW241RPORIZdeTFTFhdjZXgxWWIHw2HAGhLzpVh8mKqIVXVIZ/a4qjZtdcoXu6a1GDcNqRVHYuBA
WkIALyj8I0JgxW1SX2yfYsQAKvNWf2+6+d4mArrw+cL+QR8zTKNIgKSToeiLgS6pgboLYoTue3tx
mmb16L602Bl8KqJqQLwZYRISdRf5Tl6kPAoVukCf1PTJnKU/OUanHjo/YplZLVIgspJ/bLiGV6Nm
2vcGpsUXTVIfxQ3bvqImB9xy2kZrpabT7OeoEL1Lrs9zsuvZn6/MixQpjZzk/UWg7C9ipTnjB71J
4kJqKKN0F66ai7gpW6acnZ3b1hcHJ+TP+iKFWujxT05sDctvRyulstSNdglq/lM6kijcCt3tavI8
JGc2Lbi/WwD7CLDaosVivCj2BiGuasWo31h7hwLIMAgvIq57EXQL4JTOWmZyXnD/F9F3HCgU8waZ
vxFj1G/bi0BM6zZtue2iHVcOpse1vijKzaIt94vKDG98tgL6deSDXFRokCcI0s5FnKa+jhvNRbKO
L/I1iQ9qQCHVXYWxpss9EjoCcBb38lPmSM5rWjAiAHBsasW+wp1K8WtviThYZkwZxHrMDRsRWZNB
2hXqJEa9noOKVCphY8eoPyC+OFkgyqG6Iq9NR6Ktmp/IZfke7UP87IHdYysbQ6Icnak5C7e7mDd1
xYpzRSI+esPNR4EO9IMXLUGbX+mTTE+DUT15qqHxL5dJZGxoaXKO8IrTTVoMab+mvvxDp6iLR1nY
vs7USR/aZslKD73b34wZaV0gvAWbPzofuKeQaVnlxCmnbUm59hk3PsoaDUsa2Q8rBfqdNk3/lvQZ
NgL2aYYBE9RUrxMeqRxZx0ijjebZ0VGzveipZyf52ecQo+AwqrzaVP2ygkrmkq3PUgm5Zi9HlDMy
e4riG4l1Bu+w66+pLV1i4n34TP6sXDVWTBDH7cxV3eQgpwsYhfTM7jiQsqnPFhNGSlstEQiKDPQZ
fkw20iZteYubuSDYo0tCsGuEPPmiEj9jodGNAc997icZ38plhxPuuyivrytABo+QkuFRdFRfWoY9
vvmNm+eBbPXmR0QKO8HhEls/x6ICusJ8nFXzG6m7zwHYwUqDTAJu0hxg+C94kpWNiZBgOht3XEMF
u+MsiecdBg9zIYK1+isbzlF/WdgJFM+MlnO2BjYPcyLTdmO1ed7so66G+o+XHCkGN2T2o46cEcMF
N4g1zmx2jyRXtYEQtl/vWx4XAWLLfKB7rr6v/EQ9hx3KG1koUxEl45RJefpiqo01bGBpPO01WXjo
p8SPixUdtOrRY7dGeqrhH42VqfghDA4JJt4mWiiHTPukfqng1Gm6/O7Ra++4A+l4NHWrJi6cVfKs
18q/tnXAGWtTWP45S8v2gUWEk+3QJ0FdIBg0310qNOgRqtPSWHNAm948b6x/QgDh6iBx1/hHLjwO
hkkZV+++28tHxxgsyhcs81yMhnzyLI9GHKvuifyxTJt4ziIUBIgH/o6GrXHPt0fFyzK+/7C7yU/2
1Zz4R0JjS+M2shFlL60CyqUj8AzrVBIHQjGP93lekIzUpIhekR5dOoUUbLmcAls6tiuLLiWObMa7
78n+ynBVdFI0IeSrCT1r5Q1dxHmgmCkwyGltZU9HzmUFIUVeT6HbzniaJ7LIM3FHfxeXdvHJTQJE
PFyVU+7pqbWexqbc8J7RFT14yRgMnREvZYJlGCJqVRh+0uHIxWoHCR6vYKgt48qgeWjlWZm9ip1e
bbirUnckNNOg0JeKAiSE1ELdmqfoKY1y/yOiTIwPHaX1x9g76XVbI9tTYob+ig21NX5YPX3IBMOi
INEy8l8TcyPJ93pTmeOR0neckjOhVSie+a2VzuUZL09qBoNG3hR2KDcWuiAOCi9k4HCTfPdz0G6V
1zvfgfLOP8a8KXJoY0sZBHW4P2qzKtfzmEcPPRWLr3QL6tSbRsx/gmfIzUCDltqZoJ26APsEhCYu
LN1kiUexQ5e07dHkstiMhaI0XkfT9shPlOUDdACcWRQeTXe+MDy4TrU1rHvhi+MUEeoM+rHLn2Vs
xftx5nCxbt18XhJfMv5A6uewWAGkbxxR7MhKzzDoijI+RqCpzq4RxoecD+DRd4b8gftFcx1Z/Bmc
jAxwQRnScqfw/kzzNDwiv13RiMlERURApNxtR9+OHppqfvpl/XH+Y6/1a2ndss36ddtFUBc8iSNI
zum+cN3fKISexRvLSnbeZa2R3tWKvBaF8MaajiVxRc0GRJpyjNd//6ILmfGvLyp0OF4IlfCxTcP6
jVFpQnCfQ5GNO0Wg4pqxoDvDZarWlg5tqp7ZoDKSuQcU1ubz71/5/476cJzgqK+TrV+iRcuK8xfI
Xe04SkDSm0Hno01AXLHxpleudmwnC3Zf7odL0on90n9Wcf9iFcciTBeYEH/5fNa0Sv7XH76qm/fi
83//r0ecx/1fmXT/82N/bOR8k3zYIon/sY+7eKD+gK36xjcDU5JJmoz/n6uRb9l/b+Rs+ilxZvHd
9ljl4WD6n+yY+Y0Qtg7k0MLewInp36qatH/fyHk6cTEbk9VCQADsqi8bu1+/UGWGSQf65J5UwBT0
GccOTXn7YuB2Zfjjq+f6S/VxnAN1zHAvVN3naJov6RKbEbl+j8zdbJxGfXQLaSrrih6khkt1imag
RGKIfsgowj4Kysi4HSKcz4Ox1Kakdy466FqxWtuXUqOkJqpvRJ2BR0omLAiV88oDvtm6/XRf2fpn
Qe5hCfTiO+S0WP4f9s6jN3YkzaL/ZfZs0EUEuZhNeqPMVEopuyFk6b3nr5/DNw109WDsfjaFQlXp
SZUiIz5z77luZJPArX3bvnVmXGBiTEfWFeQlK338FruG949GwPL4rn73HtYg3Zi2VUnEKK9Bx76g
ir/3WU6tEFxoa70ciR63ouyuAAR5bCJ7OhRawWArIxCbPsyGfacn47Pn+jc9jD/6oHqN9QbpYkd4
wYnRkgCANxD+mzMyDNqxRWBttw9I5DmaYvuukMawN2NQyxPm7ZVfutqsvg8blxAddiuLSBjtr9G6
53r05dqoLLZvjN3RIQckOdfxdqxFusQtnJ1URPKvNtTep1X6GhgnEs6RAaCxlCUGqZ7sWY7D4sCO
XX42cnyvBiACVoozu+gBUxHgxN9lVvHZSlc7eZKhoNsXZLs3fbTCeGKfJmpeTv/8J6Ip22pkpF8q
fB6b3gd41UZgrAA1YFpQyl7HAeEavVtWhzIdzAennr65v1CKx0N56ZM2frXy8dV2CC3r45FJoBux
f2UTzmK3peinWp1GLWYzkfwSiR3vVO6+uw1OH8kOGQFvQrZVbyjGtKl+4OKdSX9xsoM9HhxDlUD3
kjeUu9HB0dF8wVYPb7VX1atYmfG6LmOfyZSfPPQNKb+ALsBuoXEgsziol01hPykr8tiFauLURuUL
z6v7M+hZs2aamZ4nE7FP2jCN7or6Rud2C0A0yZzCgb37czTZ8aojGXtbzyGNg2a/Jdmg76KmfjBE
MazjBq091Ui9IS24edZ9pg9COg9Mj27TEN1nlsYzy/u+7EjsWtQd84GFS67bdhhq3ztFlllW23Rq
7H3mhQiKcG0W9zar07UhNG0VkG1wYTaZrHPb7/eovouN5Bm8+E3dHTx4Qjt/vpuTIOA4c+vt1BSn
Vo+gxjgJ20YGW9FDHdnOFu3cCMqwfjb8enhM3dQ/9GToohVj19PY8gk1o7mNwy59TkCRE0DndOue
IEw6kIioTbfVvLcqL+YuwSzvwqb2DxOBpCXZgcpG9S8qc9V61U9eVHjB8wzz+IAAHAT9cPVR2wBU
sOP10LfU9LUkS9SxLjrLspXjCShIbh9eeyMhG6dw2oseTSnkRTl9UerukGWUJASofEdJyVyvmIyr
F8MKJHQA6AdMIGont8AI7qllR47gKm56lmGycGDSBCJLIJQAvIF0JmdeTfsC6VE+tX6rdqUzsi1F
v7PUdBVtRKdjcrRVsI9UOR5LJcInNyyohvKSLT+TcPMhoTU+4y3Akusm0YvEMacHVbMhJG/h1362
K+rhvmg686crjO4hxIqK0KiumTV1EiDGkKOAp2NRbl18hlS4Px3Q+Ivizj+4o+x37DWSpU1yEXF+
SbwxJv/FwRly1irn6GkpzCI2+rSsS5cUxWU6kh1LVUo8uGfy5oZWtErnsVrRBepoJ4A4+snDUQo7
/hLQ6C5zvb0DuNFtCSKAdYZiaGHmaXVuyrFdBiP2Q8ae5prUOT5OHJtP4CJjws3G6cELputA9O3K
dOh08rEP90XUXrmHQKvlXrkRuvA/CW2cdshibz6G3/VEgg3ykqy5IKgQK8eZwpWVOVB9zPCORKeY
+bqdX0Wkz4NziJuVgaVCKGXiSXS81UiomOLZdcESCa1dNehFV17opFu9iqs7UAFAQNISGUCK0LVT
FqdwKH6I5ctWrkyMJTjVK27HrxDl+tKLZjagSzHOWMNax13UQ9auoeG1MyjIi8E0Zd6zbufcivPP
YDLoBiTau8u8cc0XMj4EODBTrpnJuGS+Bma0NDvEP4vYQhiosVtgop311c0snF/BZCPtW05fY+f0
wczucy4MoCF8drGFUsxhK2P2QQtHIMY5oUXM5YziRKUYPQMCkuvSFIAgpuCZqPit0PpkJbkTsqXU
3LcJ8camdItvnHuEhdTJrSvRH0Fw61dZop8h8pzQGI0M4WX0VCMd2rca8aHV/JtmNOJtLHYlLF04
eho3+87M6bNV+XunTI8PlYDBdUJ3zRCXYYqIs/Aw4DYNgxJ9D9mdmNtIUzSktRy9joYEwOEKGp29
qKYMvlSkrF3dxRUqVzwFU+2jpmwalK+g3nSNU0imMQMSby0b8Tlm5q63xTcCFwgujZEtQ0v8f7n7
v3IC/L1upd/4r5fPp3DKq4/0r9vnf3zZ38tddP0W7O05Ov2vtS6RA+hZLBT9HNqmPivl/1Hr2hbX
yGwFQLAAwuAftS6cBOpS4aI6Mvha+X9yAsyBB3/t2hzBWlx3cQ2TaUTl/Uce8pdSlxEKSatc/7us
Yx7Lo1pse1GmhHyxyEJEv8dG9haxCsGH1P6YkJlOvkB49JeP7D9pWJma/yc/hwktiaPBBvL5H7tH
y/U1MHoeCOiYsrRRxsa24g1bCNneBWxywRrIey8Nz20I9X4U+PvNuRAIBvbSlXVrUSLX5o7iYwrP
lp4dLYSgsHvBzXgoPnqpjoWBeoZKb2GL5jq249aYJSeigCimt099Hd2hMAXqljE4re+HeLj0sXcw
mS1xo7LbTF/s1L9oUQGGVcS3NrSqNeF4HzaIFwbPrVzNVXYBHrEquLBZVZMDOdqLPHytiWAjvGQT
e+Mu8q17sH7zVgZ3BR9sbVnNayDxnfrgZjb4EBYA/+6w3ELOYfYymqdcyzeytBgFvWjx9AAO6xE5
5qH2hx3AuUMWECWOylNX5eMwiDcHkyx64/js2lwLto9EabBzh+1G+OLm6Rnq8UEO4icPQkqDd63W
n5TPtycwoRLVg/SMrQnQyxg0ehFGjhxl/lK65nJsCXIak0+2u99hacldO7GZAhH8C+HH29fCBCs4
EQBNDVuuBjUdG6M/aZxtK+XDcOnxcVtgp4h+2lf6Q50Rnq5bcjXZ/WOJUQ+dxoYOPuLTcmOSHsc1
IcaMxkCrWU+pgzxc19DU1o9lNvx2qbMfav1t4uAcqU8x7BbwIcLNCCrHLC2xSQd/lXrwDJX7xOO1
iMWG1s8mnVQRdtB061HvzvQ7r6jEj520HiqFd2RQ7RPQZoK6v/M0Pdd6d2xRXuJp81f5MJF22nCz
VSbGWi9ZuUPzHlkkq9sNMQFD8qp4NMtAPoX4Eheenn3ns4qA8fgqr1nnm7q2TqPmS5+zqjzdwwc7
HhqZrRWsaUFQcJQaNzt9UVU1XUjai1+6KT3WsX31hq7bOniBF5WkqLVNuYI9fFSZu5JltkN0/Cpb
74c0qNM4XQrxVNvpxC52NpAU+hVFCFdTP+2BLL3YRtbPXGGEFME9Y5u7biAxU4oNYIWLPV4rZ75K
MS9XAUGh9pjfcfXv2tbwccQE9w1L07UfNTvLZmXYNCw+wgz0sxPcd77BbjeF84ta38qWAisxx8E9
VTpwVW94KSYcH7H8hNSxjvqMnYFmVKeSJTRvDpFkobTW49Cwrgw/ReJsyvgegc4SzcI1TVnO5faG
heszzu1dx8YBgHm/4D5nJeItbS3Z8miolR6Y6d7KW3vRGYRPeeiI89Y4BCY0YXN6CjtTrMpWvdEk
ER8SAskjmQOfJWZPAh3NemuawzKbHHXsMiIhy+BLdjZWqWh+ncyLqyN7KRtxQQe/H2L3PYvLfdiK
7zw29lFJ0saM1WP+nG6Yo+/EHHaUlFq0yRWxgEYVPeCprQEd6xcfRh3pZvcVCROEMPHJ4yH2dW1P
ktQpDbN+JT0LJUTVsd1A76xJcY8M4spyE08BINzQybZdQJ5zKAJjwUnzySpsxSbkOWVlKvkHKzOi
DAX1wVQZdW5QPYEGv3hZ89aOaTHTwIMlDuDnqR8fVY+nZnBPg2qObM8WXVrddOwzk1W+NQkgAVyg
FKx3+siebYxf4pGxaFPw/wFKedSgAHaIjlVoPoy29uA6fDypUYLpJ5ejhZrQxjhsSztnIKuqaKec
ft/rzs40re1UFb9WzJC1jT4cwA1sCLx9hqj6xDYG4m5JmqVROj+mqZ6HOYsXDeu67MdNadHEBHZS
r1Nr3iYY2c6Z3A+zBSCCW5znD4ZdIgPCsiMNq4R1N9RjveYNOxON8VK62eeoVLm2qaGWelp/RDHW
X97DORb1rXO9+0xzbkyA7vSuoffVu0VNsv22ruKTmfv7ybd/GDmQ+1X5ycoI67uJj5V15inu+k0V
SziLeT+RRAqBFyOss8Q4ITAHeXh+8DsNBB4bONJbW7uHtwnUEUoLUFztRFgR9ZwfftNBbuspeWC4
UvMx+9cacnapeB4qtLQqXldSnVoXVOxkH3oiypPqIBF4xIpWjohVVoXeQYq31oqfvLReh021jRnH
qD5bljmHkI5csQm8LUzEVZG/I7o6p6566SpjPyTuqkHb1dfNru+KDTnxKwMZ0tJx5F4PsW3T6S5i
9Vh6/aps7N0Ynsu8eRlT7Ah9snN50p3EeGUNeDF7SEUT0zPlbsPGi1ei9nZkEk+kPlQ36TWAqdo/
VOP4IKsXBwuKIORV0ntkLoVu0t4Z6m6YWMbaabjQsupKtX0aB04uVusLF9kDLY+6F0PwU4xHv1Nr
AmQvwYD+fDrrQm6iaFpUuvXbeHm5ttpohTzoSP0GYzD8xVjzHfj2xZLN2ZLVbkZxs4vHHRIwkKjc
V2eOL2x/G2EQSsbRmWbLWlRnUQ68hPkrr8hzOYqDSt7pS96iLiMyO2KTHd21entREeHZueB48YKT
4NACDnut8CGrHgccxvyxYAUt0vfUn1N7NPvTVSw+WnOXD+NJYUREWGAtI9eAS10ve6P9wF+Ejchd
J2LasXz9mqrsE2raMdBOTuEtsoE2RZBMJ4MCaiE75QTFSuQs+vDRTA8WhwIgO3D1RTut4Lks7WYe
Vqbb3jpNkQNoMLnobvjTMdawEj8E3sj9mTdbWBFIvMpFEOun3FceY3a6fTu+EphBjJ58QEK4DHzy
BNLmLThlRP7UTxFzIavUNkUdnYuo3hkY3+juw2cVKkHfZK5xb2MguVfTKmvVNhn6XZ7W37Y7HIMw
Rn7DB1iZd3aK8EfiJHDBrfik1NlDtJJKPldD9emWrbduwOsvCAV8FiX7eNKYpuUQpU/YJOwrIX/G
UkJ/Z1xHwqHM83ALk3fZaxXAk2TJvDdfZLa4LwL55kfjl+m1L3WXbLWxhi1gV89VXEBrQYGo4IfC
0ZJmt2VYs5TTrWNY3HLwxp6ztET6UBYZu+96OxpirTogjf6p64W77NGzuy6POjntbv+bEBbQhtem
dA996t7DMULDdYDRSc4fSb4PwxRs8noTyOxSejkp1mY1rAjX5v4I15rePrRcRasxZ8Labydih5T5
4vf6Q9jqnAcOLpxbHMbbxhK7NrTvp9jZEFJ4h2702hn3jNfW2KjQH7xriDCHkuVV3gqyyT/7vtnh
oLkjFoJ1aDkcBrdmC1jKXzd7Dng3x5yRGAavqELj7tJIMKAOAV8bDI8T58ZqdOPYzUeI1ZJtVbuC
FwC4jPqh1dRL3Fj5Yiyfyzn5u2QWYh5d5A8h6g4uWshHBFeUqXw00lsn1j56U0xxdVy6YLUkS9s0
ffJ1ph4Z2SUHvJ53rPXm0rKeDsrLsPg6Mv3SBPEIGbz2PZa4ihqycptX0cf5MwIe8MbMkjCENONv
xgTpnjmsc6piq/vuoEKvbQIGtkKAboUZ5HVLr3WWpiOGdS6E/oUMN7g6ViqPeukLeOSxTHeuWcTP
pLw768RI8Qp1Fp8kHuf3lGp4h1nFU4tIE8a6AQZ3iAiWY3xEUjq6MHhyQxLuDTX6O1Ux4udbOl8q
maZP4lr0XYrFb+vpkfGYywp4hPKbi8Po6aBnUXrUNVU90u9RH1OYkdTNDvNaprF1I7JsWDKw5m6J
gn6vG3VxzDvbZ6wB2FNVPnfcpGGUGA2HADENPEvaJe62zYvyxDDUJxGyAl4q3GmvuUV9MjPlHZKq
rQ9uqzo0DRqt11ChMFJ4gE6NrZAYm+Mpd8yOembUo8fcadSzXunjV0FM2zFqpLfxEUhcbNSyb4PF
1DMCTUPujMX74xDK8elEsn0FIST6BaVxBOmqETcAJsGDa+njFbtkcTb6Sjx0NoitKncDZFDPHWBc
AmuqrTs1w4OXG/aTZttjt8jC0XxjE91vBvCiK5td87XqVHvuw0ndjVyY74EI1S7NWwc4/wCDn4nM
fZuwy0SHVV+S1oiYJo+YpITbLlx/Bt2z0N6whfG3PnX9go0xcbEdNAbLM5kZ2lG6dQO/2KZzg50x
6h/ZRXs4oJPemI2L4gVBM4BZjqf3CIbIuSBpYscQyDhq0zRypmDJTJPwPgcgHWCHDgPG4oz/L6Y5
cpMW6dg91jyZI0Dweky3eW5kq7acvkQSMUbv65bME69jTC+fHBIxZRm/yTDZ2SLdB7kJwq5lbNqE
O00OxzIkybKASSMUY1Td8ZGgkpcGgYRYtlcoXyimScpAKfgtgbhbxFrYmGog7y47P9402ZxUAkOG
GD4xoNUDgX52fFvfZl71Mpj5zczsfag758RuV1hklkFk8RO32w47m149G0bjrkGbvcI5Zqjth1SU
qbx1dvfkacalGDEmkXu/AP52RzTr3nfGixP63b4wSptgOBNpcNbFK8A9l9FBAm/ayTKPsrVbBqcy
7GuSwSnK6zBctKa96Zg/s2kzV8W6bl8AYKHtqAEAOYvQdTZw/36LrP4ftvPIlf5p2OHYUqDS0wW9
JjsMAwYD//4vQxfpRFRMgom1TF5o88PjNLTDZUCHuIAeOB50mZXnIfen66wOfOhDKW5GRJpvBZyw
X9Qy616dGN4b8tD5qpnfGlQO7lnMb1Iwv1Nw5rxNOb9nxp83bn738smPsXdnDFBwLZ7a+R1F6luc
MKNPB2gM9bP352VGmVof2iQmMMnjXR/nt96Z3//KzbHEsjJjOlq7277tZ/Kj7zn7yCNMPTMq795E
Yrcp5rPFmE+ZaT5vfI+TR4fLBd6lt264vTmXjJr63A+C5lGP8vpRz+v0yFa4OiAWICNnohuDR2c8
mp7gzJtPP3QZ06eYT0TNz40fcz4lq7EJ9xB0MX+WwRqJPocp7h7QLqHPLP7PYduiRtiNsRO8ZwV1
RqGP7oONdW0dwKF67qyAhqHvOb71oIfbM/bB1XZz48tzSSZLS3dpFUy75Z9LIG9jYrfmm4FMju7b
m2+LfL43otAdf/X5LiHWilCY+X4x5ptG+3Pp8NvM9wRtuOtyvpOc+Xaq53vKU0mwJ1kF4Rl3WDDf
ZgbXGk5vgHjOxN6QIeFxZqqSIonc+LmvUv3VGVusvNh2zZdRKIZaaWuOb707EGA4Wk60KXwGUDHP
5hqJZI6dkwIOh+K8G8jOgIyzcwBja81+K8BwxpOHaASFD8FYUgtm6g9paR92Ktp8l6Ooo7nJG2NT
k4BdrcLmz3e02FcsVerA5hw8Tc24sSwIAJ7lyX2eRZK4FtM8pizroi0gRPpV4LRUCmmDIXqhIFV+
Wnpx7SwUGqsCDnm5CTzEyBXdwrIttZiBV0oWWDRvC/V5b9iVUDHpNnc9K8Vq3i2285YxnPeNE4/v
mCCFw1W7hgh0g8V3S+YdpYYLZTXNe0tk4IhIadh/aGJeNEcXJ6t13XXNwrObN58dAQ5rfd6GYuJ2
loiYkwenl9odGqx4zUUP4VKPw5uad6py3q4GrFlDI7phjwiOUenGu2zexbYsZX3LIOGkC4ZgI4eO
omfe3nbAGUNDZ1ZihL/wxGJyL6aAqpitr2mMd9W8B+5T/nNELcEyUt2raA3E/UK3NpkcoMhVubkt
UcutjA6cEcLWrRPkxLxkPRFOeik2DFMZq+gk3rf6lboQ+4ZE/0f18VTkw3NuktDcawXtmJMEW7tt
O6QGbYxPVBUkwcSwjdAKFOteM4ytFcli4yhiRh27qzedybuGaMHGPQq+QvPZMflD/d4jdSaDPA5f
EXe+C/IuFqkoqi2ozIaFn1VtvSkhBrwKQc+lhGxXRh0umgKp5uixg9cL5otNJBCv+W5KaVHotPP3
mO0JCgBJMe8ro0XgoH3LPVxM7kjX6s39QO12N75O7NHTJ1y7pmU/keyUHfMGnJxZuMCruHZPuae+
jaJOb7EJM9sZOFA0tLF0Mb+RJW9BKg1MuAg2TM23z0UOEx5nA7JaN/iugTItkqjmai/rdEVVgPFg
DD/H0XztkzddRKfG0XkizBBdoLqfDPhaY5z9ynp6GI1cUgq3APIS4u3hpyhzTdPhn+vK7FZk0LAH
1mfKfcYCM8/t6rEzTP2JTLia7tX4GnLdQk8SPakq2RkVB5eGspXOuKig+RrBHXrJ46h6eJkW79dQ
cUlgDQ9XDKTPnSewpbOdKlkId/k+MMF1o2SeXiNnbjJ9a9xMQ0xC7EDUyIR2uZveyaBC+urawRLd
tra0wXNfFMzyD8Si1t5H43oMejfaJ41dX7wcxyNxiNm98LTh0+P8ORpmqUhRoqLq5tqqnKsskALJ
tf9Tec01mKmBciBSCeTun+qME9d+cuaSbc4b2LZ84n+2DP+v2vqfVFsSeyF4/f/WRHn7ST4y/yP7
+KdN1j++8u9eSuNvf5I/WUHx5/37zurflVtK/Y2bHWuY6bL/IhkXI/Hft1mG+zeQC1xQvIQzkdth
oVbnbRP8678Y4m9I7l1Eew7ae8Yv/6dtFn/iP1VWip9KWIaE+mlg6LRs8z8oH8MYErAV0XLWevMg
yZXapc2A+geoxcbV0v4nQm7FDNV1dyiGx6UaEo60QFo7rPbUG1SK+rpDYYQG3ujFtSakCiGBl+0b
LjtATfFwVp4vTxaRA3uUUkgoEGJ8V+x9N1MyRIo/smg+69DT61M0W0sX1YyolORNPTcUk6cyrxDP
tGZDbFsFvfiohsnZh/TZwCx94RL7GOmIqP2+WraMBDsA+P2XR2QTHnHnCJOje4Xhj+ksL0y0EYYM
pwVZA/aukk64KfFQE0hY2dWe4Ur0hD0IqnJG3Tixkh8oIhhAahlqMT+9xINt50vidAqUwpqL1sdz
wmw7sKd7yiq9e2MLOZENocJmX7iRd9ObcEjYYcTxuAhLGZxHzD45evIBy0gTWOEF9Vf3XGUijNe4
PvXjAD5q0fXj2RiNbhcadf+V07a/A1Zl+1YndX1p4kELVqwC6GESQzx7em/dNZal3YJY6a9anrEo
Q7Hd7cey668d0TDryvL9b2fE4bP0WWXxgydUDjE/exugJcod4kHwtN7pRE9CNxqS7FO2BRlHwZyL
DW7C5Id0XLVAXp5vY+rMi5kiFGViOo4ruOTgTR2NvY4vZLg1AViggzGqvR14zqqrexRXtb5mxEwa
n98HD+0Qaosem5sxp0nAKtFE5JG/N/UfflBGh57j+cQD1UYeWv1C20r6wTVMTYVYyV11Q52vYt3o
gDJWcqdwwT0X5Fsgh0ahYmh4mjRNpUtU+uWFyYK/zdMceUJDcFfgxvo6Id5lJ6k6jvxGufW0utyk
U6y/l9M0HQKbBp88jOg0RjyoVd6rzybOho1uDfU+ztG7p5lzK8t+2bs4FdlzBPeggCHEu1XxVFhM
h/3WsT9Cox2PoV7ZS5/qbyPpxixV1S+6XrylAa2toQZQoGX3zK1MNlXWNpgvCLoJH1NmeRXaroKu
uA3EgarCV2zTABv1i3Zw0gVpVy27kqZAkmSasVoUtR/eeA/wKGIwenBjIbOd3gzRIcGr91or3bnZ
TZRjjbIMy9nyH9HXFYOFtj+skvHRLPVyF/NMnXU+PlBxTePBYXTDPRUJAvw0l/ZzFjn2WaSOxdVa
zovTNCd+SDEN1ruk2FT4R6hRBq/+1JMUfEPbOu5N4fXlqgRjuvClXs0OHzneBzaxqQj42MxFnm7g
/HL8+2IofYoB7L0Pg+OMuFZZBq5BAHZvRRgV5zC0+8OoZ+IcM8yr4CR3E39SUjJgbY0Hd75JnYkl
B8ZD0d0cl2zeNlV0jz0GRTcJ09vIxLLamTKyP3m+w99AdpbF3Jd1CV5GM/gwvIQ+uBwchHZeoNQl
IgqJ9WdKMKMVpVa5ifOo3PZ+Sb4t1PBgW7RxdgmgsN661PQPXiXMxzglEbjSSpzFfCjyPsCBiaRJ
lsZaB0lrb5lx+5epj4xrV/lyG/UMApugSL8iHmF+q55lPoM6a+6SuLYgTkzlDmN8yKwlcc5Zlk6E
JVUkVy6U5elHiVB+B+nHP2L6iO7gzsd4K4QwoMBTmd40WmjWODJBqkrk3lmhtL1iU9QfbHMAbF6g
sAnoJnv15CepbtEXjtVXD7WYwaFeLxWRo+WyEkTztM4hYm7POx/lJZkrbCPWhNvF2zDty3odz2nu
lo47vnezsx5VuEQMRFWrwpqLUrcxdoNjpFcZNSxxeXHXNTbZbcVfFkY/ZY91B2mrqbGJGaF7odHz
T8QFO1+x5Yan3vdQq5nI28qq6Y6+TM2daoT+GU8A9ruO0V2Uec02SIU6gkfid2j68s5zS5S/bQSF
SdXZEWY3tnLCifq1StNPQmBy5o8aWQJ2xnY0QDbstC+RBJXMqx/sjVgioTWDlRbF3bedhz9RXai1
rLWR6DaDnM+czTGBNXhy7XIrWoHY0ggvpmYrhrhSuxpapnbj5GcUhN4B2YMA+CMHfU1Oxvg6FjNX
zjP86mp6YBRWvq8V68o2sSEktylVA85ryDB5ULwmOozzpGiMlazCzwgWWHIwbXxDi8JtEUT7Nltv
OGbDpvHs7sFg3HfCyE9fEhfNuaLLVI54b4dih4u5WGTkzy0wr7eI/DBkO7l5Z7CedxZ5QCu7kBUY
a7S5OZI11UZHE1WdswDaMjL6Fl6yDQOdv21zO92S2HmoMHfigxdjOa6mANLEynCaMV2AXCt2XZV8
pGOSHhiHtW9WUtTuElJaeIrGpttmgVFC9Le08qFsQDdPZe+ws7YB3apuaI8pm750YwKkYnSH2XFq
NesnbfyOzjztBOPnogkoZjQ/QaXchh2KtJp7APc/JvvRrDO2yEkkv7IcCreSTX/BWgOiPiNfTfVc
Yq7bjuCo0ZDkzoX/LSj4vhijm1VjvVx6LnmPS8Prh2fPC75dHve3ScgVZc9JBAw247qMPjgQy4dQ
AiCipUotNpfwazMrZ5Qe+eYVRtz0pvlIFn2VDIfIqnC8QKWlqeubcWm5FWZIJxafNVEh7z7feOGT
Vrl20CUt0lRTm8oqqqdcddnOlwmbCFUfZJW290Xk+c8xgRdofXvxa2HvfO07u9iQB8E+wUkYnu0S
CJa7PnOJUu+KqiC1MWMgjfApu+cOwBCexN0ZBgfmVwqyZ9qR+DDU2nAo4UvSeJf6vkhFw4WkxN3U
ZYxEoWE7ezDqZLvBZfsyS6Hv4PvWK0tM3qZOyw5hiSG2cSCQDsdPsMdh8JJdrwTReoVVrcx6DiSG
R+wMGQR7BwtA21c/lt1Tz+U8ivEg1yaUmAUHMVLqPl3ZUltJc7xqVmkd8hzQdVyMYheiYPkQnGdL
sttxcdZpRex9pm+KJsy5YcyG1YvjXOWkGXcM2vpNCvjylAF7A3HhMYtLMnKeiGGGjmqe/a49Mjj+
ZTgHk7/jmhrAF0jx3bI/tyeBqQtJUXcmS9veZP6Mf5/8YItRYKHXPbeKWxndrYGq8QT8I1kO4dCh
QyeNxMcbija3RnwhI1CQjH9rlPHrmMEzQLLCRTTJWnZpWcMbX9TdhamaPtEiDWumaNHGDvzsTi9i
64XP22HELtssXhZFqDbkBNprgSpil4V2wGpHqWvRcZd7EGKPAY7giwkV4swkwbvqhuEABM/iOxz9
MUIDkNf3vKHg3uCXVXf0Iek1803xM+mDz+Tbyy7WYBpn0Zry0FaJ+CFD0T3JljxJEKDhI0uj8sg4
10aahPX6DS96c+LYTPb43+AglOrLb3GiqowsUt+O2nNjG86bbTfMfwjBgd7HRU9dZEXFqRjLlMo/
tMJ9nvp1jTi6GDk9GvLOpiFDqJG3O7dSEtWuGh/Iwq4nEnDaQx4qb5Vpbnawhnh87q06uwxp8JpL
5d3rXhG/oaQod5ZitTHG1pZ0RgbzflRuVCiNdVqhhhoDIz9Xij3DovB8bAaWQeAzhzOe7xAZcSxe
dFoZPmaHRXTLgUf9mL8GcDffCeuID8SA8wBXtX3nGE2hFpPfEjyB8Ti4+iaTgrSVzLHwFX55JJcs
Zci95xEOuMIA2W1qxT0+KOUfc8Wip+lQaGseVSbTXYRF3VtV+cgpYgZGTbE30uQDrGh3z406gMej
5F3pokUwrGsrXYcaTpvVENzQf2GCbG+xW6QH3JxYm6Ou21vCMA6Y9ZO1WRPoN6Sxt+sZ6rn6nOFR
JtFeJd89poJvH9/YPsr5oyhhdVz+SfU1asF4TFDFoxcMkXGbDCqYQvf6Gqhvvsmmno/P7u3Lv7F3
HltyI9mW/ZX+AeQyg8bUHS5DCwYjOMEKKmhlgEF9fW+keEVGsoPdPXirBz2pWlXJpDvggNm1e8/Z
x3B8LEBJrm5HDW49cevms+CBuaZRPJwysx/JcszQr0vsKikOl2PvzT0NdMHQJ07nhyhKO+qFrHgl
X2fhUoDIlNWSfOEwZp4GR8kwi5C9DUHffiC/erxnvERHtK0s+VJ5tfGp9AK9b1PRHEF3IpxLg6IJ
tstUcuiB9XOr/LJHA0UkkJ/Tsh2CIN/7zYxMfYV3LJzkhnTbdPxejhfkz3M1jTxZo3uo10ZtFekr
oCpbMEWhV+MzdyHe4LD1vwcU/EMfXE5VwN/fwBMZKpIXUkiB3ijOuavo4Xnlt3acjkSWP/pg/Lau
HNLblC2RCVg1Hzvfi/ezrRgsWXV/gn/cv7SiHl7xRKld4EXukwFDDMJJHX0xqJnw2OqKga1yggM/
jw0WafCu8Hg2l25vly+eH2lqI8c51YKSFqAOzdCAWRHAaZM882BxiIyupAGfsqpY4tu0DA4mgzgE
hHVLDMJU+/tIZf4Xga1g7XM6oOiLyPsUuAZGBKZi+VNDibRrgjm47seleG7p7x7mJEqPrmlNry75
A+wdObquQs9ihfQvd7AuhnPuLNOd0XUgFJlAk7ML8g5riLecFjoV90EZqNd4jkiVVqgZ0Q4g3ls6
6+TNdrlz8xEBeW8KjfiscXe6lwRVkmJw1zs9+itdD+qbWOLh0ajwfeCbsbsr16nd3ahxO2zy2fRf
4Fa3B7LGvqd5FZztJInwgsypdevHq8yusFLiWWFdM0TXSdgYjkYMtphnhUtib8xz+aydnMoVeP9t
xeuOSKqoryM1ONcFmkVYQt0yh3UCxmODTqO7zb2+uaG4xnduMcE/qsxkqWnZRO9xhxARzECzODVu
6R9yuaiHrKGGpa1NIk5pBnYYcIq5NGMJbbFgGOcKEBe15XnbucvjJzuDM02ilOVvCNLFbVy5GN+6
cTmXlGfnluzF52GxhseAKvROmyO7yZJZT6U5oRgYZPY59jR7UTQu187iNBawKRFfKjuTV1VHVHci
iUh3ssI5iQapFjY93E+MFF3ndbBJXN4EuSVeaR7nZBcSsfCRUBiPXgtQPxoPPYSLXRxAZGK8JndW
Db14A7J72c9e3lyxjzcvyRQ1T4PXOrulsTkY+D0aL9+sb8jQ88l8yT2SHxxQoXqA1WmYJXKjmRIL
OxVwLS9Lh2d8YMiPcdreRPZkHlQnF/rYY+6+LDLCFNKhRe0bv7gwMNtdlGm2akG13e68Nspu6WvH
/LT+azPSAUkyAy3elO7FzBmc6wAZCupxWNlQYBFArIxGjtts7T3Ikl+Jka0ESV6UH6xCtOeamBt4
N0vvfjaIOQ8nQkriMMhBL8HZbsuenlUTCXRt1Zarprxl8PyQkgN8ldoOX9ackI1OtpX+N/d/10bz
l5ozIrtZ3/2XXXh1wP70P3ZVn5Jkqb+p+f5bh6ztH1T/+if/d//h357a37R2Tc+0323r3r9mr11P
luOPbd2//62/Wrqejw2B7uwPaY1/dXTd4A/bx7fgYguwXftPbt7fHV1L/CElWY1M78mSZKACUu/v
jq5p/SFsm5Yu/WHBcNtx/k/oeL5rvuno4usOMO2s800Pc7n7ZlZei2YyYGN1e4HtBQlWhMPzCm8R
6YddULsnctIportp6NxDkGXk4LSuuVBSGznabRWggKB/4V+Y2Ib2ozURo8WQLuVk2MA+9UYFo4Wz
RdVuM12a+jIop732MotMhNYb+8OsLPIOh6FZdnBkDORHxNdcaTUq5qA0QU4MSxu107rklOLOWf5C
KtE0htKayOT2xwyIEpsuBlNRRTG+rcHFoNpqzkrBeJiGwEeMJZer1gBhT2h1TrBuXu+aVuf3zNra
LwOK8Ve2ZF4vUUTu5zLvq2cTeo3CGaBRlK/tmoQYsy7+OuDF+1iw2xOTJDBXbZrRy/2DN5TTA0uA
PpDujHwOn4B+YcDH1HWZpxeWGay2I0vRdToDOQnLSmZMsKt+QRwN25IE6d6wINzDm8PbW6YI2lGG
UkbF+GVvSiVbZOzYdF+aWuKIEBXBUxyPmW7uSBagD9iCCLx2bbl6E2RW4TZOGFTZQWWcu84iBG4o
BwSIBgm/zLqHuSNEEFKNPKFlIWSxrxBn6B4OjtnDo78UeWEzEp5UuW8hAX62eg3eKLOb2yJV9tdE
yulDoB02Xs2RoNqM0DTOTb4QR241I+eNYmyeyq4qDsOCAmLLmJsMl2puIXiIRTtPiY77p7ZtcmKa
lyCFHLXY9b10qaZ3fIPpaRh7tj8kB3e5hNOyj+Y+OCbYOw8Wh4rnDDUg2DMTNRHxhJWeINOCAvvI
0H5AmStHaWyhdRiSkMhkNo+GPWSvTjcwvg5q2oAXEjIJ/BW1JkbQOKdVKYR47NoBJkzkuyiQpJ21
w7ahmxZt+tnDYB0QGPCkUbQvWyRL00tG8XeJLOHPilBFwE8BVDQ8sDM0oC536alIRSV2GIm2aQ/R
mFnNrm/LOA9FbQwHOwv0JXQ58053o/8hzzo4NgB3aUJUXVlug6FcbqMMNN39FLdMAXC1HJkKWLcy
WXp8ldg7D0VXOYBUpV+9wJrFruAZkYGKH19h0wsvlFXpG3tASv05jSi3tmJi4VfMPHZBVbsvQZxJ
f1PKlFjwWhtxgz9TB3gPG7PAE2Oqk29NPcp6hRdQYNHsUZ8a1ozju4/v7cVEp9UikH0mva79mInC
/+wOvn3hjQOtTmHwl2fg3bf4Yz5qiloGsJB8N3Mv7VdcrC7KdrJ+XJywYxHTGCz0TUvxP0P40/ZZ
DTZipKUgfHVvqUY/O3XSfU6ymHZ24c1+cVCsA9nezBdEXdRfM+EOruCTI3B6egMKh+xXsL4jFOHU
o+4hikQOWxDwGMMnR4NRTnNsrlSpDTmyy2TLEM2G6reBD3yEME2f1zwR/UxLQQS54mSD9r22jfQ1
NxojOppBUnydWy33WRBblxVvODRxwp+/KNetrz2vcRj44KhIAsytGzOy7C8KL+aNPyPRuJgWN1XX
MaXlJ2MhTTMjGmSLzT3gAJjFH3iiiE6nat1FRLAwEXDE/JLrubhuY1+MVJGt7W1wm5sHFHQVUjJv
+JIp8Hde3LXbOZkRjCWYrUL887q7QCI5uJdx4S4PLDYOw/rAj179zPCvzZgHYu96WOq7uMmf09mK
6Kz0vscUpyiNj62Y9DUHCPFdjwlIOj9D1EylvDb1eb8vhTDrr73VBtR4bWqKgy9ZHZ/syUC3p0Vp
GXs9YN492JXiNcNVSZO4rxaaZ4oj29GLaufRj2QhQ0lBjeSGN4WglL7adVmdXGCv+kToJEZNAho2
vdno12LSzYOmZbU1O06WzuQYD7QFkASPdgsgbqSMpiEH3HsH7Xx4BWKGqyqdrOo2yNH4bgbAMSdZ
9Q6H1XZBX+5pPO716O8kU5mKYLneTh+EXU4OfzZKn8itXcRGJ36xB5xpESJp4qvN7aVhORqF/Eqe
qXcDzM76xHmkvDVRJ+ytdtJPRTz56W2JCJwFxWSesUF3WX3KinI6Ah2c6J+PTfqV01+yTVJV+ztj
gUW5HYAke4/AwofvDApNKJ1l2X5ylO0pWt44iBgnxSg/jLLut9gFnAGjm1fuigGU18YZ5hWWsUS3
Wg2LQGcaxUPoY9kiUsGQ7kfCCG02bg7vgkQ+eqWE7NpEvzzkgTddmIZpHmm+JI91qRNa/sicGmCs
Z4zu+gWbB7EHcVkb8NFxQ6GK4T00aBx61aUzKOumb1GqF94UWm77ESoGL2ZcI6PJYAjVqRNd4PJD
uDF19tcpycQpTgL0v07TbvuhmbHZpJ9yykGUKN43Z0o/MwUxDjIt6rCP4hIpWoc4CO/kZH/s85Tw
d3z+PLXkPZIKadao4U4031A6zcAOm9NoR9iZgPjV9tbC6jMQDz9b8NHg2hFkCoSRIXHif63rtk42
puzlU9L4xoKmrU8dYnwKf7peeHy+RhBwwZMNlDp2UpDuBkgXF1efofZAVgdnMTN25sB5VycFDrcJ
l6THC9GFnAAzQOCF2CWwrO9ztDx7Z8DqFg1B/gX6mfndp+/yUvhWR3E/d5+NFit9vrh2Go5o+fBI
MR+49lxkL1UwVnLHjI9IV0EGqns5Z7VhfLCTFI1oNA4pJnzMglVotikOjXYl22KQizHblQ1qE+zi
PU0q5knTqUkN67qVKyavmDhL7mqprWfciXl2Char++a3CGtLt8BLaRMKeypLYmTpd4jB21vTnykP
BQ2ppVLB1bg0waXoTSBRuG+Sz3RNrbOjFASSaEj6z42JKw93dz1/Eibal5BMBSiVGmAlqwUmdu9Q
uZLzeS9guyHtKwAbzA5BdDl3+Uoq3yTeILeADpiTe85L8LMQrnykOa7ZPVFEYXHKA2l+6dpZPcPB
SM5F6fgJ/v41jZFNabqOUVyykwSKyE1POhEGL0tmN9qTqGMt1+nDBrneEsq8V1hGMYic6Bf50EhY
7PbjqNbdb/Hagm1V8HnAo5crp+A13U6B74cliqm7MVjqJ4sBuwemK61PvuF5z9nY6uxYyaS9GxC/
16EPUHjeEblBUZDW3pzeKBnFV1PWKY0OuKN+cYP2zmyY1EadokEVmW6vNjGnb7J6tMlzMjgB12wh
S9sPXRYqf4zWtJR03BgUpndO7IwXOuL2MEIh52PDMu48EUKy5sGSaNUcUtq6uMkS2y8/xk5GArAq
zfQ+B3fBHxnX6ihLoO8fIt0XrxQK0f08TJCA/abpBIHHcGl4bdA+7PIyJRNgbjNUqCzQcx8SztM/
5ZEtQbyyR99osisvKj0MO14B9a3UjrynZ5N0oWyC4i5hNv+BCXPwZA6TczBpq33T1iA+EBJKTonj
GC+ziIx2i0qNWN460zRoJeWC3fYkNaCbzA6gCSExjqXwT6KK5491OpPmR2J78RERStOHdg6JgkVA
ZORV9XSAKZpRTjB+BwlIpSxy+ySMgiqmgw2njj7V/9n1BvDR9ZAQkt2ZbrFvBXndoZuwu23o+LTz
IbKSOD1zRs8vHG3P7UnbslNEDmJTpBlcBN+Haii/dEwW2m1BZ9PcdZylaLeQzoJ5ZpyUPAiQvAY+
KJXY5xTi0MCalTXQQJZxxMYmqzowXmvVMSXMzMKvETcUYLKTKkPltV0GjjshRPTap382Sv/ewarV
HVA3mI3NgEQ6+CQi/erAwVj5P9l+XGOf+qnwdrFp04+dKtvF5snUZKcXyKSXidvjEtSWPVjXSxNT
sFq1Bw3Odx4F+81CdsMc3eV0Ugs6c3KV1q92NPOyYPoSMWEdaReXfkwPG2e+a20t4i84qRQw1KHu
VEnbtlfJUlMeEZqu7dCUTWlfY8qqorMjuyG58UdPuzduGkXjMevSHmebU931Xt6iInWoSR7nQpjL
IaAlZu2J2UvSk4NSKXsmjU+VR8yd84yUxZ+7T+Uyi9cgzXJ308zaiT6tEQMRcpYYF1wMVpPeXZeO
kKoB9nWUmWpq06005zRKwng2xSfLHcDlqV6NettGJJlHqTMHl2zf7XjMfanP9lzSaDWdTh5rYWIR
gozpUAbSk0mqvixPc+pmYp+ohhZbhQk6u6ptb/SItpB1v+tzk4gnwmWMsI9pGc94iaIz4pAJWCy8
8xbaSoRXhCnY3JrAlExBDnsNwmJnGG7RvUw55XbTTnN5xZjS9KCug4vBuTr2fnOuBMl/R5irK0mP
JLbkiU3K7U721FeUOWIcL4fR8gkBTVMwQR8IjLKzz8iMB/KodY8m3W0YQzMigpgrOne4RaMbvGQU
d+A2ZkYYYcflMAlW6Qx8JQZhjXfOXoodui4PoJbh9XvPVHTAFl8ZFyBEXwICXKjI4QncJnnDngh0
BkETPClCshfaafF9NrRChzRScYOjPl+jYa0B6tXkorBNI90SlE2YLE+UEX1fUmo9TD+0+bEwjCuN
q0jmL3OsLAtgnowpWMXQ0cwc9IOWrbvVbmyx/ztzSdu8ZTgw2kT8xB1rE5Gt+UU88cZStURpG0b+
7Ljb2IiHz53nM7IDyybWSb2C+DVzFC6OaYdcY9sNc/zUAR3h9/CXDMErPNmb2bUK8yoQFU08/m3M
WyTOMoBp4W1Vm7pMJrntlVh51pX3lUQnxpNTi9mvg2vK65U14DMMtzoZHfOhgmHVJemPzOb7cpHo
YmNHFeFS4jt3iti6b9PaPqRNVjI6mcXy2ZLcDkKSFcTFqX/8MzrHDmJM3T3S2Ho3Lt2pEdX0ylw5
fqKRjfGUoILsIDNpngdLeidNzAGaIx/qYkxvtkFBXfpi65ErWYbkt5AIV7WZUVwHWkN5Xyy/DPYG
F/bUxnlw4bsLw/4pZyS7qYhUaMOGw37YqchtQ4a+jD2XNBNDOGo/YsVuA3f33ytc/X+wcbmGn76L
EXxI8zz9Cavy97/ytxDVB/nnAwp0XMF42vdQgv7VtvT9P4QUrsmYF37g+v//A1Xx/5AoQzn0+DSa
HNQj/2laeuSrBqADIUiu7UziWv/p2f5NL6HdS/c3/lb/gmYif/b3kGxoW3wrygifTdonXoSe5g/+
HvZWQRQgBxObCfR5UWO+jev0yo7MhoEkg5mkJfvXpiDfjU08fUjHPD5Xkpi0Fl8B5mroIKWJzSVL
OhlGLFL3TFqmU41m/wrhzO9CWX9Gd/77+75BdzrG7PapPyO2SguMMjaeoob9jw5gFIqGLprZBuIK
wm90+PPB/l/eKcv+3a2ikfzjrWpcu0SzQRZpGmMHWOjkXMOI9/dLO9W7TBt1CMScyZYkNSQ3nZtp
4AREB7cMA5yeW2ZFCglSBaTCYN5Ug+QDFpvcmIGpkf5z91xruinYJ6+iHiFM6tWMwVQljt2S3jdD
tlNFSmdL0KPqWwM9fVP4w3OeGvMSkhja3tZJWR84E+uHwWIulLOEMric0l3R4J9miltfORoRl6Ip
9JLosQ+l0dTYXznSzzil9kQq7ET1ZR4ScSpwCZLzYHAsSjjajVJ8sMd6OqF8GQ+FRS5WxEh4n3ma
HgnJ7DQDTf3cpI6AEgw+YqkrSqIY0zNcjpoA0+yD40Y3eh7vOD0q9opwLIxnu6uCi77IyvOcBR+7
xTQOTtCAQ7UFCgCX6M0lvgKmgVYS50DozxmtRp0erLGhvet7rz1m+RCbMkKzIDtbQwQUeZhvQAE7
+67N+51Gyrc1Epp2zMSmfaQjKosiva6jxeKYKoBQ14/A58/RQv57rBCgNGI1VjA4a+l/RrTBLNHu
s9yewoa4tH264KGukWLuzBGGdEXkdQgsu95xYfga0oYYLeWKT2Os4h38E1S9NJTmY1KmdyPkgzNv
zSY19EU0B5gPfZNgt2R6RCU23E0lPJGpJFeucTWdcmRbIiG4lzn3LlUxQBV2dIycdXITaBQriCeL
yyBBcpITroOXJCJwxRWHPk2ik203PgIhgiNbvHPYMV2Hlj2aiwEL66MxtWe6XTujHobtkJSnxVJW
WHDahbnA0zw5dJnGhhEmKtKRFAX0tGMMmmJK+/Qg8PTZXvXYr/PXwHQOLQJO3IiPQrDhuDTSTYwx
oUP1siFQ5uha6A3zFnhB5TGeK0ws7YVuwhFjOYIU54jAzttQnhxc56mqunyrLBqFKE6KkFNYFtKL
9bdRkYWolLCXeX52aIvxXlZCXOCC4VUbmWVMHAA2ddMDTK6b/IE0CiOEmHGYRvshrx1OvP6E9GNO
8AHr7Nr1gQ7MiWeu3M8eU4+YYBmYB2NUB8c0jJ3txvfAOfwNabcXsZOf2tK/T31GOu08PfZTeuE0
6bbvk+uBIutYO0s4EokxAXcqkD/jHES7qe8TWh8cwPIUHzQGb6Ff85TOthsr/NsobsvqsTMobadg
T7rxFyGrXU+pFRYeHVYqFKxqln3NjD85SBx7adbepWNwNpS8mbz4nEWVeVW6mKE3VOTePo7cap08
191nhlYO970SD5BE9nAmzXsgSvE+SkfBuz1MTG3iiegg5UL8mazgNSlgc+NhS0/T0jn8VIE9E1+j
iY5oGxrZyIO3RbLqqch4OaomJVAJn9Km0V0cKnQ5dz7EN4gG+YKtoNXHgniVs8W6SLtBfCCWB5cD
WtmLWaCEUQEOQOiYBhN3Q0Bklh1Acw+5xlh5AoTGBNu01eq+jVDZjdpqjilpyPRjgDIU9DJBAYAK
R7EoGJdF2G7nszKteee4+eNcZT3nqJ79IbefaFsmOzK18bHNsdyARep2htmoa7Mlu1n4HER6GzOY
qbCdkti6bJCIpWQn4yPIDCUORpymO08MEYtd5zyXjIS8aGG9g21eLj49CKyDMOTd5ahGBuuGrL97
0CJpePUHjLbm1hjy/IhD68UylL2z0+jOSyEPySQy9igVkZgPCVBOI5MnWkrV9YJh/P197GfbyZ8b
KA56E1Ib9SRFxJshpTTsRDIT5wQV1Hd1WrrHEsqIRtjwmyA7uf5N/6Fs//uT3pQW0DurhLwj6zjE
2oFPHHyTSzdw7ECTQHfts2sSSzE5Nva0deVtPAjc71+r9fNE9q+v4EpqHEeahI14azXxQ3WDE2LM
UNjKI6sVxbSwTWZZGjMHXVUvNJRnhGkr84d+afpjDpv3GuDqtElow12AWG0vgpG2UN3Vz0jO1F0+
ki6Yc7xMUIVW1bXjLREkE5GG2VDERzqN1dEE+7pTy8wiWImzaiEGeU38vXI9Y8NsuN6WqrzjexiE
mxU4nP4L5/eLau5Xv+2Pl/vGUpTZRUE6kCOPUGCj+07RB58ZtIWMrZbt+x/1M8j87zvrraYg/gPG
9frPf7izcuRYiRlGHlPtfe9p+AO6sz9h9atC5TTP73/Yihf816Pk/vBpK0X+h0+Dl1UOU52ZRycd
bhl6Wh+tMtGnbIy/ylS129bN+1uaw8kZydFy7A2GmGZO4Jnvxv0VpJ1jxi+JBq8/FG477bNO92cd
sbhx+izDNOUnzJ1RgJXJnNCc6+oWgQpMgFwRjjBJ/rY6Y4pvGZfTWpS0a3liU6e8f53rZbx5Y6j4
CZaAtehzuevj/MNl5ujYhME+cnRbJ97mJI5uS2zflG6ucUt2GQwx3SJ9e/9Tf/Wi/vSxb2pq+Hks
bvVoMdp11mww56uXS3ZmhW01pZ17rubpOjI6dUuiRL1DapD/5kX95VdgUQpc4gVhpgdvXtRCyKlr
YB8frZQI5Y4tMXW6KzQdhO30jrEpGvfG8QX1Jp5kVv12//49+MXjHPz4+W/eHA3lkPF9bB/7Qn+y
unS67qvIOpct9GMYVpfvf9p6Unj7O4PMdPiNpenw3z//zslIzlmPVf3oWKAc5Ziju+yifvf+p/xi
NeB+/udT3lxTZwlrKJzaXn2FJLJwgZsOh1Nfus1vfr5ffdJ6KcKkVQwX9+1igPOhgmsnjks0os7w
5cfCDU7sM7+5ol8+Jj9+0Jt1gPOH7qNC2ewmjfctHfubzPTsQ0A3AwG5th7yuGcwHK/lcbsWymYD
Lfv92/qLI7MtiBbgFRXoiji7//zrRck0gjOLrCPam+a4jGp4bExbnlJmocfGmj7UTZCH8RAjpB1m
yjdcdVvmGmLjlcarQYoMYmaDFZPqorrI4/IjfBzo+Kn5lCkEQu9/XevfDxvRNcxP0Yqv39h58xgQ
rZJH5aL4arHGeePUG5kIKFJLIQAML1dT4E67Rouj7hIgFyPJjhxCjT0UAcr3law9lCynaiBCuKyi
HYRVxl2caToDdxOHiO9NQ/CwaEtKOMu+kB5KRPTyHM9m3902RtrvGsLrw76J2s1QfEPZKjfz2JZb
4Q72Zdd1f5U4/988/RuFneXCxf3h6Vg1fD/lXXz81vX/Y/MN73Txo8bu73/vr25VIP7AHUAXWng4
k/21v/RPtwoDtInPxQfDvTa4Ap60f/pVq6OaSiAQ9KxMz1sfwn9EdvIPhweQbpbwKDw9NrU3/an3
+lU/r9OYpnmMA5PIGFpWHkDhNyunZ+PdKXzXPyChyZkVZcFmiF3oAdipN301n364Pb8oqOS69f1n
pf7z82zkg3CPuSM0y95UywzcIsI3AlJo6I4fYjPPvsEEZs4oiRaa5mEE2rpQT2r+FLEY8wD1O0sc
/bSoqGCkbVof8gHdy28W3Lcs5PU+2Cb2dJvenRlQL/y8Bq3nEsZbyJBHs/jUV3wPKjJ/g9XoaPb2
OWBMeqgLC7FXWkxhMl85Crra+zfn54Xlr3tjScdkPOtKTPtvvkPut240Zdo/NOmEJCvvorMv0/rx
/U/5xS9uc6nslRZtMqymP1+px03OEvB+B2CERycf4eR7pB0SF7ZpoUf+5sb+4pocS3A1tueYlLVv
ni9lKimmzA8OAWiU/eSvJz/NKOr9a/p5v/zzzjEs92EJuIJn2HzzVJlRLtvRibwDIclcRj7TrS/0
PWrFL+9/0C9uXoAglp4C10OR/uaDHGPhjq6Pb5Siqi6N7Dv4MLTfaHasLL/+v/gwcNh0rZEbOeLN
h03arnF32t6B7FSxLXxwu8lg0hpbXHoFmXt8/+PWEJ237yZYEZ89hRWBderNb5VK316IBPUODJXy
jRrQeY1eJO4Lmbj4lcgga2AJ7AGjAtuus3rPDCX67K7kurGa2vss99XBqkqwJpTakpZH22xdyy/Y
9Zbltkce0IR+UgVMnLMqZb5a+v0GEW4ybMjYBXTbLzIkjcwdMBe6d4ooyLv3r/FX7zlbt0sPWLAW
/+t5HFGYjA7JPIe4SsxT5hj+aR4cBkKD88GYK8aWUXeqVPzds5JmZ9OHecSB6v/mVv/qeQ1YuUkR
94Rj2W/utMoI7MRsGhyKQtunyU6vK+GiyMQ995uzyL8/KaC28ixY8z4Nkbe/adIkgPLADB48YlW3
k8bsCsziU0cjYfebW+ta/347AsHs5U9RONqWP//5D8ettpSWAUAZEV0wmMREGOlq+Jhu8TpO967B
g2C2/WOM+5n2fk+TF24OEgm3aujT1DACkFMXB7qLKFcg17kPmF6dV2do/eOIvbrYWgySH+iN25c9
OJuLnAYwuWzoCBF/6WzaF37gbJE74j4tPX3Cw+MfCbp294Gq5oPRdm2oVGvuLHCuQFy1IFnRiWsn
Ooy9idKqlMi7k8y5qRwJ9ZuRKpEVw2SGAyzdm0iU2SuikfJkDwFc2CJYjnPAYaoeWgKG2t57Tq3F
vhlNLnzp0EoakSg2TqBcgnjM6EpmM16I3toVUQN/z0k5mTFIB/mum0fbVA3a7qoBgCxgMiUtU9xk
bgmurlerezWQyokP75iKPnswRNPe+KIEjjx5zYhJcFrUZhqt9rkh1ORKgYVG1bmkh4H07y+Y5aca
3an1khvZx6owgQcCC3chMaobTLrWtVcmYSvSo4VWj0AAiW5HkXNxj3q37jZW4voXwra6m2VAyxgj
nTt0rcoPXA6pm0OQbaKCkPBuQV14HuoUzx6r1HwZaEzImzTXpYZ7EmkPEVWbHop2HL5RMnFPgNJB
+a8aYsO1vG77KOKWWYxw2truPsquGp4cG4AYeqUGBlOkEN1Qts09bJSg/+CT1XjSoMDgkrbGVrmO
DXHILXd1KyKmAvj7om27sPWDVZHIGzPCfnWYD8CRUZWqfeXze5vdwO0jHt55RZY7IrrBULQRg0x3
NhlzL0ljzhdMEe0XK2lhQPsgO28GbM90RDgOoDfVovO3LB4TK6c9K2BR5Rg8jZ1DviAjBTgoQmRf
Wge/zcaLHJ74YMi6h8KmEArJI252CSXOuSQvsZC2932BzYRsTqdVHArEHtnBNxsaixlTg0szL9sz
SaduHTK1I6DFjQU02YmI54UCZ8N6UH6GQDgEHN0QFgSrx04FzPytONfHAePvFZ7hON1kdhzAYDQW
tRV5WYZ+FV3neoo5SaMh2kyV5Psmo8JBlvgcBbel6SbBxjDS5dIcFaJZ2Z6TwFlH9FX5AGAQ8HQ6
7yfCFB9NEUw7PI1EJvPdALfV8T5oEcuT3Vjy+06om9yJ56NYkO5C2NGkXtexfBos6OvW3H6rpdPu
Uq3gKSC/+RREgSspUK32ZEgFAMsgcjI3B6YHcnGI5WIoG9LQ4e5j1LsCuxVsk2lOkB3Bys5AWW3o
RZSvwLqz66ySIwgKFX3NrcVZSdbjiN5NNGHBT/wQeRapValR7EbmdwdjYhemFFVfBqfs78yAhG9y
kUjL6LS/a/Go7X2BvBTb2n4aKBCnRdoXkTlmu2nVdivyOvGon2Mn9S+62m97OtwjY+0uZgqTRR/i
ebAvWiXjGwOt+IVSffCa+q71wVycflfEEM42KiJ4dw0DP5rCqZl/9egtnJRXwTfic4rpNHQbimPQ
HqRUNsOz76vu7Nci37LrMQHQWiMbXqorYNW06DGxLkT3pDbCdIXDwjOKNesgY1ZVUnjjeL/GMZjs
hsxbHmCRdFfI8dLPU8qKKwxCfNjmUwZV+XTbDfWIbAM0SxOLGPEjIGK3tZfdpGYjrGZvuYqD7FmT
X3mA9jit0iCkbAR7FOW9wNRxKqGwnZhHoMEkHT5eSDwoNP6A2nLHb8zUgSsjuCHWwNeGfJ6C1rqC
+341RghffPK0t9Mo5q1pz/ISdRQMftdPir0qPEjjRT3ua/qLm06SL5dJggkWpQbEipAq9sqGD1P0
i4nC3fg+uRAVR895pEhaDrpNCAqpeZVdKQ6SXuMOAqS8sqv+rknVJRF588Zj7rtdWMFJ+a1eZV2T
eMeVW4p+XxzXWGAAPEE2CBNwhbvJHFHL6RE966ij+//J3nktSY6cSfdV9gUwBhkBXG4idaksXdU3
sBLd0AgAAf30ezBc4w6b/29je7804wU5012VmcgQ/rkfr8yo3AGWmq+YgN64iuZWOMjLBjf4hI2z
b35EAUBpiVk7FPNyER4zctoTAL2JaRRvlUymHV3t855AH25i34zpmnMrzEQbNVf1M+ey6d6uUudY
CCc6tOmID4jF5paaCrIkjRE8Jrzed9ANAyOlqWh5N0QJ5VvTS0j2sOiV3EpY8ebOm9t8oO2Nd4QM
1iIvhVcBAopZvF6HpNWfmLJRWRsZtD3d9fPk70UFKL3Ty6/ZTqlIT4ndYpP7wJGtTvx1wBP8Se8z
F7CQ5QUNMIzigbV/a7L43PIlbA5LpqPQphbkHWdCc6b8hW7CnnGSheqxzYs42acpVCpLIFuRk71q
l4gqh8J9GdBGtnFgkE4c69Bhk78Ig4ivXqKMfj3ynQy+xMiTS/VMuEi3ebSF+ShT3RyBABrUByzm
kaxldp5mjfLX9P2pxyzKKt9XdDN5PBRDY9uHWBVAb4gW76IWtyk81+J67kr70tdFuq3MpHpXvqt3
Db2IkTFnV/TJUghJju0XGxJ1GBVeLCS/4Zko7trkNHnjz7ZYsKopk/KwrKUMbcG+zZnRm/eG4VPt
VqjyNKb6l7JtdZ7GyHp0rADbgTlf0nbIz/PikS0JnKknhWMMLwzL4l8eVYa7hM/mjiI38yS9Jtob
VdA+LJiwAFxE3y3zwVurMuJ9kYIcgFmb5iyPPRD2AbMXuTaaMXG2In2a96SjfIapib1f/GGizNFz
EQzduDpn4L5hYNjm3nL6bjPZ2bJXU5pf4ZwPig2+inQMp5wxNvZG9QW3p7hi7pqD5e14RwKRFYeo
osLMTRRkj0Rc5W7/NreTupnUdDsVSn/DB+mvm9qpt7FVTCF3w9ueKe0uiLT+cLTwDqXZDKfSmw+5
Ml4qiovzTY89dNdUUXVWRFh2SQ0dIe4FiHg9dbcBc7ODySZ4nGqsOXPZPrt1gv8x8e1tEwztd1ON
Czs3h4KNnSp6Hft43NY2a3MONfKW+FZ8TwEz9QAmQGi/tPGVQxBSW4SM4TIl7Ws9w5VSBv1G9lAw
PR934GkGCtEptC76aYuF0sfXqZYDmfiB4T61E0stb+wFf46dpuk9B3sPg3W2dr1FAMorx8f+PlUv
OjPSfS2r3ZCbX5VIj/1odSei6BA6EmqSMMWSTbRAVhCeQp9PveVQGBUJLrnXypP7WeCk29S14Z8D
BVvfdlJJrOVpmIxySzSRENLo4ZqDa81RHjJqHODKSDIstEOAkYSfv2lL76trvOhNlkA+a7A55jiL
3ZIxS6oBFncA+LEcnjujf/Eze7gkmE54a9+DjtCmkxhfmNFfbCe/qVLxCBIHj2dp3RWT/BnnP1ua
Cg/N2v1owrbvBOGPsqnPtSevU8+6MewFIqrs9XXRGtctTxBl5AHd45hFv9REZWFslyG7VFj59XAg
/VG+Ls43Ulyx9+0GMvdIAX3BbH7TezOJkVKnT70C4NTp6rld/BfRZPy3+cjr6MekvOsEe6Fre92V
Ll0gYUWb7asyeU7s4Egg5okhNgG45lQzDSePXVEvkfO724PaiHoYdz3myw0ssxGXDMYM10O/SBr7
VFVjsx9F8ZDxrToVWfKJ7HASBNAMv6EzgSKErhkG7JhJdBSWPdxB9vPu5lrqn7D4AkQz7wSCpTyD
MBX7gZz7oRyjT4IJXMy57j91jYvTnks+X1mQWl/JQltmqUG8RaW3bwOzOM85urYdManlKCVoSnFg
RyQgTbd6qrKtbwXtJqiqG9tltKeribNKHYFNLkeX+T5XBD3iu+jplC1iXnBGIQ1LAUUfhI5pv1V8
3txb1WY05CPTxTvXGVNKFdofJAz3uuOcXwlOn2Vu9xsvYs2vYw70TvCQUP5BUelrN9NXIqimqCY+
d0BT5iaTRXtKkqVm06+ezc4FOYsp3Z6y+i3DHrzFb1sTUv2UhvsqCrMLl5Y9e641H1oL4cF2erAx
Q/kyIYYyifUKDAixdSRTSD4XxhOuZVIP6dCD5nKTkiVFZWdZme1mlrjomxKoTyzbHxXB/QOdbrxS
Mxs3ZTbceVYDBr501G7Bh/NLzolzlyp81y1u2/1smmpvBJiWZto1Ku4sewC3/nmsIg5HwDc8u73g
6YZLUPvNWwKkAdJU1B+QWB6J26p9VDehN8S3PsfDO90Y/W5i7diRmxI3KrBzDv0T9+bUapu10KaC
RzPle1NwOfar9tXJs2XXM/zY28wq1whOQFRaTE82YImNrCBMju1o7slxqa+JF3WWraRgceIjta2+
PtqJ0R/Yb81bIrKkplReMfc7VvOS7XDR2Dfm3NAgpfvsJseu+aJB5L74VJJFk2VvbbsaDknhmK/A
eTtCKJnxWBOc/Rx5ti9d64sbgBV4rxzHODA1GQ44vOjRLQINxEeXOxcZZyuThGBgg8Fr5dHzGrWl
5bOp8tAg3evsTaA8YMLQ+OBj6XINzdX9SVOGScVl8T7TD0l0LMm/ojipdlga4KK1HIU6rshEzekA
mzDObTEP9syWK2+bVUKc67ab33sIGFyYxK7g67s3tdWfIjejXTfzRtw88XRJQQZzWswxhEqsgJUW
9wlCFMBrPnGMDsGR+La1n9BScgKqPV4/jYN0atsTGdYdsappH/BF5y5VtlfM0YddRvSZm4BT3gQY
4jjGgo/2cmvckgtMTvWyMnUnWxzKovOu+DlrmCdPDotnD8coH/0zLvsIzUU1W2qUpgsXsMdR2w4B
t4y+lKn7ngJnfLPy+Ecll+KmmRIqYNPlm+t4+xCMDS20cWv0IS48vbfydrgyTP1s2x7gf6HPhK5O
iejdnU44DmuCL2EbIbnZE1w8Pqg2ubVNA22oaoEDlnj7j0FpEAEvU+zrfsXjo1RNJZ6KoFVQJP3a
x7BxeATr1zWiRORvRfgQ2CHwS9InnDNR3aNVVM+1QQ1pGyTwi/PEeUjhf17spnF2CVRp4ghL2l5y
O/hsoEQ9oMetEzanwzhXE6GLlizsgBMgMPUSA2jVUnDW5DsRTPkJyhWSaBPRN2qo8mAYVPHV2q/A
YlrpeU5mwmJeq+TGJ7QJxm/5MWrXPMZLPL8lCi9rkWUtCof4lHgxOBwEc+gCcd7pkmQ9M0OCdfQ9
X4uBmxbAtOzE43cPnpc4Z1vFzRFWP/znocp2C0hpMAcDQQcjR1G9InxK8tUlk3Q/Qz77prK1sc/G
QmX5MEqHfhqxyDdckCacuVFO3q7tk/SX4iGT5KvnrL5O4m6G1RcQDStMo412vjF1LqmkFhCb8Pqd
MY/c9JZuecKV5B7qoWB3nCmDZWrySHsHa2bQkpCI4HxkvjVt/RWLYFYg0nNde89RzrS2g89GCOVc
SHyNKmfv4LtaLDdVWwa7bDVcbVy5aGKTVUM2QhbqhR/UPpdFpd7yde20aDVUVZfvMwj/1/S9WHv4
vQDOMr+roBLUzpn0iL1bXKlIbaomOpKmG57HZl4e82honkhZuzcmfl6MYhhFzcoA+mNkqOy6qKFu
1wHUoE6mPUCAiHYPmsNYE0uT/Rc6q19uFjhE5DRHY4fJuKEkKTGysOh6ahgkvUgkzegWzkEC0brV
9+SYRKOLPfSr+kPkq9eTzyR/kqw/t33pAxepPKPcRFwmDz1vtX/N/p3k+9RuHyIPHIaVPwg/oFwE
wDwsYMQLSOcxjNn+4saWt0XJGUJ6QcitDMYtgjuTc1BbmiTnLmaOsDe8kfqwvIYGRLRjRZESK3HD
wDCoF5pyD5xeAH/Sg3mwUs9fJN0gyTbJMbDqshYfmE/tYzD4dtiSQt6NILuYlXX9A1fKiO9/Sbwt
MQRhkJrfqkvexpndz/b6aWdYubki/b4XbUOVnIZlo5YRL2FybMZuPKDUYmDzI/OiVz+hE/jYKvuV
lZ/COa66qiA5njdnx08fBHCIHW7bc+SauFB5WjB9owrvUHX6G6kz+3NSWAu2ZVZS6eaYBLzJq5Ca
jwjYXZFS7g9SErll8TL9b5FRKNDPdv2K/FHfV77uHuLR796w2GR3vPPci5Hu9tbQyjvOcvRCkHSH
tauAk9Fd3SXQCIPFmu68JV6ijRkU0ScaLCd8lyPXVUWnLyE+1jyTzJaUcg9odeVkxA3A+VwFXfcL
R6c17UwrWkxIjHR6HEqvSlgznZpmJ5XTzJQQt8M/O/dcg3MVtcupC2bI/HRDMFL1OzBMZKxvOhzM
z7kYop2V+M21junUjsx14hKlxo8Z0i51QxQP4X1m5R/1gzfW7qGsLfMOWUTyV2v4TLFG0fOknBDR
OcsGgGQbesFA9e3KxMb0y8wyrOgv92p3uIuKYkszggZkm+24ARF7pdmvX9rnqpuCZ0zXFdtuPGcU
B8CR2EprwfU5vS6aoJZLnmyfDOnW0ECf/RpbrJrT9BwrNCEGOqe4SI0XPRopnDG0S2T3PEyTJT3X
JG/LMnH3neLWRRtTdqT5lssslCaEl6R1TpxgCXinbUn7s9mxK+JC9KGYeAqsa9j6XbZx9YjL2jcS
yAFMVYxbpZ1Z7U2jRMdB0UgeHel4Vxz61MnOBN2iaVI/igFoMLAnYUGWKzVTagQPEW0WMN8X7VSu
xQLmiCczrptjm8dcIltuK2rrRG57NgCtQxg214JYX2PDjpE1zVGKN17Xsgc1SuNW03uEdJehc9Yb
S3GJzFgh3CyN8z3bDYdeYA+UxQcVFasoi/UzoHMWy3xYJeTciZxfrshpFBl93zhkzBDY3tBLXr0p
l2/dnMhrJlLqpsAi8MDgU56E7TjPphdD3BCekWScql2oZRQQBu+YUBQHGeoTTiY7HI4618TisghE
u94DXLrJBrpntgZBvJ9u5TrPsBRNwN5Z/SuXFTn8LqC6vWpMmxFDkwFlbQI3/24MzzxF0zzhzwcZ
nYK2ifGGGpp9R4kfQM7lnVdnxWeBSXTFCsR3/aTcN6ipA7fjPi4/MspqzmQy+d/VGCBDFAYXpnAq
SacGtfIeAwVcMlSla33oOqZTEOYuLRp+Ii65iYE79BsdX4zFRdtNjL0N1O3F1EH3S1W2emGIFL2W
caneDb77O0Pzzme8nflJcJI8zlW6vEazSt4ATK5gtTUob7eG+EAFdn8UAAlCUEJYCJyUILDmCL84
dBRWPCLnmpYqthSV7Uo5T7+AR48hqcI+rHCL0uzpu2U4Q/17MbwyOZFnn2/acSTMaNl5aEoNoXP2
07NAZgbXZXT1vlZt9LEgsvAFUEXz7ldddKabQnCoXsDRUgnHfqpLDT9o8J7YvKqfQ9Wri4D+fmDY
YDgbzyNwwTEvC63c+JEi92B2wkaBdmOS3rZiIDpxnt3i4wBrwrJPq6Kqywvjso5bHlyinZcWHEoq
u6wfZ00mHRBd4fPmeIiQLsnxGyCJxckdZ/80RQkgGFfV31BlGQwqqyNCCt2ZWLTtp8WTDkbT3HZ5
qW5YMHxiVCmfnA21Sx24JgP7H+yGW7QqvWztoipyztlC2l8WZMh7BOvxYppR8+gNUv30mr64IWKa
nxdi578C1/PJCdU1RYbSoKvPGpxfXt+pn7m9plSNQfXvFdaTt6xttcTSJanL9NOG3tB5dF1qfivw
HTyqwTYhZvakvQb6g0+AgdRkpM0HLIruSyzL8ruKKbsKUEUrzYlkmIHSbWQR09rmeE2OH3ecP6AX
JDJs0U57zlO42CTS+3LUHbKeFwy63HMN4E3uqVvKN4aoF/OcJY1bYrm1oFa1U5TezlPnqa3H1JU1
Iq78vQPd7CrJ2L+2JKq6/bg0PDq0ZpVFaPtsNuAyGUSDlTBvhsYF48ojYd+avUSwkx1EX0/I+KNv
a/o741a/udZcZ9tSNslpKFv1kPBB+XvX1+6zZkA478yykd8cjdxhA2F4/spi4IBhUdQyO9aSwHDI
xJjQM09zpg8RjVksEK2eRCiDSvzoVSBAe3Dkv4rpwoUbuu5sgRgPMelcTQuoFZxjOX+2LRheJsfj
tOFqzfeEMxKvgGGCZYsQtqO56tgTcxz5HhdL8d3GY4Rk2XlgO2esIpZ17cGJHtgL3FYcHFe4CSj3
mTxLSgC83Dj8gyerG4aeQDYlyrs6XmHzvSWJQsO0QDrTlHBG2i1O0k09OyzizrRAAZspCKGo+Wpn
CQJ+wgO+GRjdzFd5bkBnGDvxttDpvWGIweUNWESZH9sid76zojOv5tatuOAus3WYh7I6OPkgwiLr
5r3Ajcowz69OI4kAgH4M0y7QgybKCN2e3URH+mvJapqba9toXzNJEzURYybOCX27gxVceYYbnDPc
VpdxcYBl8rL1eW51ezPPvbFlVssdf873LkZqqIGDdeBug/eQW3P9q/Hpz9oERZZeEt+7K5j7Huy4
ienToY03tAEtH7PSSoY9c/uEsjX3w1Pm/GAAq/8yyL2ACTCvZ9tS31jQs2dHJgWe11EFiL9u8xaw
m1+vdV+3BQbPh9iw/86I8e+Wl8B0cUGxcRMndd3VPvEXxwIFphIucOOvd3qGp9yYL6BLkruiq1P2
bY6qd4NlZM/mQPXd3xhJ3f+XXQILClNQoHwYb37z9xDNE34aTP5hxlR/F4i6PQ4tKDu2xDWPN5kU
TiZsrcrMhu9xYUtpQc3t6yG3wETor7zWXuiDlw6L2gSLUjFgqiYB6o5jPPNm27oAcXaQZUoBTp0d
lRiNcNV5dLPlBiL9rbahZY8e2qCDU6sA8pMvrCucgNnrSWxTeGYfyik3SNhb/lbQ273p297lhOI9
TT2XA2+crUuTiq+sAltjyKE7UjqOyYu0otpwGcMqNfnO37x19r/bCKmNMQPQ8Y6NOih/M7GVPEq8
fS6ndTyU3BvMi+tOswr7bAZUj2VpJNA/OwFzd2teayt0P++DYscpYPUYjCsLIQ5kWCYDmZm+FLss
cIYTPXRJqCaD5hJ6ZP0i5wDsZMSQaIX+G2POaiT9zW0FJ5GBlksVA34Gf3XO/eXRS9lL6iFog4PZ
1tR+kRxbqFVepuRqMboHaxrEdmBzJnCikzNltf1PJl79qTVXtx6Cm2dByLY1oTNAounfGJT+3bbH
L7dGq4EuBDhTf3t/YzQ8YYH2WqmsrKEAd+DlQPn6mx/zm/V7Ne7xHxfHI18Blnbrt59TMzB2dVQH
B8afgNgGWxpHyDX9dpoK8WlzgWeNzOmwsaJqG/WDeEg5hE5bhPH8Cs9OcFfMfo5thi9L7VXlXef0
MCbyaCFpmJpPdZfrl7/xOf3+3rBemxYFr1gnXVpi/sxI/eWDa2BxIUjw7A3aZlFY7Mojkog4SA8i
/QNcQ16C/E6ZqXqHfETNYmmbYTKQpZlpZt9iZpi/vSyY/pGB+D+T9t+YtC2KA31IpEQX/hnt+jej
dpgkH12X6vijTf7q1P7LH/5vtoD7B2EEXMA+ypIfwBL4p1vb/MP2YJv+IzZl0XL1P25t9w9Mbzy/
WD9NT2IP/adb25J/SJ6SlQZg8UeldP43bm0Z/Gtwiy/Mn45vC/4BznF+3rqh/eXhM6MMu1HGnFW6
ipHrBLgnHNE5CKYFFQYGp140wfbcYlkb4ojnU8q13tud7MnYdFCywxF75DUVAWvNs6oZ/EVlc80N
v3jM09F48kALnuJJDRdRVskVoBDCra0nywPepmAnnZobfKWTbzTiJQE8WYCtov4pOeLxKV6oBCko
vS6oqyLS5w4choUfWmM034tJlfamXR7jHkbjYhyLsux90uWlt7Kl2qvE5yo+YQ6y97Pq+zwkEd91
oSxmYzxU9tjcwhXV/MbFYj5G3CzeVtDqo7JVtRWmnX0y0I5v5qIpAYUbw/IZq8CjOBcKYdf17ceI
YykMrPzkZTYwKkIinAwzK7fDrKDBbtIaYWPJs13F6ZE7y3QVmx3IPYSOEBacvbfMgtKAPq2ZWwnr
k6PuVG4qRQIeE0OaXzdUbHyOIlgmzGYFcHmmW89U85CnzWTAiCqVDO22sY3Ho/NMMJdOzmYKDXST
0aZxzvgAQhCwbtihRV1Nqn2ZQTtFWwmxmppLxmuc/CpTAXinwydxl9zZwiqSN70YGUdVbvkTo6EZ
HFpuFQaY+AHXADZIfU3vOQdMT3Oro8TV5n0YupiBeRV3jP4c4Kc2dd00GZKCnoIKMjWHRzxKPRE1
fCYphR+O5CTdGlxwS0x3jGlNuqM4B9KHMzvVgAdx9IOQxFADW8tDoYZQ2QZXKglgoxeJ2X/XbTUm
e8dWE03kRnCQvZw9atHFvLPrHtoZyvQ6Aeexfu5cx77kaeZeR6LXTwki2EdMY1e2QfVrYBzEPIpI
flP91TDef+e+RJAG6CpehSBr6x8W/VPoEjh28kOWVe0jCd6Ac4JlRNulHoPrDIUL5iFYJ7bQBO2E
s1h7T3vk9KJxQbabqDSNn32deR5jTqt9c2WOra4R6uCDLCLHagfjk64qxgNxRz3Xpu2g1h1HqHQG
l/CkuqI2cSMgAGFN6+CHx8k4vnB5qR+8Ti0nx6rW723eHKWfGEPogijAWGUF5hYNa8IaC5TpM+bL
tf7RCLOq2xZFczRTsLM7dxA+FQGpuBTUEWELcIvJfI2b2XwTPHJcvRr8A0EESQHLlOK3Jv+PX9Fp
UO212Y7WRjZ+jFOV0hgC7j+jwl7exxgzEZMH5rfOlxoCP8UYmLWfnpy4I7qWO71PQ1ZhBEB6jg09
Pk1jz7DAd0jueq59rqCl0sIGsQdFHPQBsX6Nvie5TcU4d3e2PzIFnjp1liYWxo0zQ1KoaAza57PD
JWjyo+M8J/QtzAsmzqIOh5E7WO0AlO2btmLDldFLYDOirzpHBgi+gQgNq9eAB7q2bsIxLpttslQu
kt5CNiosx6lUO1ICiCh20tB21NfJ88KQ8MrMmWntms4hCgqxfHzD4W9Z+8Z2VjcHrOb30sH0x1ek
M6xNni58tQEWNZd65ja7r/DKUZ2x1NMWC1jHkGCl3PUUYdziisNxNzO3OnWl1m/alJTCUTqal0PW
bxl0oZAWhbiiwy2xdpjaMG4uQcO42s5uFh+QNfiHaXh1oxibGZznd2uQmPRg6jKgtYkk88BGPvAF
RhFpCO1efmlaRI9x2X0x+6T6z68GdWYr8YDQZEXzTdpHwttraQhfGe7jTdozDg0DL569LZfXDMsy
dsYkdPH4QN71GiGPEOES3BpZTGoXzKz+Obsamuc4SYR7BgWxO5THtmybcyTS6q7knTI3aY3usS3H
Iu/QFBydHFXZ2Xs3FR1N9gugqjCDNoVvs8DPBjqCUTiv3nQpqjDb5teEIHQ2O5pULfJsoF6XicWJ
8/xjZfB1g+CSTtsCy+97KjUEsBqi4X1Xt/bLLFW0DlhyUNGJsp+DdmjeJHSRs58BmdoksqOTxufy
fld3fnVHVkA+NxD5ebszweMj9UCf4FwjZxFwHm5mtN0ldCc3fgmsHmwUIwXrl9mYln/Fb5g4WzHQ
3Y4/dvbfu8lHI+sLW9/wvfXKY4QvhIVh9MQTa1N7PZRBdjtGyt4TXJbbKbITL5yMFjdbYaRUbaBN
WHujUel1NkfylenduCmwyt7lWUAKxG5oHRhVeuFGAa9/sSyoZtgCLJU0LyCD8+eaerstt5732pTO
U4c+dMmL2d72FLodweqaT3RsGD/tTE1cDWO7p8lM0YFiZtRPJxDOn5gjyItU6ZNSpnGJQCFu87mS
hA2TLL+gxVhhzHi0D8e58qi9Dyhs34FnxAnZ8bZxZ5GZy/wKIOn6JBROjZO1ivYTRilvP8i8DzGK
j8cE/PupY4h5BCO7fBUJtbVwZbM2RIdM7hSIuOuyRiKtR5EiP7bvZR0vh6kPJgI4CG9SlOlH1M8g
3Pwxf/DlWOHy55rrDUm1b4yRvKTv28aO+4K/nfsENISttd3eSGYZPwpcR9S+WeBIcPPnsE6RPt1T
EYMgw9LmYywH6/1EjQStOEab3AQUK+86MMF852Ly67nKjdDUrnNwWYBCRW/XE9bu4N41CicO9Tjm
0SbJfbFT5qg/Fisbb3yNmXvHioBipqLkNmZyBMS3ry9A1EGvdzE2JjMexKPjYf8PC3ctHdeOfcj8
yb+dFzPuriq9WnaokSluBGaXj3oOovceb9tDJ63gF12GzE15BnLaKpIauwKUdsporLnFqOrFfVVc
0sllFoPNG2HHwhV0bHWHzapz1fyK5RgRMJ/rS14D4EesZgCIddpyPgQoB7Htsjh5ES6Tlf0Y+Mq4
nbw2uXLjbNlqb4yig5NI9M0sBU90CiL06WPHSP51MPhGUmwyPMi4aSijw9Q12gnZi85bYea9wfIg
KhkfAP537/Gcq/t2jplu2HGfnns6Ha9EwiSV8qEyu5azQ2u2IEyAWG709xxgR/D3jEXfEqvD/FFA
+p42LoP/J25ozSt15PUl0Fm+m0S73Pq9iIH9IwxNW69p+UTbNl1KaiDltwL2AxgqsedbY8AqGNSV
eWiXYEIhHDtjJ7UUXwsCorX1cfx/dElXz6GGYbJz53r4hHqZ+fvA0f1+zJPgmNEHej/k8Gb/8Sph
Y2MXcJvhPRjkk5Nhbx6X0YNkvRrNm7SqL/6IYz9pymcvLx4Kwi7QeGJNTUHi8p2NGHDk7mAcqtID
h2XMIEMrhwIvBscieK0tmqqpjRxjqphcG+ATkATnJRNRcx1gUX4IlBLonoImEuEWzAfn4s0AfLgy
vTUlL8BdDktueG04CendTr5Y5yxFN/3waUqaz2pyhvkIxRZFOqlsq6CPOp6PneN5X1ER44Um1MR2
Rc0zBuFaMqG0Wz+4xTkIbJGd66eB9+FnHGNqx2EOoR8Xlem3W1HyWQOHdlL7YKsgfR4CTf2MKrK3
hQ6kBzMoqYofZhWwtyXDi5UHyYOc7eK2okjgsqRO99P5c/NtI0aRvPFUFlG0+IAlQzMQ9vWNrKr6
qR2HK6uJYwIO5SA+AJo2E+RvP6EGPiI7Gdpi7iFr286dn8sRC2Mcg5NM6QLEGOCRWzArF/xM32fL
aRoazaLRgAfdFL3tvZmx1UybvunQYc2UltDGNOsv12i64whw8kb1rbpfKyZf22BJvnXjBceiygk/
WMzVQgZh8YkeVU0H8ThhMqWJND4ZgbsYp5zh2dGW6XSVw3QiwjTTtY071S02U9uB6E0cCily4QOy
XisKrrkS0E7Ujvaxnkz6GrooC3aWl3AOnQdiHgmxo3rr1DDLyLB4i8VICTG4EkqfyzKLGCmB9ya+
FVnqAspxOcIQX083Tp8dIKUzbvVglOHhs+wHGtvd42iJ6tNXS/ljvWV3/ASnLLa96xiPJgripSys
9jWfmvmUW07JUZUNP/ScaAlrS3v8kwFT3mjY6kpT9nWtghiHUUpfbxSqQq21hEWbEM1N4ztblbwE
VCIJONbNsvs+KH+1nSMcvi7lYWyL7GK0KTO3GSN72OKJvoohV0LOmQ2T+vgoeFi9yTvXX2DzFnMP
GDdrBg4kanD0WaceM1uxuO68ibWomcHQ6wjYFf6tLACDsymjrR7bTvPRcIzHSTJfDTgszvDpx480
F0wzqjTSEcZHm6FFxUjLZU7TRQOeiA7T9NhRjJFrKL2bNpNYIkwaOifQQleYsDKcGsPyXQI6oa19
os+LY2RZ72SftPjXRJ6egpxz2RTn6gbHJSuJEUfBfUP48Ln01jtF53vFNvPZxUOKW9o7t7eca6y5
a5CE5sUhl6Qe0eibfVyV04tro1ofSmbcJ6MZoh/Y7tKGURrOrypwcaY6tD3Fr7Kf8H0McgQt/Kc6
839i1t+JWZ4AJ/H/17H+s/pO2o//uLQf3z/1vypZf/7Jf4pYUngBdw3P/lfkgBR/SPCUjrBWEib/
EoLrfyMHaGq3BIrv/7AzNYS2tafd/oN5Pzotfx0bhRn8bxSs34gjCFj8CEsE1iqJeURSf5u4CFaP
gaxmt28xzevHhETq0yINaiqJlIg7VybwleB8NfvKnNTeJey4o+XT+5vEON+r32cI/BqsPQi4BHCZ
Ifz5m/5VSvMGAeoxsCHJa/0Cc7nfsm9GpyEu7ac+T+m2E4zoAcHTwjnRttITuAiokssm78j/le5R
iaAC4Df6wVKKhL9uDSRnUi4+ceRdzG6OToutwdERgrxNshSjcNasza6A5e4T3TJXaezqhFO3BX1s
LLToxUW0M1oiiI4n511F70WIcoL10nalve+EV+0yfw6uRJ9TTRdQbRRm/PtrtmuyTnBppw9lVDaT
EPe2TB3j6IuMxsdFd86H6ZnFjecUEW62hlIBvK7N1SRYT8Q8fTpOt3xj3fSoS0NBUrMznLt81Bfm
6FxyybzQORqP6rOTvj71YmjvErezzqbCtivWwlgRuN0lJmO0dSuw3GbmnAtVH6lH547MUet5dgMw
LZmLE4KONfFm9TjFFdLdczIGNHDgKjplFROrZXCAQiWxsedfMQ8TVYBbNSbtEQNlcI1eNZ4G5irb
dubMPsdUVbpNfzV3RnpLRxPtjGOzro8N5oj/Yu88liRH2uz6LlwTY3AIB2BGchEIhMzISC1qA8uq
yoLWwh14ep7o/knODMkZ0oxLWm+6LHUmwv0T9547oZogcE1huxkdIgVcOb64HS6/IGvsLWVo+lzW
yv3wVj+O+mXoEY+Z5qEd7JUfrXtAMknchzTUJamK/GVS2ninypyRZd98eA6Cwb6xMoiQaLjstZ9/
d1XuR0Cu60eHZHHyIaQxXVRb9acssQkQlhbob3Vx0u7g18bZZ2q4S7SBQN/0rh7jhoXjPxHhitbY
qnABU4O5EQ0q6xibpenAJQRBdikPMsVaF5MbNaB3GOQA1zwDq5zChcH+UG8VebEHe2b00o6ovdui
GD+yPBn39TAyQ0zo/ZfaMH56K5WPP9fLPaUkOfSK5ynjsdqxRQaug0L69n/yd4Ipca+wxbyzfbNq
eHzzcoGpWfM1G/Foals8TJDFrmYLIK1rZ70laiHbVEF9zcqyp9Ca1n3LUPcRF5PEyuSsj4Sw5lG3
GpQ49i1cEkXuQ8HY82oLK4lsK3MjxiyEbXXczm7awUSsTaQe3ggeUrXtW1kTYhpk9KeklKboo6s/
tkqTSKigeonhlW+8BcEDn4MFYdrJw6yDFe6Ydo6NO/r7Gr1OZMMaZy9OXxdWRhBERIn7oSadb9uT
zM7lbvhRkSzYnzx22OSQgvXaTTZSEo4IyWsN4cTWaDWL1rpaKsr90kYDDLR/srW8Zgxen2atSAIb
7nW7MpibG/fiN86yz0uGp0zzxCXxoZByyDAkc67mhE4iVYzRzHo648jOfi0kHf1BQj6FQTlCOQzW
+G4Ryryunt19JJz6B3sq5amf55YUYGc8rvXs7sh0kNeBb/umJIufEkRZX1Z7kwvlo3sYcYX+6p2y
e+Jk9o+l1/Q/LAIgwhuUPAwSWaVhy6CIoZ6TyOII9Bj6hNsT4YGYdcF4gNthi6GsWjZD2027OC3U
zh0Cv6UgNwHYTdhtLxO4423aQ7LNk9kOsXQxyY/R14fEfHnj1upMmwXoNCO+FrZi+5nFb7jR46tT
ZcS2W27QMAZMS/7OxIyO7mcl/OmREpEmwzKH/m3oyHMrCKa4kj1BEoIr5ws85mXHmbbsB6JDT2qp
0s9W1ABa/aTndQ27Hmca1sIdI+E6QfZDCs/dLTb45CHqcSK7Db6XQhbJsa3rLlIMlU9+CazSyYLx
QKpYha13tG94cE/ua8fTiAf9oP2TNfTPUbz24x9v8AeCRdbxoxLBdGhlc4X9/k7NOzBXAN7EYpTB
bJ1hbm1LlEGbRZKqupqr84l9FUGORDb/4VR9eQxyUiwCU3nHWGV+uFTo8FLEjeUW46XGotTFoK9S
hVKjipWjjzJf5uCurWJRfEuGhtOTyCvnOSH/l0j11mi/Bl4KX3Fs1W9NmRqXLiHCdBM3XNCR6Plq
VbCq1xaDpsElFaNhmqEkV4FxZpysY7AASx9KqVYZuiNyOzOzFXGRt+efUAP7qdZ+5WOQIK5cZ4v8
IxbLfeIqHPyjYp6ZP47DwIwUXcnz1HeUBGLScmuLznLvmZZ1f5IK9FqUZp58rztt/1qUvxxRarn7
JZvlWS6z/423XRDXapFuY/jCvYtzB1S20SkMnakrL7Xmt1oUpbfHsI5AezAI/ymguH9WjuyeHE7r
56XqugMO4HmXDInlksOQ+nLDAl8TMQuezHGzhLaf2oWoHlZKiLbfAGmU/nUQsZef5uLJCGb/jMWJ
4GCHubKJPBerSsCw8L0J+uxTufnECqzNVjzGyIPsKGsm94c0oT1cc0ZfN1FpTSc8lL4ZlcLAikuM
mXhkU0BqpzCSx1S56gMSsHi1DWU/N6PA3kXPtLNs3SDAZeNUyyAlPW9gHS1nPgW1lsq3dt3PW+jV
at811ghWDN8mVZrx6C5WsxfdRK6nWptv+kpr58+GgZk6QSffa4HPq8hZJkEFL/T9UlTWGK3rYhFa
n7K9A5zBRicXatrSIh/jodE/U89QBCss6TtmOxpuO6mARqcirNFChzO/4HCduT+rvAuxOxG5Xun1
SnKL3PYdHJDQNiuDWszfk6FG71eTNjpgHIibUZ/buDYYMIImtg4eMRrqNDR5eqKcabbIifL0hbJB
vjik2OoQxSyE7SD3xEPRISXEiMijwAKPEXRv90981M7Nl2zfT7cmFLn1FkuYB5p5WKK0WZIKiw5S
tzYmLjnO3eUocmvcxUWfcB3Zwa7ubgwQerp93KzJdV4Xdzc6PKMO/dmdJNMCGTUxHUzXWucbS5Tu
6w8JspiQiU1uFyfL++hnBc2WLDkClLQx/KS+bHajcFksgMOe30kK7B7KPssj0rBKOMaO9O8bg8ty
v5gTmetDEex942acL4JyTxPvHJDISrrzzCdoT87dfUO2aei7k9iIifZRx6ZYHgYNPpbI+dW9SFwM
D6mbGpAw7DI/Z0VQvMwTUmmrNM29Ow/lMR/c/GFOU3uI8rZZvmerKj0I9yp/98fgllHu5siz88Gz
w9y0We0oQXh31FS+pSNdk3UdM9rpuWpn10uP/qAzxoStIvYnrsBOaOUc16Zvd5Jdz13tTeZ9rryO
4dhUvGmm7QQ7JASO5Ep48SGI46485H5e3/mWP91E0UCtTJS8Et3WYbZn8ROKsv3gKAs2cU8Q2zOn
Tery4BJevk015oB+jKNqjgloRuXSF6gkvaKMKHowuMZ1codAiryuqTS+VhWPw36Wo8EyIf/qbCO4
QuBm27esVvk9Mbi8FpyK3P4j0sBeO3QPxFCSGOiY9cUrM6o3Yzbf0GsFD1xw3ZnBsHMOAmPcgS+d
duzpeSZ0E/8hnamMGI54VwgPFgW0N+E0Vp7gFG2NN0OunCGLjpHf/zWaLBCfR17pdk+rkshR9WjZ
9z274DBjH/1FinH8iFbTQaHHfqYaXcoygZliKofvnlEn7Gyz23quaLk5k5iiExiTKxTxzhQFmbLP
Nn+hKCcYOJql2by2ludEkotmU7Z4wass9i4LyNg3MfX3nSWhfrBg3Ze415Ag09zc9W5SnGXRexwk
VjkdGnqMbZCk1tF03OXR0S4bxrI+l035Kq3q24j96zjjDS1EWmA8KMxdltbqaGRE4PUsqxqPaYoU
43otu676NS/9dG2ovjYjVcBduhbpQfoJDkXxsyBwZRxHZ1fYCKYTvRxsxiv0UquCi79UO8GFlLDN
WpC7A204SGbXIcpttJJHnbmndJF4iZNzsWbykniJONd+Rr5rbhPxsLYu2BCyOikZq9++6hLYoLN6
aXkx7Zw6gdzgI/1k9pZtMXoXj1gg5DHuE+fsj5Pz6IjKP81mO0dEpAZbz/gr2DrLz9PiIcK1m15Q
gpJ6w2OI2mjh0TA02SkA2A9xKeW+6LOTz67NTCHX+enehJlezWDGawY/VB3ZKa5EHvZWrs89CNXt
IrmbMIo0E+EzFSZTI7c3ieP2fVgVvbNl0Xlwsu7QmdQQqzP7GE/ZzpLEVB5j8sp3MYPDNxEjzAzT
ajEipHPGOU264MPECrIf4kW898wkw6BLylOLN5cVqUguLKuB66tgPhDZbf3wbd9+J7a0faICxuEW
Z/NbUcfN0a5b40nMk/tUrF3BWen6WESgPd3dtuyXtOrWyKRo+yWEoIUWLXMyZ2x+A+jBGu2Md7rL
8WPH7pYkrp+m5u77S3VSuMT4Gi9dPhlna8Eixb5mOBhL6R2xJZMNJ1Xw7BNtusVilyNCp4CdvdqO
BhsJpOu1rBVrPOJZs5Um2x3boYs0K1J/dEGdUPdfjD4dMojtOETkbxxZ3Rx0sRondB6o0oUa78dg
HE6kHJJ6hU+TfAGW9/19YzH815epMHEG+ztrlJ9Fqq61MsWhSPWzH+BcN6onpAeYNsXtWpIJ+uYG
5UDVvxNm8IFBZ2vN2VfPYCMs+6LbYp5Mn3KgzIdglBzsN9ySUyiL57hvjoFfkFaWVidCCtez7FP2
Gi4r5IrkYIflS1jkaXmIzTo7Enqb7O15ejbtOtvgMJlDq6TBw2GGDcelDD+aLs3VmlbFL/YszV0B
z3UNM0gl23zijMTheUib3N7CRDL3CVP8XVN48VmXbhUZQTIcAkGnvyGQByM/HoqNrz1EL/58RA1d
7jPvKKb0LCrwczZWg1Zk7mvbeuOd6Xj2K1IROAj9PAaRay1cjLjgKkhA8QLpxs8nd4dpoH3DDlpu
fZsWZZXIZKsV6nTamPMzavSHwsU8vri8/yyj1MpPY9V91yy3Lnhm0ViQa1pHHPAns/W3XS+qHSOm
9shk9eZJ1wWQ7H65rJgHttKzzF82Px8IpolMB6/WN7OK3x3n3Pcf9FS7O4Jgxbb2QKkkZRvNnTZ3
ch7DyY4xVonmw5aG+US+7ECHo4PlsUJ9ZuFQkv1uZCi9VxmpBEqZ/OoLKPzerAIsjEaSbNrevSNg
ztnKVir2ZLF/N9tMhzMMziu+HBvf/7B6gC2fsYBu2Rg8LBkMnjH7iZb8m/gpaW/MtqEQtzqgja7E
bzqIvtlxbRrQhKBgIt40o8ao1P1UzIIuG+wZNxcAd/cg0CIr1F8KDtOGPvzgEwFX436IuG2/pbLu
jdoN9oPHrtYQZ9dn5k2ttevm+XOyCPoItW0TDsF18NyzELlHAPE52dYa9mA87CxwrxUiki/DJb+A
t2/qgrLFo4E42h3dGCWK8Yxn+dLYZDblyEOxCsu7ziK+OnetDw5wuANm5wLnqsTWwANAFop4qzz8
G7n0e4gA6Y4aOuwxvC/N+A3gy9rMXM2bwGOzWEw+Xv9K4mmyjpIct6rQYaqql05mlJeuCrNuJvya
C3xXxa3NcGNf1suH0foOrx5cf5m67XBLpxyfabKHXelklzye8ZeL8eG2tYhsO0sf0sF+JW5rCT32
bVtRmtSLABl3ngCIAM1qR+wbuJ8MeIpGKnmv4Rdt/RKFWdFDBwHPE1mDGcm+gXDgivnkFHcGOP5W
ZRkvx/r5liM+zfUpDoaANLDpXrLk7LfDNAXbqRHVC/nO+iOox1O+DgWcJBAkVavxvZd6j07eqhFs
Lc2RAOxpZxRSwOZKrQORCPNDt87Jj6QQ5Hh79hct/4uNzFzh2cE30f32mHO9ALBpjoLS95gyGYpw
hN4RDkdDLW9WPe35B4dVKr3JdE0qxi0TqsU3W4ASKfIFw15m+Oy32zbf1CP8oq5lX2R5TMxoG2LU
Bqt8XlOYErG56kuzOppZpiW7IyIpUtoMDZ0HMa7BvhphRa75Q2GjbK2YZArLW8hlam1WkK527nnO
Igv82iLj4S6PHZyrucnU67jmlo/BX6PyQTl2xGqQRY1tLvgtEeW0azwcIAY+B3H+XJEes0eO0u77
oC3eDBaR287tHya75vuCmx8VYGBv4SzExHPPUyeTAJ6nuMCssn0CEDRvVuqEBVhRsjGNrj6uLQrp
TqlPt5k1o4M+PcoscS4EQ9yw2Sne2bwsCNZhfEO1rLTt33lJC7iauRAheKghi218U/AhsmNC1d14
9QnDHDhkD7XM9SOpdp2ADMU8HGKxYpKKXdGykvdidYu7gViIE+Yn3UZDlsfZxogHpAXxovM9q+/i
R5+rkV2/7ZLU7eBnSItpWzncyNlq9my3PNwpnAtLKS6B683J3SyXc+3mxhupWSDvWlqPCDq2eAlc
F0a25RcFVlxWrXd6oCTz4lYcZiXMM9ktNU9nXREgqhfpwY+S2TkmbvrAh7DXtbLxjl7eeoNA5B7F
KLs/Q9pSOsbOcKd6Gib0RSa0LBcOm2zsfQf3Yd8NNQWQkJ2Ikmzi5p3byr0z53F7y/eykev2m5wp
xV3Qu9bzVFnJCcWN9cLBX18naaf7OelukeM9ogcrr+xup00gbRsgMzqk+W+5+ohuX5ADMGbrUENh
fbXSL19yXuA/UsUrBpLLFBDL5C2qRvPTyFBo5zsOTPunaSP/2bLej3+TxFS9UIZ85oGLa7XoH61p
eLGCYt7Ot4EXKoTDuC7trqB2Pmtt8ri6DL6QPc4HTcz3V4tO6eC3Th5CWjGjuSGdIGE8SKhksT6Y
04zl3CxxGS+ez9issEZeWg4DOsnWvmq8XYOd/N4vbPhyncZwnY6v84Ip27T690x0Xdizv9zjP5P3
65hkT4sxdD+cBOPtxow9tbdJJe1CdsUYv0i/KpL4JU2D4Eh6AeXOBDTHn846y3MOPJ2fFsv7k1H+
b+ycqOOCERQngXbRDRKz9CLKistkWG8p46Oo7+QtbdpbH2Qig8cU+Wgo5hJOzGj9AvDEw+hm9gW5
YMwidrXPQ74YXzPChihugh/BKPwDKY7zhirJCZeZfNYauRXYP4KU0ABY4sCtS2tskWhv1q95Kdx7
S/D41R6Evkn7xoHGTkHFKx/HTEIAYzG187rxTlCoD/4Ij2hlKhnNFuGGACeM+3nRAUMM5yVtJV+u
qFiv9EW+waIxw9TMGeH3/PAIJUdhX9FP3UJ+cNXepBwn4Sc0xUURMBlirT3W+klY2JnjHvKZp5Q4
WXHwjE/QOad1/WzyItqYrtr1M7FKeixfUF3cL0DQcMkRzMqeHF/UWsASD13UGmh1+nFnUeFwFjIa
JQ0BzQJOY69ozkFjjwifzd7hYVYJ82rJgQwvqH1dAkP+BjbF1BJ5cEhhsfLndYdjw2O4XfyWhOtl
LXCxcixeRrTIDyjk1tMySp8UC1CwRUv+WSIf5ZAHu8kJvmQuzqUm7Zdp995xyd7sF/sxoC46Z+kU
9tBJswo99ZR/uIC1Nu3QpmEHncMoHmPCW7crC5bnHoZKaKE1ebLNpj/jjhy3ANHTNxfH9wGFMyWN
Hkj47n0QhQj4urR1Is9vjX0FWTCZHjW7pkui0hxb3aq+KnyYMTSqlrJ77Jm9TC6vgKR27wQazhw0
YGVGeN1Pyez4Wy36IxS7pt446Cf3PgZruhWqBZBGC9cJNkI2+GDVGTlKrIAdeI6Nh8PkzexS51YA
te4RyHb9UzBr4PUzWc0dnzQ/1f7yOvqMqErD2jWcbxeU+zmJq2C9fq0FhRn3oSIEa52PSVvjDQ76
0fyAUWu80Pfbd8gS3Tddl3OombGn22JKhyvnArD2ZHLKH1IH8y/ElfR1DA2CmaVQUbjreahhyTO9
daY3F8/ZdTY0L+Ol4I/Ajkml9/GqcnK5x4wys2zt4KUUhLymulk5roA1fCrTc1+nVKT1Hu+3e6kT
F8F/qR0HNUcDjCBxfaMO7VKDokIXpjCC+jf5q4NG5nUqVX9kHUUZh5U129FROwdvqrKVKNrW4n1R
7YVBoeaP3Kt/AWYyQqhTv2jLDWgyGWQWs7N+lRR8LNxWBlYbI2ckMkymf55RoHBSNPy3ndp6uCy4
BykpTfcDzxivJd5sDhfDlsNPG5mIFw5W3OzaaXYxOdvNbp1JMfbjRF7Ysup7NEEV4zF2wr1U467N
SvdxImiSV7uX8KB0+Ad2Uyrtg2HE0FfZboSgVYLbpKveUCrOhBW4EwA9zNAeycIHU/dPUjusIcsY
rCAMVAOJT15eUMHqZyZr6Q7NUriu6PpC3+iqEfymvEGv1hw0iCc1Llgy+34SOz/OkVOa3WkwyurV
GgNIcExlD54u7WupCMEKvdhXrKKxo9idpKp0UBLZ5HaYvc52bBT3neIBTlb/iyirZEdme/7Ag99F
qxFMR4wc1tWc069gYKKH5/CWz6PmT6fFvzw4SRcVzkos0YwSqa2CzWSu0yZGoRdKAmW33fJBFF8x
mFgVrOaejSDCs6kTr0nb4bIu+n2Q+etbTRrjVidNH035RMCdFijmyv5kk/Mcam/t0bGb6W6wjfhp
aoH9epP8oeORPPq89rvIhFN3yX2GX5oR2JNTxAV+x9p1Xlg2rbsUEt6jqlW2G7WhP+NRfIO3JTIO
/8e17vvqrc64O5oCG70XBNnjpAJ7P7sS2wzgRbg1bFEQHMN8C2BNxDNdR5HnL+lkjk+excInQsyX
zCG2suwMM4iSIPEdXCU2d7KLUZEcRv1MhiJZUu4EfUwHNGjgkdggHhenYXV6ww7cbmqPxiPybk70
FkHAphWd+QaLGpD0dEsLH2fk+6shtvhS5qhx2xc6M6qU0en3PlydS67yeVctAC6XwvrB/i0+U4jk
dyXVZFh1NDSo5OXZxWMbznleRgu7vwsgO/fdM9aoSky1yzN7QVI1eoeibftzu4psV0yD+ZQqa96z
ZGDMObYKbSVVC5LRWsXP6awlwtmOHyVnKeh1tXNmNS0e+K061AcIMC8intyQ7RoB4s3qWcgoCDa+
q1ft/VkWTAp7ti/0gGzd9En1QRb6mAW2BbPUl2R1pquNItdI1m3NNA/e1SiPTukRj2FKtzkndcIw
rjOBrqHkn6cdJusiJCTiT6ekgIcvWal4jT39LpEO7EajjA92AsQX6khr7QWFwhlkzaGslvGrmJHx
RMFskA6bICt74+/7A7BHvkd4aXF1sVeHRiZo23S8lfnwYTp5Cncug+WmRAoH0mFMx3CH/Z25dRyk
sKAlJhmpQrJS7MV8XlY0aH5XT58jmtmHfOF+bDsvR+BKYwDe+ezVN75NC++j2LAzp/7vljR7Gju/
Y1ycD/bVTjihxwYwTxHsMsXzi+/mVZRu8Xs1qgw8Q+/9ZgMX3LmTOGVTbpMe28cW0yKMVzVnoSjD
XhvNh8FC9toIYifduhY8FYRKmoXd/lABvvaNjueCBOtMMgqmZvjFDJTOw+rsawIAlrRHnTf84YCI
2DbJuCQKAPbVjnlOKnCvOoeTMhv44evR+Ix73f8IUuqNUDaziWISTz99vItTn2ElbYKjcPsrkR/Q
7IBFb6buncHQJ2CZn0oHJde47F9tKy2PGdJyzLCizz4E/ef7uJisdSbTxPPTU6fTawx0UzDfC5+e
BfAsaLai0PWjTxxsGNe+vJKq7mF2Imt3rVH13RKnUXgOSePswOCjyVD4SIGDIzEOl9IO/2pwCsYS
u9XrH9l4wf7KGsEUIxn0wTesgFWG4SN719Zj45jzHcpNiFecR0+IPIxwZdK/pWjXD6WbOEgmx+Qj
HWv7FUV4gdYB1QrbHhB5huHM+2G6zcdhiIn73FLMncy+8ll4jQPUv2LbZKAQN17CTZDVC4P2OSuq
jVDJFnsMhoupBPVbW4h86lVaLbJ8L9/imKoj3xv+5CIbyQWNO/D+OXKGvijXyLLFi8dsP8SpE+wl
p2nEfre6M0rrwZ1rGJCyIZPeXb37pe8a+n2tf+LQ6BAj+8on+i+GZQXFNLg3M1E9saQNnrEV6wcW
2DcPMTYsY5Hs1WpzPuW9h7g2ScoptEGuPjsLW8bFHj+Q+0MZ6qd+vWDHK3Yoafo9Vyl6F4KwrpNV
PeEJLe40NRfhd4O9dZT/BoAv3Q55l1FK+jp/7dDrPKhZY/kwJyd/0x14uY3hr4ibsrkNW3sln1RD
/gA8hhNv8Y5DWuzTSqUntwKFV8W+DzjXvQewUW0RzfqQ75b6yCxjDtesrXhFaHUSLcKZNe+Zb/ae
h98Sku8H/mxUH1jm3w1pP/l9/BroVj2kfQIQMaaLK3oCRSvlpttK548pe0KwoOPB8T1ePwGiVbBv
TF5LXd8XzYwLoy+ONuXsY43496Boou6CpVoKhN7SvrReAH1CqF/+QHqBuZyThIWRb7inuqtY2ph+
QkxgrM2PtO9gY8DX26O0r17F5HFwjeykj3Ven0QjJ0yCBZoQhzzZTFjdG/CLFadEPG5ok8nB7VlU
EzsgAR6gV7rlE6pyB2kiP5C1gKwDY0lYmV2L1B4MPdfXApqqTdjLpo5ZPnJMz+VtJa8jbo5mx07S
PE/W/N3CW9+3Q+IeoP8w2gNl0d5zbrmA/OzlhJ4AqEGQ6JebWfIeDwtcwslfn5BYltGaxYykAlE/
dRQXT2pcrCghgOYTcmh+E1Xr+awrcwhB0vl/pLbjt3koSMNcaUqZSMddwSt/7a6sl4J3cDULJLaG
qUHaGNsCEHLk1m56zJXbHKvUsx5FJrN7ux4YlK8psX6BsscHZgPpr5KgQ2IW2trBuFdo5A5Cnhc5
OCAbleY8Wwemhto9T/AlAZ0C+Ua3lbFPcJ3gVxcHzolCJfnFkJAaIr+Nouwuf8xowisagcklB/Lj
Ngp6N+GpJMS1muPnGkvrjelG9ok+bb0y27CjJIiNaCVT+Ts1HPG0aMnmIG7KFxD3acRagPb+htez
g9Z7dk3o2enUYQH1Zfo0J6zPsUSQIDFiNPrTCHt+rrleWcwsMflznQsktS2rQzXmTmTkcXyaKtve
dQN3Dc1zbT6U5aI+GbPICyurMvIbfyIwRznDlY2B84zf2IDRsxRkFxs/86EHT95zf05lfEoTPbDO
cftr0mnx5dYzY8WC1wwO39HkTswMhEF9hcRmtY4gwSEDS2N+WlfWxRtLTf0WBEe7W3sGGS35mGEb
WOKPlfvxGYUOTuvWmHr6WqgeD5LiYMcyjsSHhteh6ruKx5ZWn9aZaQHbKOtJNYSO5kHQRDD92pc6
zp65Xal5XHpprl8b153nsUtLi/NQlPpVqhTqBbFwIf6jkZ01Ze2WGrl4D/IWxHBnxOnHDPUuv0Fb
FGMH5tsruhqOqMwodp5J3NxgyfWrbjO591O2d8NY2SGud/Z4Oa5BtjvLM9Ow8eDiCEXdd5u9t+Y0
/EFcs4R+k7jPayfW47zcAo2tZdjQdAWntlCSmQabGF6qHS6jSjE+GTzmCovEWYksL+OxZINd6fs5
Gx+rVYwo48Z5N0G/36Emo+ZMMtwurG6eh1kTpTAP7sFEjk5X5Qvl0lQu/p/VkC43xVq/Fim/A0xK
9i4rUbI3s4rv+3xC/R4PWFYE33+yIhTcFB4JP0wfvzlwjMscL8MYydLwjY1blpxB/xGtWJ5j6FnA
0ylXkMV040c1McjVuPwsxyVhhYJk+FWW7D9c1FcPcx3nP1Dlz/euzdKFOS1iWCJxSk6kvP471uj/
tVx+/93cf1Xfw3+6feJfDVwsFB/jf/mX/yQ97h9f90ZR+Bf/oGDKxuUR/uTy9D1MJR/KJ0q+m9t7
/p++8R8Bev+eEJ6EO/QDaLb/92L4MP2qf2f/E9Lhv3/k32J4JO++b1pw6253BLIYkAnqexj/83+4
ieGFD3xE+rYb2B5S9H9o4W3zn0AvwHOArGxDmHRggPxDDc+bbgr2wEcyjizPBFny334LD38H3f1b
8Xvixmv4+92Ov/kOHPMmQWd+AU9QmuSy/avsS1p5zLtVvuwlR8BrxTzqo/PYkvsWMLRNHvT6Ezvt
T9a9/bff2/UPRWeGuCVNpwheIeGxM42s5xrBB2V+c5pxSCIAyMrfwPyn9//vyvjrkf53Hkaain/b
lUHWw9ev9Kv8Xxkz/v7gv5/FwPsnR7gW2A6bwPDAveUy//0sBoJUx8DhiROCh/KfPYtW8E8OAB7e
20J2j8j/f8BFrNujDYKGySgmVRzO/1dwkb+++j97GCFPOEAUTc/6V4mmLAa7NE9N1FjWwE4jFqrC
4glr4zrUlf2qGmz77dBAoFB2t0K8ILv0pe6MJerTUvzmQA/yu6VRQkTFiPvWsEhapu1UWAsaX5A+
oRCstiFqaOYn1gQkFrmsSI8utFt11U4J9LIpoMAO0i6eFs+sbXqoAF/1GamkfwF8VDykPkksDjMG
gNE5ZgWYOmMT7NzVDlDzitm84lMYzG3sSXUJiE88KuUt+4lR0nlNDNLBUlzaqz3rg6u94BSQNkln
yuTaLpskpHIZ34LcAHlJXDydQEDl3oAaZqyOM18gbNt5Go/ZSFGxaZwVhL4iaP3gS5gYdEJCzQwV
GoGHjgAOt7rzHHRKrec3/cb3vOWE8fhmLm64RnvHNJ6KQqLCa0ZW2ctgP5ChkTx3akH80cP6xUEP
Hm2dcppV0VyrAJ0lkAD/6mICea+N1t7Oto9xlh0SmXw12hxzGSPLlAvG0dZCq8tFLvj0P4gt7PHC
5QzVRcy3QB8RqsLHg1+bU/Y1ID2/02Uff6RxxdwX2d7DGCfWkzkCdGE7xzJkcMlcWpmElTA7zenS
DoEkQZt8kxVl34Xuqz4IHplrR1HxnCXuL69x9BOm9B4x/jTdB05ZAMVeaDof6iYd8gc/Wfr5tVyc
9gM1Y4PHv/ACsoedme6HFae19UoxIEwb48q5xQ8Br2TiFCcnJSywaCYZ9D9aRg3ipPljsTzy/CSF
X94y6gD/wJfzkmKF+JesX10jMnzkRt/CoVvL+bLO/NghoY1EYPNGL/ISDeBfmV15ylRnWCG6hNRE
iGsUT6pmvYqTnE1wZPYFIueipAYFh5ETzeZYiTPs61tUF0DNgsgMxE/JfTUmwUnCJY3DwvHjx7rt
1w/ovs43MI7pv7J3JsuNI2mXfZWy3iMNcAwOLHrDmRSpORSSNjApIoR5HtyBp+8DZVb/GdFZWV2b
tl78m7ScQqRIwPEN9557iNMOo95kA3ux0c8hcksFJaA/lAfc3LM4kQDi40cdrPLJc9PsMkeZcx0D
Q7mPKAqfB/RIj0nhGLumDaP72ciYO9hmWz7MQ5M9WvNsMPBJyGGcGdoS4oLbNW4clwQBv5PnOEMi
sAwc3S2a2wpVjWqOveOlYpP3iXyeQvUx1oPBrwpZI92gXHb3WTbpVyynVLGhJhkJEJBfvHVmPD5Y
de48h5qF8pp5OgSGyZow8o9+Yb8WQuG27BA8CPqqRj9CESnPqYfCg4QxkJOruUQz4qQmA0f6NRoM
C9LxjjQ97xvjb0iRxtDDFtUzIlL8VR2B1bqfXk2/Na6VWRc2IMjQHVeF2cf3hpM2F2dYHLuzGL+b
RTsDMek7/yu4wbZnfQ5o6DERZvQsBjWFbB004YhcHCBZe2mKF58x7QNW2fYLyyuXWbATkiQ2oeu/
MmryMMB+F92wMadRo8ELG5wPntVNLA4dFb9PzCRJ7SOe4WsjwqJd5dgrZ3BlEMquJs3dR96OlMM6
TLzhFKfs4/Y0DXIkq3DAtt9b3cHFEPSl7Nz4tvdK/73SVv/gj26dbytJ88YXF41qDS+WEBQMRI2z
psv3zvNYW8cC9vS0Y84DBknXBev/3kyMmwnfGrNSk7khGqDc+GDDQaPXFQLkZteZLlcss2gY50wJ
59i238G7TN1OOKMkMApVQrbGIh09l5oRyy5jI8GCMmArGBdR3mzRDpXWpkmkJuBozBYna9Y8WUU6
g7ItyXzMDZOxwLIi2AbY7aDPGiClYPzOBKe0aXBDpxTct7Eor1VvscXxupbcFNuzt62JEmANWSoA
pYliEnlOGKRvrQMYCv1OqjbMTNA3OmVOO1vqnL1giV6QAQoq37ZMgKXkErkaS2L8sQvmQlbEbDF5
3ST+OLynCggGwtsEnUVTTh468DBpr9tJT9Z6SipjRbrSdFeGffmaNRVgjwFNdHU7Zhp6xSzcN/L0
ZLIdpry/9qGxvtRadM9DY3cfGitRsTFg1+OhddLoaVI552w2on8uWpa9cB4h+JyhVeE6QF6FoyNK
DSSGdvylHT1xAi3bt6csyc2UbHaDPPCo9RVg97i9YYWNkzlu5nuER7SPY1SGBJKZ+qEVDi2OpY3w
CMTfi3aWtvNjBH4o2M8DF9BaiKmSN8OM828L+nTam42y30hNaI8DHIJr02JcoQLJoM9pHRWAFa15
6sfI4ZkBNIa+NVpVrNhSqW8o/PvvUZ3T3A+pX7Q0RDyfySU36zcV+eNqANIvsfF4LGNKQzDmdZXk
yZxOT5FiUU4UgwE8JwjqFGFTHStyEUf81Ct2++RFRONsbwyJfi6dh/7RcfPU2jihrigHiKCFfG6w
erIsp7n4TP/2eYOCbfAH/YzTJczg0hTs3aHBcDbViYnymBPSvmp63Re3NW0+O3fLgGCqG/DPpSnZ
EedAObdTHRP6wmMF6vWS+cncvI++ze2iDvB9xJp+o6ECBUWUMV1r/RbRQM7M3IZ5Np1UPhrR0ScP
Ld6GsDVe64DKwUR09UUz0fjhZso/mkZQfnXdLH4KQBgwnham2itzCcCwnH7vEa5ynJAnAE0rhw8o
pZOAIo3XnRFxCPyiBwNzzGOYTxOelXUK1fWWUgqFqvantQVutVoXkXS/OTICpuMFtfsox3Y+zY5p
H3WvIHmOejKvcxU5G+KqKvYCCgfCYAFmWDA/AgA6XgnbcOHukKuC/F/VGLjYWzXvM9A6dNXElK3z
zNGPFfFTR21CoiNiZZaXhGMXaFxuuifO0ear8AB6EMA57ie34T5nSlzeVLRJGf5SLz9oK+yfmTE7
V4VnzYQo+uOd7mx3XzeqPhABiNgQc4Nzjge7OmRe4r3gEeLytFUx78PZys5IM6sfcVegwkfXaTPg
8Nz4MiFI/lIpI9qqUI898phO7ccsD26oUzC2IlKOoQIQw7Va2N8Hx3GC8+BF0wk4c/46RWP6EEDf
X3Nkdgdj8QALdFSnAIw5KUgVD4n/tx3XT43+/yed/R+8Rjrhf93af+n7t/YtWxr8v8I18md/b6h8
6zdsEb4PAdIjjZsJ/D8bKil/cyUO0f+ys/+zt7d+Y5po0ywFUmABD/7UT/m/ATz1yYKX9jIpoAv7
D3p7T/4Ka7RY9FuWK02PARK82l+87nE4IcO1PcIBU5eFo0T4M6PeqAyobNJ966aQme4EL6qpM3NN
rQrez8wm/MG2A/dDuVKd2TQkxMAAgQrToWGJ+WWYyw0GxnktZeZuYiR9R6yw43ucDP3RZJ3qrdI+
wk4bzCWaeHzS89Eg2j5b+zIx78HI2egDmvlG2OQf5I3TY3obeBce5K9V6pHRYWbqgCW//RG1eAh6
gE0h51sSbHIm2ddmPyRncgxY3CEH4kweml0h7Hjr9EWy7foUCxyauHVAKOQaCLqxj1M7+J5yMyNu
gE/H1Dt0MJgP5oME5HWT1R5BJMyDNgUaagJfejWfDCsRG3BjFCCzxNBu0zklq1i0bySh80ZVlBMy
4qOfWUUs9xXbA1blljv4dypPI7ZONY9n36nfzSJvrp3MPDuz99oHZCyhUAMVQt7ilJ/HkYcQ7hNS
q9K16wy3sswuwHTomBzZ72yyZ2cvao+EuOl+VyFNzeHeFfWl9rXqyUTBaNYDBWXNjIbV3FhOcieq
9Io1j7+q/cLZhECyQAwyit4xPQ1wpwTIWgg1EdUb2KKJY6kNXwPKMx5tfn07dxackhk89GNOKXtq
2dYeNFLwi45jagjigCM0Un2GHWShWXqFloexa+SBkc/4ZbRdz1qWH2zmNG3OyjasM72Rgb6iMb51
dh/CmHSFj1RUMJ4tlfyqck9clVTDqyKK7YX04U48rorke8Jgaks+65KIUMlyVbnIcMzKLV+pnbwb
WbGXyS0zfW/r6qX3J/kSEAu6R02b3ReZM95Cy/KeKjJHeerG5rlMGnlO8yHaNKx2N22nz9AVkHya
uty1OKoOganI6osccccmE4U0tXlVw3Diinazjm1jOLCJibMLCiCeQHkm0PBJ1uMTjoZpRRkon3oJ
VGpNXgA+yCaZHqhY9bFQnXULp4gYqsitxzfb9RXBUeTe2DyqeA7M/avCNHvmIcWKhWn4Y2cuqkSI
herGRvXzmkNPajFFzF2zRjjlNtcB0bV6FarCaDcOqveVBOq+zWzFpCNUfn0w+kzvS6bSzrp0PXU7
el7x5FQUTpii+CoIz5XxFj8kowVWDhUVUdGs7W4sTjIVwCAS07/huMDemiUiuUY8EYDDc/Jb1eOp
Gr3AvAVmA31SSHd6QINgIfHuO6hdjVV9g7wc3UCiiFlR4FvcjVhst4mWPK9sSxpXRZg1gNwsVVm8
aJneiNkuL5iVs9uuVcO2D3VJh2jlTBUdfZBSSUQYhqrv/FqFN8hggD8WIAPHuocn15HBs/NdMAqr
wMuTs0hDQaYz3ikr7vQV7RfeJFv059KsFSaeHHYGy3BCYENgO2sxfampkoK1C9/q0WoL8W4JYglC
1UAWnZr2wS2xRCYO8vYkJ3tYJhb31qSK7DqMcnXnD5a+m1xXkQZWtT0rGEnUAdGTluwPRmO2B0mu
9TkjmvQQoEE79dJobgGWFLeJK92nxvDUkwnD74eyYc2tZl2JQzj7xoOcBnEzdsLF9NQY7tqqVXpF
5UTGeC/TK5e8mQ1DfvuD1a6/wTZUP+G4x1pQ6/YJBSLCbjsb+hVtyLy1rcnbpU5goQbO4p3Zobse
56hbN04LA87oRPTgSAwycez3xspGVXUkR88+o3DA8VmQa4oKEhdc2s4kn6bWMWVg9QykTrINE8N9
E7ThLf8YHutekUuvrGKPEDbe9aJsrnFyDdejh0xwQrC3cyxRvDKWQ+DqF8UtaA/AE5qYHY26l6vd
6/GStTYCEgOzAzCiZmuxr4LGAG/hRKDHcKoRcW0UnoijQ0TpLcLfas1s5ZtotQ9ktjvVLIH3kqca
ztZX1uCNXk+DvI+aBPewnmCgyAhTVo6ArTPVxmttzAWtKlEbDALdNcnHwNDMPK5juhCldsZke9G6
b+36XEsDt/yikmsHJnm5T7Ya6NTygBcVimXirhz7uZ3ak4vz64Jf6lBgi1rJJLpomn5SeWCeTqig
iIlqDgGkjm3f4lmg5ivrbdsS1bCylpXvKbN7wn35TopVnA6lvxZseXdZjykuBofP72JF5bbVBQGe
bfvKhoGTmfTkZu0rW0OjNV310HZEBA6OQPvQKHcHr2KksG4xQRHfGFD91hNNrr+oJHWwUum9hAi/
youhu4U1WL/XZGQfwkDU7w1CiZOu+XhKrvlHNgk4snXtXOKO8eCE+XxjdeV0ZSmx7+15Pnijnvel
EvkzALbvGQ+tvAjfYi27gyqWbLDSOPR0VL0TrRu3onG0aB20A7yic7Ph5KSViWZiJL4VkoO+iWUJ
kERgKiYsJibmFXiutSPYV2AaNsnSDlvvZAk4xtwfzRmd7HCwl/IaxFv1veiL8UDSjDz16Pzf2hjF
Oua622XbsWKTO2+jsQgf+AKwDWlB0Bp6dv/NF8w5na6Jr62IYRv/ow1aVlv72pyrW3pB89wlSfGs
RpOeLo5qmATGOCIOEGl3wJiqTQ4nM/jAo2evQ8MIkA1kziKDYgCURL5KthamPGfvlUl8LInSBleY
RckWZMh4KLUeTDip5F7v6duqe+qLpLzkEQGAG6PIY8zq/Nz4SPbj7G9E06TqJtC6PakA1XfY28mP
ghOHEFDHU+tco2/okA59sUGtbVPK3bWf4XXo5JjvtCiRADMZtUEOxcnOTvEH06WaWztYoK++QOJZ
JGLLuKu+Bzh5s8yiy9pe8YLdsa10tUGHkK18U2OApbRYd00WrdtO6e8KKc0Ho+LvIM7aV8Yjb149
mkAhnai6CYzIOwy02odZYjAqKxsfGe4dilVzvJoJO2fyBQlTdnFB/CaPp84c7JPd+I9iVgV7ZJUx
6zf8DVpzks87uRiFEaC4RIbv4m5IrmBCqBusugbGeWU8QIPs96xXPYS7pQfYcgq/+7i5dtyjESGn
s83XMBSPiVshl7X96NYsYr3v5rEnE7IgpzLOCQuWEbjckkfnOhVzunGdPkeHNgbRaWLGtuskHL1W
y+bdwrK59Y06vC0SEISmqgjc4YhCo5e61wT+IoRCybiNGiPahLmN/1r5ZQABkHDu7YwEaeuy0a3W
IlFyG4eIRtNehhHVlTKORVA5V9Jvx62FD/xQYM56IEs13ra16V4GaB0Hd3KyfTYp66lvicWsRWfT
zY7qmORhdStVDttv8GbMJZFpJIsWm3QNldX3JuuPjRbA75wEHb8vZ+eJBx1QOa/16Q4ST5Dq6Gcn
BFH+Ae3PwNFSlx9+mfkXRDT5lzEriz0gbSTFLIQOc+a4x6CZnB3MF/NYMkYk6DEMeNRMJV3+whkH
8KrPndnfuWZHcE5tnjNJpKuft1/phDeNcmK8CsZLOap4ZUeV+8Uucw+zRsssqKJpqT3ZrWth6lPt
xv22DUtmo9pJCEBegMJw6gji48Jgx1D0ubo3M6C5OEtw8JKbx28AcbiFonf6U2f5x072H+VQ3FZJ
2Xf/838w9fplCftrn/ZLCoXh+3OqzCQ+aDWAgbbdbGOMgYSD7tPgu2kFvUQZX5pA6EffsoLnyR/r
GxHP0ZWPTvMF7VC6dUYKfFzzIkLSMtWPQGWwr7kGAfXInRgMBcZtObZiUYolAo0l34C5DhxKCQON
5LPjkb5IUYOvNhR9uYd762xBtF75fmJ8i7wq2tgGhA8jZfRQtN7T0HRY7Rgqb8MmsBhlD/KKVVW/
Tpug2hDrwU2boSRj8YKczbVbd1M0/nxsYylfqdSjvSvGdMXw9K0a3duhHx4cKhRUFMSaBoGYNu4c
T3fjUJ7DJJvPyYi22M18YBymxfyZrjTGh5jrFlGkGbXud9E3UBYNZ2F/o1P24+0IyQ1WVJELpE1+
xhEbe+M5ZBsGzolqF9qt8O6qqhtvOsIyjJ3mOIAikIkf7mAm3+twHje1Y8itgsR6XwHjClYGe0C0
RzBhKvzbV04/YKoRJGx26Vw1aImGZN5Olal/jJ1+7uIZltzgJjunLfKdq5t8R2gZUPvatVc2u4FL
qPCfbtDy9bgL0YoxqsRw5lhzcoMphCd0XIpTSP9KdG8bMkPWY3LPjR4cdaDVUVTOeJxh8a6sZOo+
6rinFCyU0uQgKeT2A/XCEi1XDpI9pVGdxVJnsy+k5M4/y2+C9/DOfxblac1GiQ9S7Ex6efSXKo5v
7KWStz+LekK6rJP1WemjtAUwutT/yvD7c7D0BNnSHeRLnzDko3BWbcTGsEuVRR5c0D0WS4PRfvYa
HpUZh9HSgtif3ciwNCbF0qIUn90KikGNMCnmYY1fd+3HU8AKZmgMRG4Yp4PPlsf/bH8s2Zb1oW8k
tJXWYx/XusGWxR5jxTbjwg1w66wj15JvQHQFfCTU/eQ897eEGqf7yZ9IKfCXfmtu5oe6dbxNbtT3
hsChWht8YLZRV/fFYCGbT6iUjanTEFcohU/QEZorLI6gAQgixXKQDuyZfcqwlc/3sI4j0/oqEI6t
B5Qet4EPs6fhOwCxtrSM2dI8Zp99JJD77BJnPZMCmkw2I+lafXae3mcXGiwNaW3Z2R6Zm3EYlnZ1
sLzo3NDB1ksrmyxNbbG0t7zJpdGl5W2X5peZ6HhLmEZ27y+tsWtE/kvpNC+6S7N3b2mgh6WVnpem
GsFfifBq6bTnpemOl/Y7WBpxHO305PnSnhdLoz4uLTtqePlVL218/9nRt0tzT9Q8lp6l4U85pAuQ
JbCKiDdmG7JMBrJlSDAs4wJ3GRyIHp/v35+o1q9oxd8PVGpDsUxtpIt85s8pJQHrgYk8Jn9PosPD
/Gw/N2/Gc3Ovrru7hJ3hjZFf//eclPEDD6J/PSM9vLXTW/n203z09z/z+2x0mYAypDD5/C3C6j5F
TH8Inwi58WxviTFi2Gk55n9RQJE3+QGz1MBbsmqcT1HUH8onIX/zKCqDwBJIo5b/8h8MR125iEqq
fIqq8nflk4VihSkgQ1rH/IsYpcxiQpNlXO3pyBGFLEVhlJ/LgvV8msKy64cXwjrzI2U26JagCcUK
DzYW3qwZD+0oAq7uFus8cO8F0JEGTxW3+LNQpbyeZ9P5krhhd1HIc44TGQ7vVWLY+KuYA5X89eAV
zG3XvhkkEzPK3vmesVxGl94M/TX4J/HoyDRpMJcXJX6RWlxa38sfRU6mOkBjYi5i27rtGjvbDNOS
5hJ7Bb45CDJeHaZPhe92pxaa9pNZx+klTYtdMiEi9QGEQcBqgi055D6hLz0pvxIJIs9VRpyMTY8E
Socg2l04//CXI2xMdrlPOnAjjs7yjd0M2db2dfEAD1+ytUn768Hygw0qyY0fuyzeE49Rp+PUFxsI
wknnprMjNHS8dsTo4IfPsoexN/tL1UfzNpVeCazH6QjX7SzoZs14n5dxfwSjgeY1R1WcDe51OLT5
tdfocd+gtXixWhhe7KJGohcFSlzRZDd5brcHN8Mp2rf1BAO7n9+CAiS1naT4a/Nq2IgYB3I/y3wb
tr17QgQjCAGvP8qSKmZT9ng0CWvNEPD2Onrqx0g9T3HYPQbhEP6wZmdmNOyjDIGaatGtTyb+viPC
56JDKhCbLwV6PsI2C0TcTMikfk0nqtJdBin9tvTH8Jz4hb4KjFhThGMy2Djw25NNNQTBZmpRohBf
bxv+mnjXhnKcQfuZ3XABsQ7iaziybFiZFUKFtqvKs430Yhtqt3nIJ74Xp6Ga6xLMRRp55xyTb4LR
0b5kmH6AwZT9V5160bbzg+GrHNPkCe5+tOka4558oPoqHZX4gEXgImFIBXFAQ4PROY0mfSdE+p0x
0CuC2/CChgSfD5SUK5Hb7mZQGNVXfVpZ1prGcsiw9NfuhYzK9D5GeoXDvptOuBDkTcHWtzKyLxp6
DdNzGY3nEfjsW9sNiIaFow5R4gPXmeolHynfikiHh8rosMTYs+3dLZz/GwK6p93EPvLURLH7EtMw
g8WcR+NZJm7yxPo3O5aZUq8FDfabClm4x3Fhb8ha9q8Qj3WbJFCbzHPvEm0192ixinVApfKG3Lx5
cjVO+bYa7Jd6rKPjPIz2whgP6RyrBFu2Q6pkvOF/ra+jDs0cYx0nugIKjjVCtvWNq5PuNvHr+msI
yhgxd2EOB9Fgs12bRU1AfJiDYTSndI2iyLpnim9RxXI6sAoBpNTruOL9mkWH5U5Y6ol0CXkaoFRt
mMBUl1AyavT6VNygSesudTlYW8zt7akbZWtRwKRusvbq2rtkcYTzJ8zx/oGJs374ZF3+GAg6uVDp
wdZQwIssmDnIXQjJxp2Ipr/Va0T86kvSknS/xwRs5gyMh0xugskKNgXAKIibdupeNTY2wc0A2fMi
AKRtq9w2d0PYcA5WsjddCubS99dlGtfb3pZjgnXI8K9732owgwXSfpEMn+DSam+CEuK2eMQmFHIk
+uaEteMv8iDctEijz5hyodA4MfA+rHvDnTbG8ntXzJ7GzRSJV6d1tcu4oYtfdOUvuQV2hgBAlqlk
5pCLQb5MJesczOq2/8UyhXudNZZ6bkzibU6EX7KsUlRjR0OZbrnv4eVaa8RcBtFdWrCFdmv5PJCj
4m8Dxnq3Zj34F5tUcA5t1uscjDiSk7WBr303CDTnBBebjHdKERgvXqwR/GUVNkzUSJ3WF29R2x7w
ldbt2oadcc2mqIm3Wve23kbCwhrUGSpt91MJYgIfq1s9JN5Y9itF3Q3lLWy7d5MQCKIKKJdj/Jmu
6B/q2DSuZDsXO7h6PXLcIcY+lyJbeDCjpfR1RDa8JNAl3HUBDwlQ/qAcBsLdFCOvMjxsLp0b4srP
iQyObKiywD4y6zSluXe0rJ49HWtA/dEaXvkVj3C3B6UyEdnruAr5Oi3NfZLJ8Cvyne6SB85HMxnt
m5sE9w6Eh2o14/ySK51X3o4Am+A0uIN+pYnFMOoMo/fqDGbnM4fNpqPpRSCLEnaV+4i8ofsw82f/
NspCg1Avp7DI6pGt2gUp+drbVsb9nvV576w8oGQMszh8v0AS01eLBO7JZDzRYK4g1ae2THaYihCC
HyShIvAgqZeen0p5G8fKvRjZ2MHUdCw2B30xuEfDyLnvW26E5xpkwiPWfyIfCymALcAz1ASbIKfY
z2E4EhscWZS0Q3zJCpe028ygd9qWXonXXwL8JF3ZBwjrdE6J6iMBUdLFQXeqCNP6Ch+7cI4JrsB6
HUoatrXNih/ujwnPg1Z4eDHsHEunYXa8QXeM8u+NMdIEwxebr6GFcsf0oZV/Tct8uOIMtd5Mq5++
KtOHm1c60KND5iScvaVN+B4/OlpxcQ8viAbmu260QyZKWaD20nWNF8p0DZbMB9xPXvcPCysZUTdl
8BTNCMLMOsjvHFtHwJU0BsO4t4uLnZcAvYlaUz84dPsbwDSo7YI07p/G0Zn6zZzY1SuajvqIH4VQ
rMau7Qc3gUMHxycz3sumh/Lqe2YLHCqArLkWoU+pEAx9/pbEaDH3jE9JHMObGUAiSNAL71NRmM99
0Q4PFSHaP2Ts+MVXC6QRPeek5H0KxzraSQXqux1R7NCgVNltEFuQWXqMQxDAI1ddhT0ja1iK8R0N
fsJKzFcAGVWywV+Zv/NdaSK8tV8/qa7nKTD2PN9pzO+zNjZqsu0rRkhRY3GDkFRT3Rlyybmn/wGx
mGYQSObBkecxnkF+asYO0aFP2mAAfyPIps6QdiB3jt3+ZiHzcXlK0ZFbnMXhMyB1cFikvQDvzPlU
IyOqn4ZOe3e9WhbhdcL3njLZvMXMNV9m5C4Jljenux8sOD0KKRu/s0mUoddacEVUlBTHZIEIgoMl
1tzhCceV4U7yYKSDtbMqi87VHrNkm84m0AlpMUgm5y298SwXFSezefEGcaJ6MpjvsAb1OvOaJp5P
JMiz5myazE5WtVMnB0tH/htqMfsb3RlvK8JV+wRbTfH5xhN+fmRA31gwwDPIh+AJ6FC1Z0picPj1
4jqb7fSST26oN4abz3tM3mgzbafO9ssGH8ZLak5yX6VdcA4ht15ppyfGexayTzdJEnevpH7FeOnK
zv7I66D4EWLPOrmhEb3PvVikXN0cnIW2r2PfNo8Tk9T/zo/4v7PN4FpB4fa3rhkiJN6Kt/IfSGv+
cZ18q97f2n8cu5x/7P7cSv7vn/R7MxnYvwWuaeJDsE1b0v/R0v/hXBC/oSm3kbjQN0pX+qhg/hkp
Yf/GvxFkptJuoJtdMpD/aCax3uD1XJQ2iOfpKT3rP+kmrV8muJxNIG14ZxbvjOxWftpPA4eua3AJ
J7rdx4rzBLXNO/Jb+iQYR6s4hCZbzflH76F7n4PsHawbzO3KsNbNaNIvVYtQkB1FqDn9wWo/jQwW
f1dy/e5/+osp86/BF8tbRHJkUnhisCBL45e3aI+hi5ySWCS/YIRosEBhjtbYqykOKMSbN471a9ay
G5QAHGZe8+/ixv/FG3DsQPBRSRrvnz8jkVm1r7BaoK1YZpizHsnayRmBJuEWAhWREWEIrT7oT0Dy
h1Vq8T7+NJ/4i89g0Tv9qeX//AjwWiFxd3E7MXr4+R10QOraHDHOHmc22RWWfKS0u06a8vco5H/5
WTu/zBb+eCGPl1lcX8L+5VeF8dT101Q1+7IaSR6L+mCHROq5ApezCyZYDxDcqnXjdfZqVCpYS1hN
Z0OLO7cEEYUH29ja8Dvf2AOpZfNo3tuZNQJUMYN94GrUsZiy923hZFujdgh7zRx8mJT+LKDHfitR
DuzCQdw2BkPhOOSDnBrvhUDVo9l2/gauaniKSsNfGaKGTM+c/TKFX2blLD3L/FhZvrtztNLXuss+
LHvOtmQSvpcGHHVsGtezH/wY4+LenuXXv/+GfrGj8cFxSyBvMC2gMg7R5D9/Q3IuSbhNmnpPFJOP
TGR6wWS78R2UFKEQYAbjKFjJZgx2f/+6nz63ny8Nx7Upv1Heic9j5OcXpjmVWEr8dO93MbbdHpqW
9Of+IEQtIJt0NI5yHtdVK9yrYuKGLrt0SX8t+UJzLbY5xcbgdwhHJPcUukBWGKHEp4OhZp+nITvU
QJBkPpGNsv03753g518ua8fDshX4XNXMzQjI+enwMQcsK5OM8z2TM4JRjc98KZB89hjcA2yotpns
831PqXNdAzofGfKoDBhYHpAKUHjH3w8gR+8q9+wtQjK/Y50eGPzScuK38XIkgNqev/39+/4/v2vH
E7bwXIa0DEYCnhp/HtL2IjHMduRtK6O1qao4FBiHYWRdPujWq4M1s7BgGYaIf3d//sUHJhxBNeq5
6CYWBeafXxmWQqgGduH7cAT0Pg6BvwqgR/6bKfQyZP7lkvJs8hpwf/LLceD8/Cplji3EaPJ8H0+y
3Mu2yU5tGL//mw/RWX7Mry/jICWllLKcgFjun1+GAlTKOMX6BYnqI5QhG3KvC2DylDZiMIebPDCQ
sodjD9vSmrNT4eYfVgS/oWZ76pZDzHMHWq/ljMEaLLexZa9oHvKOizxLWby07H7Xduk/Gp4x7dCa
Xgs9tccEtc0m04s/zMqDHZE4/ZZKVeB5d/em5nxzLU1udUNkUQWMhdLPXXSAvLUU7wK3B3/eaXxk
gDMNspj5u0ZrY8HGL7voBLD9QNMX4/DYCdE96Z4UC4HqaRX26XsxJ+9uat8V0C1PIXZ3hjHpRyuG
6kAfBiYHQ5ihYUoNKC12eZV8tFHos1njzG1s1hvZyPaKkQR5KVGHqb3O372Ra5DchC/NXM+7MQ8e
Yy4OuvuM923flUlgHFQ8EtYi+mer5G5Xy+mNqaz7Wmsg7Y4Blk1r1KKZw4vlQeq8WeTHrVohYear
5L2LtM8MFXJQ5CGlTIT7WgLFXqMrEPdjpSgekpkH8exBQs7TD4s4KqDgvb8BrayJee7vW0GQRsbT
k17uHCnk96hMO1r6uttmPEA2qUayUbTMxMy6w6LQLlJYG3Y0fEawhl284xYDgOgm77bD1wE1mRFG
xxM4n3qgIE5xdvP6IbWCRzIFC27DFq5huFC9aR14sIyk1Nl8NWUH2yuZ4fDU8IrGcB/K8p2+tT12
A7YcQ+bdNoB0BWeEw7JtUhRcubdrmvyjDFpBSO6I/wExR5F95JJ4IY3fB9Yjv2inCnelbPJTltUf
9MuNMOU16QsCJxDPgMx2gB0PDXbLmuu8Wh6ZU0V9lVm81DRmH0ZkcMXyzU4y+nCtiv9kNu4TCZjg
GWlmVsIpOvJvow8Wk1wEMac14H4fFi/IOmI2lq44IQ63eKfLy28GDNsYnw3/oRP5bk7jdzbA1SGG
wXPlhfLRROaBfMO3zl46UFstXwyVwXXntT0cfc60z2t3Ulw29NFi1TGfI08meffB2xFYbd/ZRO/s
wZC++yaLcUDv71bPrfF54bYz7ztkzCTJTSUS3ttPwn+sAwqZuIHJ+3kLFFxhlmXfdX0LCGik+GQM
P0Pj4MsakqXaMPh5VVHT88ZcQexHSmQz3C71UKHmFUgTsX2QMabCZF37XLQVRObPN87bpYoZAOKk
GF32uMrbK+EO3dchUBAQe0D/wES51WRcX6qAXW3CTHkNwTbbzg3o7P/F3Hksx61sa/pdeo4bABJ2
0JMqlCOLpiSKojRBiKIIDyQSHk/fH2rv7pCKajJOxB3cyQ6dI5FwmSuX+Y0zck8F7ZOk9dN1isxu
NYCWS7MwZeweYnNGANOaJWC5eJTNPAdLF2XY5QOjPH1C1uepkuwrVDdfa4e7Duv0+RwuUHR5bUfy
aK8nEpRpxAUaOrBtzgkinQlknsEYssPnEIIPfzHN5FNkyUwwbGPvoa54zCsPMlhNVCJQZRtnlk+o
ih/Pp5Ovs4r1iDfArCu8omX+iqp7eI/M+LYgSVqjmGZtVFNKBvxmQDx9KXOCiTBZubBP6J81yZem
YR9bGr+3J9ZmuFsGtC93ys2fkTo7h7Op5EUAI7o9B6XOJrygIvGUjtxb0jm3yJzP+xpVPuoduo+4
BQFwSZ8nLUnXnkBYI+/5uOdqIl7OUQcLNpAuLNbKvT0/4TBlr8uWqBP7tBwFrmOeWsmNnb+BNP3b
pNAGrEUXDfDh6EUpWNNyWTZwLXG4ASZYGepJTy3jaKv0NZNRvlFokMBOYjGeI51nEUzs2HuoJpSI
LIhVG6LJcNd4IOdGjf2bsjORCp/5Kc/S9nkGrKZdvg5sMXDWc3WcUThDzIp9iF3VeHWOxMm4JGJO
lAcD3FR2MGnWNHsPbi5pLfMTDnfijdtm5G+R7wGekHRyi8fNjDJ0kdxC8skCz5YcPw0RgTXMr1/O
FYH3xqpZkudlOGCocAMIZNqJEOe5bOJFLitspO2+iiVpOpFm2898KkhKgp42gSeXLCus1XE97/k0
wiehWL4uLZSnBBr7yo2J+lRB5Q4D2p7Sj6rgHH/zJTou7fNdid/GSsMYd1/Dzt0sZ5xCxXQVxaxq
eqYkZGggOQ53bdaEm0X1LTinw13CyKRDIutGC/PpC5K+1d4t2N0iJrkCe/d8XitlWzynXvyKDN1D
qKe0oGx8tPqeV72cNqFPXMxatgADsuxmdJ0scDSHQVxPJxv9ULB5JoxPpCbrrQtgmG+rktsh4a3a
kKLXFkSstK7jfS4rDryprW+JkvV1YjHSw6dNQORGM4o5C3K4xgyLsxu8TVXh3JLWdHGrZphgmsS2
vldyjp5jd+wWoLiVbHuDwVvrJc3Op+tLbZC8VnX1BLivxdgb9w3Nz+bP+MbIax2XoCCS7ecUr18E
lZmx4RxrPOmWkaxmEGVkxAIjjM4IAyFQkYU+Co+fMqmvoiU1kH11UHbs3mNUgw0sIoBrawg1VkJd
HbylgMti8uR6VrfCiAGtWSM+hH703GmLLr1Ld7HPQuDkw9xss0Gfr2ecUFayJNgvZV7lyizAbZz/
eBBMbCR09r5W1LcJiOZgLFOQflXebmzEWdcNDXd655FFjlL3FGi4T2MWx7TEVL/SmYSthZi7Muoy
3+uhhILvWofWr59yTKlWfoeCdS+QJAB6g9e0J5od1sx4jKRWyOVBwpQtv8wyOn431NtVYhjdViG5
lFf9dzQDh19Zi9ct2K2Qrm8Yw9p0fkpUuJkO/uzAqOELFRO0aFCjtsDYBYth+Lom8gVphlWDY0A2
AVRv6tRw2AOaiaDliMuJaAbknSH8kTzfawhZa4oAAIpzCzM/2XgR3zSKb7RBXScV8dfqB0Y4w5Vy
cm/lJQVG9L72SzosPndArcocDZOeqvbDbom6aW2IQztbpwhiO51S/ag0puU4WqKNlnZNoBIcelBO
04NmLNi1S+WD5G+60mfCUtIlr8aIvkMckz8ZIZGmKuPpi2gBmvOFZzCnnEBW6YSvQ7qAMA0vfyzr
zrq2Zv0JqaGG99I8lQA3V0VWq5/R7CNgDIFyMzsuY4uKJDhmNAr4l4xJp4ajt60xez3HcUvLjkLn
nIsIDgAp2o3WV/6uk4qfWip62ye5cwXb1MN5h0PGOIkRT4C8BDeqCtZttSxRCuYdcPVnZJG9XVb2
p9hjxYQ+fWvm5wRNjoLlPntPx+SL4NTAJMfUg5/1SbM7I37O7OpJz7pF+Ek/NTP69a3uskIhVFwZ
Bp3WRHe7QLrRfZkPRzkZ3ykg663e21BRdVN96bTsG5Ok26h1d7U5+VeDIqiZA6ICiItpG4+sCgG4
lux6CaczYqo3WceJ13stqGnbexBJ9iwR5SPBGO+ZrIONr1GAU+Q1muEfEZp1qBtBHLbmgNIs6ATf
HNB7Qg+1NXOeNVHOrTWk8b2uDPkt0Xn3JWkyAlvuIbdYYfjegarSvIoEi3da5APv2XK9xwrfsmvo
bMNDQVt/1SqWm7k0r5JoQsUii9eTR1wLG/KcrI7HW00TADkcfwnSBdUKyG9y76adeVhyTBOO/K5M
GIOg2gtjytiFyFcdDD99LbX4NeK0V4pzqCnt20hwn+cTHS1XHARId+plrUYsk9vQWpRXyQkors1N
KvDA0bjhlbWcmeVUAbhaqpZ5pEHkOmBKu0g9VQVHT8/47y6SbCmcePjYJXDPFpuoq4nOJPob+XiX
OW32qe56TDF1Y6NFOrLLbkx2R0UPGYM1qVpACAlSrmBIJ8SoUSs6RpLL5CZreIzF/L3AmupFJciH
07VAI8VHEdVfpPI6jdXkT2H4Ix8afosqXvVZ15+LsC+PyIM8n1c/9eYGaktyRbH6ShOCp8qdT96Y
7BzfPGFqRKmHx3uQSu3X0qiyrbned5Hf39gQYcCRLmdgxPrsKrPHopTKK60jeVI+En1W6wPUMxjN
m3p8OyWEMZqR2YYBn7PO7PZK61Bt6KW8RgEWb+6ay0+5R75qkWAlmnmXqx5Im+UOAEIHI/BjulKs
do44prDrvrRO57PXH9mnsRU+vF/4nzFsl3W/4zkmclNYKuvO0l75zT64T3u3h7ue7bSSojNDLm9l
t+1TLWkKpnoxb2fsgXkKvnI75+gCm0VHqIEVxMyxlg+6lxjsYQrdJc3oXF3bgMl6yHpg7eY4o+Pn
anszV10QDzoCvWiKOYXWBKbXkgC30ZdzI/NcI7mG+ZK0RYzGYNuv0Yc5GXBJg0FrjSMe9uOVI8fi
OGoGCV2/JKUuNRDIgIR6CYKP1trkXho+lOciDGtw71PnvaQoTF+XDcQrK1qywBj7X4eaN7AjL8S2
3Rj/8xY5EwHBoABXBroC4qIjleYJShLslF3YUHLgnR5eNR0dCcck6Soy+zE5B176+EzN2W7ojvof
tKj/0hTzfIYZjmUIZimXvTxowzVua1m3S90GRoM5x/uGef8Wmi38OyiA6OD3uL/nifigXWX8pY1I
+e57FvN9hMDOTe3fFhQ72+iw3APCAM5qZRPU0V3WjE/JgOw/ckPye4d53gZLEczzcOGr+qL/7Etz
N4nReHp/dS8duDeLW3cNV3jgAJ1L5nJnduDWKniY1hIEloaBhWTsym1GcPu2dcLP8KP5xNuePXQ3
0wZ6AmbRIPH+cz+JstUpN8MO5zDhbfJ68jZ1xJ+MvHoYG9Vj6YOjZIkxzj6BFrR//4H/0ixkTsAN
+B5fn1HWn1cveKmiLbV2V3skY6hIo41EQfHBCv/La6XLjMQFel1/GVNxmppIPdvtDpFra91BhApU
On4Hz3zb+Pm3qQXL8v5zGX97MIG6HTphwDaFe/Fgdaki0hKINVGSNozbaZgn6HcfCAm0cgbvIeb4
RMFxsTh0oudizKddDwVtNUbwQvM+eZnzx/fvCXTp5eJa5ogOlC/Pogl8MWSQGj6WPkieXZql3ytp
T7/+SX6zlBwPOtQ/2OD/7zRomTJeXM+2WcYWXX9Y+BTmf37bznQ1JyyzZucl7q0yTT/ApbLcVMAC
IYZxABu988PK0y9SLw657n4BAKWhbDzcdGb20nrguGc7mW/efwvLVPbNbSHoYrPU2drOeSTy234H
w4kmJ3ocu8Lv6dPkJM9OTajpdEy9OtM8dFV9jGmSfRWtlNum4hNpcUFLFwVtOEU0psjj4FSZ5iqp
SlBXjrgdjBb8TJr+dNAQanXs2SxSkNY9iEacTHKcLorlwr5LN1obbSBdpmt3xhe0LZktLVPHzNFB
UOg4LlmLxBW4I2prHdQ+1hPFWg+1RfSZVtYytjsfbMAV1OH9d2O+fTfLJNleUMqoNjqX81wf3At8
RX0x4KRcQCUkWkPbQudmKOiLYZeynmIsDcYW9+W27/XzY9JaxT6yrkgIXVq1UEfWSCRnV1LvtI2t
MyXql7wZV0hEpRFJAnNUIPns0QmNig/jmbEMdP+Moa6N8KRjgapnKK0vz/jb96WXQZxXJJskpQ1S
jp4W0FPD18pVTx3IshWQ4SPSfgoWr1uvtDzZKsRyPjjQ3i5+1way7Zgmk3vdtS7GzqgvCdm7Ub1D
DfTKHHgxsMxOSYnx4Qff7G2kYXQI0hiGN5Qx9zLSMAUJa1BrcheWdAVT8h4Dw6Bt7bblaz4jzAc0
lcW7dJcBEVc4tkHTNTsfl80Cp4lBxs8mJTy0CfPoFtR7GSUg7zfbVEvNWFK8098+Ij9G4zSnDaeF
1C7vP8TfPhoDPAagtqvb9pvJMQ5i6FrMsdyhHYO9BZ5sK1WOcl00ZJ1jMcKAGbqXpV6aMtpPaKC9
Iq3xQcR6GyBdYBHME4UpLPsNmgHYZONKw5A73ap+CX9C8sFcjGRzZa6H6aOrmW8nWED9Dddn7isM
hCAuT97KaD3dMSXzyyHaZhK86zKWnCGhr30jQgvbIaGeW4Yc+NJHd8VcPcErzW6cguTe0qNn6RnT
TW7V876n8EZaI6MyL6jscQLrb1Ix3L3/md6eo9wxepgkxA4R/RJIAOjULZqRreVq+DZjqdAGWkYH
otOpn2hl60Gv5x8MLf+S8HM1VoQOqYKwfbmTclKHoarxdUDKmiVcob+0wmblmCJ0uI+Lln4q5mNU
tB3i0LFz7QsalUvPkH67tsH3TQ+wa/R3IYOioAXuSCNUGFe0VowteM2NFJSYsUPZLez2CXws3fSl
J1IaFE4m4+dt6y7RLLHp1y7jFwvK/imjokIHTsR74PHWLsqaeJ2E4kteY21jQG1cQU7yMHotUIl0
l2Q+HNBhXyaULlXcONAnOc82qtzSIRX5P5dK2ElaLjfqTCjC79AOx7WUDY6ZM8vw/U9p/i1sOHBA
DF4uTBTrMhvw5iRWFmEjmtr4PisYYxqUL/AurRbcpqw4AylyE998pm1ONxuq36Ycag+5ATMH5Knw
953oEZ1jPVKDjEanRNIzbSAVtK357TzatKThg/kp1FXBuPs2TvkI7z/J2wTWI76SvII40U3kAP6M
93j5MoKFP7wrIcWv8BIvg8JdtoQV99eR8kG6e3PxDSlINwCVnX1wZi6axBfnDW66ro1yEQm7gezQ
n9f3vREU6VhWOz1nilahvHBvZPT7PaTAGXn61mMp7WINUyI7ICqp40nNCTlq9LGT5U92VtZBBy0O
VWyWKWcXEyVMagNnsr7rRofQA84dDc3X8/yB1oah0ecLxxTuc6yebLlMA2ya7ClNyZ2OXkEAz5p2
7iyTk4KJ8ajngNN1/wh9B5sbCG3bacG8FBFc/Mhn6IFE4C8L+bRd6QGwyVzGje9/pL9kFp5J9o0n
km9xKjvLW/ztVO6Z1ZXpEFd4+rGtlgEBToSMhA0mQhKnrc0M9XiFFhMCZpBEUUen75M8MjyQh/MY
ZtY7gFPKF2tO61O+xLcaq/l0AdS38lvJRB+nPGYRrl5Mu/fv/m3c80yHjIJ9D2fqTY3UtZpsChov
O82zdkbIfHEJFdlEO/LcjcrD4oOo9yZ5hr9DHBAUZXDIONgvVlWMVNOkMM/e0dqGWyShyCbL5P48
i2nOn7djKNQTX0ByABrpljFgj23MSoBy3qha4WMAmAX5GWLO++/j8qA83xzaSoL9tqCGlr//7WM6
E8hhDYz2LolrQWuQe0CtjykA4zIMGD/Cr/3lcssWB6kkDIqJN8dOJu2GQWSGSMGyat3iiKIAEalh
7VA7flQRe5dZsEuMI6KA6ATIhonkxVqNVc+0USVY/cSxfcRMBsU7S7kIU6FYoTLMawaw/zixID8P
l8/G72kI94ahlbdWZblfB6vw79O+2zuiu2sc1GRrB46sNSDggrWNF9Bdaa5zT5Y7f5hwwm7L5Ihm
mA9aBYfGZG7LbZPwy5MeYQxm1yfkP9MDwifGFvhvjXmfWQS4Gcs9NYwVrxGmGAJw3fBtRIxtQzhs
6UjWGxXV1g5XTHEFlgOYcZfdNRPWGpRtAuEvwTvEVOfo1FoahGkW3ZXUyXijaZh2Q2UJupi/iE3t
2VjQdsZQd6eJRG2LHV4auODGb1AP6mkbInDakXPPWGFAh8MrUVwBULXBgWU+RjRFXeKyYyVXXap6
tK6g19MlC8VOuLW3R/A5OSIHgRa09lm21l0UI0Gm0R2+9nDQoP0zG9+hWIgdimj2BxtNXCbqrgm3
BSSWSUEMDG+Rqf99LftRrXwt55QHQeHhRcQeEzmoEeRwmGyTSy2I+ztZ1+UulMOiWTVZG1MuH7DK
rMBT8CNA9pDXuwrTnSTHFcRMEWMCeoiW9uDQUuqtzaR5aeARIAO81MstQwQLTQbetidm7QERb+vo
L78+rdq7NjYfbBe0yTA6IEkQedl0qij3yKh4HzScLg8vYH9sKHYweQyBRr9Y6kROwxZ15m1jNe9U
DD2bSez7weIyeJ4v4YIwRGwfyLx+8YKpwmwaAZEHYCDFmain/dqrnjJDzoBBWtQ8Jk37qCq6TAq4
KLET4S867EvYuIhQsO+d1IkXVSZEgDYMv9RaznrN2C0zAAww0kNuAttLBG7XVps1H7S1jMvc3hWc
c+D8SODpp9Jx+XNVTXWBF81i9dY5UmMuny4KHGIO0nS5IIZXB4mO1I5o90DbIduhxN1/ef+9nxFw
vxfC53ugRQ4bCVKBvwDEf1/ZbBvlmlCXtqmTaRjx1c2+sAQSvpkO71/1ib9GEb75AYUivOVFWrfV
COq0bE3vs4bGSBDDr1s3g5XCr5q9J70xeZV1Q3YXy22RxerTME3NwVYuj9PG7rGuLefoyqF+NCNQ
CYhMIxU2+O29wPd4FePC8UHyZZs8wx/PSAJrIUGJuxKNa87mP59xSlpn8WCDX8WuOg5CjVtdRsba
76v+6vwQfhfn9/oQuccm5i8YPIYoNOpzgIwZHBdSsEDQi1iLOIz2fhR7AS7RGvtabw5Qk18lWIy9
1jtAyDBLD5JInDKzEBupkv5qnuNmj+ItPtv27O2cEaEb2242iNYjajg79SZ32hmET7XM2EttW+B8
GajQXkUyRsBK1c3tyE9updMDsYgjTHlRrnDCIb+fZvk4qxQR5ri7sgdUEpHaymHdxP0Njpbtk1Yt
Kp7/j8h+/897+12SRbw5aXmdNOHBVLq0gsVlrSV9P0xm6qZtlCl6J52m1m7aH5No+IzuGIoVnWVs
5xbRocSZwrVJx2ud2tLbI0+CPlJC9ypjvrzOfbZZiuPjNaJH+o96StEQm/35mt/iIP2I6vyoWeWe
RlK34qU7u0zvf86p9K+p8tCNaoHs2W1jbWuzRh9MmWqNLfRjl0/dFgHAh4KGdJDNuNu9/wasN9HK
Mqi52bFQ+tnAZ4mF31KbFCMWh3aKvTV6Dm8PjsJ3cxwYgnHjISeoh+RT5WGrPYzaVmiFBhCnjq9x
asPKxkpkkMZhtyowyf6CWjfwjoRtl80NElseztpbc5AsTCfSAgU4LtAVa2RqqxTVaS9d422Kuqfq
duMUG2AJrM9DL54szcD12Xc/o0T1Qq3TrSTzqeui1dw9PMf+JsLa8r4ln9zEOfqHfp9TjpexRA1l
RMaY3sDOYuS3ZTDJQu+5JAZ74oMezt/WDpMLi6Y3se9NUjiNMNvGZe30uf0K28C7X/aK6uBhDgb2
k+9/KPfNyYVEsi1AqNHJNf2znOzv0a3o6FXpXUuEBU4VpMyhnwCWxRhZlpifzsW4FXqY3sZOG1+b
niLgKdIvY+Clj31NBg/jDRvL/mvvh8chcm7C2W62Biif0bmaIsSHaizd+RdAXvm3a0lOGGg+61Kh
lx6gd6BtSdtfq6aeER4FzAfNt/9lIKqz7wR7QFIUHtNGdzZZJKJtDCT+y4CvxScG/mGADEN/kkky
Q1IFp5FZBi0uZ643iL/jkuCN/oGJ7KmFH4Ng4kTkmP3upnBK96hgV9wMOmG5kUgMNcvtMDHFI1IV
/Rd7Ym01PceMFuMCANvZTbd4yLILWy29NfVqoQqW+nf43TkQGYNxdozz2dZXBW3nPsLYgBe5il3D
2cT0gshA2RDzBxvtL6uFRUIvZsGjL6fkn4G7cZw8Q77e2SJTtcQQ3p+SNodTZSGiZLMh3l8vb6/H
VBFEOikWhTqc/T+v56D6pDSkXrZ5gWJZL9kNwOZ8nPASbx/PuFa+fz3jbWJJ2WbzbAYFL8M8f7mj
3yKJB7ytNlHL3oJjEptkUfExDM85JgWDqBLdoutx4fJGjYNGUKdQNyBcOBlmblXB5nfhK6+twQ3x
feZPfsdBpfd8ar2yFr9cbLpkzaMkTqU+FQ3h2i6Xw90OFSdPkt/bZfVjWsJIVNohiGsWnWPkP8Av
1hukJQnvSHMEEb3JB7RwmsOMxXfex1igwB+sK7Ss5sF+zdz8hxlz75rejtvJC+dr+lrmxugWCYFK
PTQza93QiPzno1VmpFoKQ5AnEGVigxLFfDIA+YIRYTehUevtYpYgxoO5fj20qKxXznKaFhlgcEle
kiWcM12BPYy+7NXJJH6oopuey5n4lvWs87lmiWdKNXtQ8Zw9GWG3yWT9mCSZtuW9iU2uuCHpYjZA
x2UO0J5gCjDV479/m7PesZfUtsrVqOYrkCFBZw71egRasJqWUzeNzeaA1SvaZ+Q8oMMG8gGUynmJ
IzbZre7dGDUD/C7nf/pt5O0blx1axvwTPSKDKEO/DZoK8DeY73anokbdJgYoIgjGKJstj6khmnvb
a5jZyt5oNt1UOTs4Sv4BJ1reXW57u3x2vjiT+7MAr4v7iWUe2J39EU6N2BDBFidB9H6QGSJlSUij
z9vdd3h9IE25gsYpIH0ynbjg/ce+aCna+Rzn1f7fbYR2g7do1VSv7Z/WZ/8jndDoyy81xG+7fnFb
+5cOuti5/e//teuwuvjR/knf/Pen/tUCQvGHNolvORQhJluJ3/cPfdPx/gsRHriT1F/orYilrfgv
fdO08EczbQGnCQVPtNX5of+rBaT/l7GAA0h6GSwZaAj9J/TNiyPUglbK1AF7V50BPEf3xYDWN5Pe
afLR3bR2DLF+nqfpa2w64382VuEynrMoUjn+klnSKP0zEDbQkVJa9M7GsbL+e69r3paJSISeCt34
XVTIfvfbV/hLGvvW3W2ZXQJpYJ5EVUBQ/fOKfjFn+E+GeGwbo1+sZIF+LeArZOGYAgr6wyiMfPY6
N923IZibQfe1Vc1PfS8nYWDG4adXjROLK6OG9GLiBYVpVT7cMLucj8aYyQ9ymctm3/kN8ckt26ZG
RnJp+VC/HRWpq6FGOZbuBqJH8TKAiFwj28l/M7/0AwBBHjx21xlWiVe9qEqfX7rRGx7JUmAMdpX1
GnVd9qWsxvYqGjHDfv91Xo4K/rk9CiyIVgIkg8d6/P32XL/WIRoh5tzRB7pJ8HkY14iBisBthhjz
2tFlqmjI6jpv0fNgtA/dP8IxiHvmbB3piJlTVNxNI3myIQ96rJ3wfLJB1QPOjBc6TPZNWA5hLLTU
fY4d/XMXGdDep1p+ev9ZznCW3wrG87MAShCeKQT9XHHRjfCSedDbTtgb2eXxcbKVR5dlNKNglF4M
QBM7yXXBwb7RwGS/lM6ACVdelOgvlJDEkIP3tVOHcMk3x+qFtjIW3mqm2U+jQSbW2DeuoneFby+s
1VyjoSa6/tBWMYp/UfpN2ng3JaH95NutuG21bl2W0503JVgQTQhZZQq0KBJL9dHSwhn1VBQ6IOwk
BoLURYm/AHkGp4RnIVMCSQhF0/gFGzT0so1OyGsbHMNNmxYiwk/V1K9VoQ/ooZgaB1EFfvWD3tFF
j2V5lZgoEtwIRWjMmPafy0LlQyqliZFVSYZ+TS00v1DxOkdLCf2TOTas17Ia/Ap3LL2891HLCN7/
mOfIcfExXaoAC2Y8nWHaAH/egWQamdnNZG+MUBR3FSMG+qODfvQoeBi9vmrpMN51E/SJdYHqIuZB
3PQrzg3q2ZJ1e1NHA1hGlIrcA7jzPECTnH5dWboG2qBC3uMI3DBahbx2HclievG7wfjcybC6hvyq
URdk0VHOToT2NdY2qynSx6OXdem2hX33wcq9RBQtr5vQsJxJQNVs9uLFw3q67N1lFzYosd1GiBFi
Ro7h9kFyrtxjte1va8TfwDDnM2MfD4UmaaP9Qkos96h4eV/sBsyPGiL95/vfYXnNF5/BW26PWgD8
oOdcLIQ8mgpqvsHeDMyA1kJVr3E/HWirjYE79h/Ixr49tLAd8UEL6TRrkWu+SOQrDigkxFp7Q+vJ
fdKrqVrCSPrBpHu55TeP9NtVLsJE7oGsbpBuRTw+SX7pJDXHqcP8D/xsOW3ff31/eSJKIYoEj/iP
GeXlE2mDLevYtjd56/aPdNmBy4fYrr9/lcWv8o9HYvpG4gAkixBu6ghA/Ll+TEKuN+UpdsC2+iQX
kEGhT7s06U9j8VD5yd1YirUYh5dxmNBOzbU7/LJDBk4V+GExTIHfdc26Rf3n5DQS3ZyobVf2+Kkx
ZY2aF4JCMokQTu3iA9MCfKYQ4lV0IOpfafQRvO7y89DQRMaCs5LxzJJXXbT9kKSDsOYod1Nz7GDj
haafMwFmmR0svN9/b29eG13r5eADyoNmo31JzY/n0MzdTvOhpTrRVThl2t7V52WyXOZb0YTdnlf9
oZIn8hQXn4txBNuddInAxqzk8nMNZmubBXzEDeJgD3aSYYUV4cXsI5bxJOoKNhF1yCctSg4qGr5B
L8YmE3+qHyl6WhAV4mtyn9VEW34lQue+kXC/iC31LlFyl7clzvNh8g1c77eqN3YJItwrTLXg6xUI
PtY5DmLuMB7Q2aZZ4Db6ve8Mck1XG8b4hG4iCjUQGnU8ZZQR2jdehWpNBNdEmloOkwAlaj+E8ihk
cQKrAzURuATnwKfJzdbE3ENmeZ8jMPF3MxBAOb9QpDV35VwgR2jb0VNTad2dVuObgdEDIuBzaqwg
4hQr1bjpLk+cEvJtnaff4FAbwYgFZLz2x6Z/MXNf7azY8mnYtcL6Niamt/X14kHK/l55u47nTNLI
+BkmAMDssCjBtEfFdzoGCWYYua22dp0BdEh8uR9z5vbmpIpbq06ze2N0aO2ZELZAjlmcuaozfzUC
ae+icJFCRAwrQLGZthI4unAzD6ieYeoqsu9ZUw6bpClHOODTWqKWbuM4H7S1wCer7DorX9NEnK6V
iK1TGPf12k2mzYjSsl+N+you5x2yg3scbzp4RtNoBXje+6/TgFLW0D3UffcrJbt8TMwq2wrEPDe+
138t4vqqgaW5bbq2vwnN2nisU6jjfaaYzE2yAoU35UyI/RmIhqhPhT8/jhFKbyhOW/tWKrWKuwjr
7MwbHWr8tr9TWK7tjDm370FsFS9lw2frFH0XyGvRK8pm/g4XxGav1548NTgGPZW1zL8OidiVaVu1
2wQ6wn3F1PqkZTkcN0z6YtTZzHpCRrqfvuTR3J5EOHVfpJkChNDU9KDFodxJRBRvNVlH+3lUmLiS
aN1i/RCvU4bUAb4YLld25G04a90mG0Z901logmmhoQ6VU9m3pkLwL+br7ee0aE9xlz+r3p0g0vKE
yOBpOxX293pk7ebqAaAHc6JiuqvD6SakR7BL9XTAFi6rfoahET9UOkuyRpueBBy9R69GNg7i9wzy
pUb6y5/zFfY69smthxjtvYqmAAyhdTUp5OD1ZtxqaIRdFfja35W29yuu7W+lrqNJ1kDZDqGTJuNX
t3GrvRUNCOBNeEXGYoTiiq72wRugr6Gm+lXJ5qv0mQ2g2Geo5xxI2WPkZQ5z4brY+WKqNjKElk/l
0xxVgRS58pWzT5XMt8ikRhtbcFN0xMtHS5XaTcJdBdII+cdZ+YkIO+7roh4ORiucDf8q2pkuPj1N
/0vYEQPQ0UEqywecVOpiXKd0FnYm3LXPPVPuTT/22jZj4noX0qjcGBUcckEjp/Hs6lOuBufORh0f
KY5yDiyR9Ie8sO9nqYtTFxd8EzQNSvwLBuwvjGZgU7XxNvYxhO0AgaBSKI/MJvBzxMNhFU0Q6+xw
jr+06FLy/8n5WtdrHrCqm/VkEx3BDkwcEDVeWEac/mi6sjv2kT3cJnOYn2xGsDeoQBQoy0D7jzG5
QtT0Wx0jcho5aQl/Oa+Jq0wder8PRq1IbxdnGJRNRvOnGFLMlr06DWqfkXGSRfW9qRVoeIaUds4W
0dJHEdbQFUWUKpT3ysBwszut1XGVDTEKKWDaCnpwWfoQZlnJE8vsJPSRUcqUmC/6POafZJ+S6XvD
bO3SxoTxpOYyDUbl3CmwK0EpYyjSo/hshOPaLi1G8l3YI0za0W2UHRaM5nPZ19exYQe5lT2XiYXr
Rtlbu0HilaY0/XOV0UiDIH9T2qi2IqGCkLiNmMJTO4PKlPVQht8jyjMYk2Hhbqd0wpBFzgr9+zZa
L1Mx+EjRbTejaggjzVjHg5jBWFd4YGi16tZ43ZTaym5KawvAEEQTVBPSjgpVszS7roTW3+M/Vm/x
PKArXVXyCj3R6pPl1Kc4MyasvnztR2Kp6scMH22B4iSPYelZmxY/g2MSKvHEXVcbkA72bdknaMOM
3ryLHRn/8JmAXNWLBiLovuaTMsF3xgjg7Puk69ayTSkHcxhdTVQVBynQFDVBVdFnzPSbfJDdtq0J
3mmiTsp4xYVVlCuEQZoHr3XLdWPE8t7EOeKTE2XetUTV9hoLxvRat3CHtPI2/Er/cnrqAOqufeSM
P4HzRycJpushi810h9RP8h0JkXktsVjZ9rXnPslI19Gu86urVEQct/F0rztZHIyZiO7p7LQbnadl
eDHZ123f2MdQdDagsF5/gNyVnPKkFQccR7yj5UcYbfhpdNMXHn9q/P62dtMXWdTpAzKfOlC0SN+z
RDd11zx7Bea7ZU6+CKhhiS5+HBvoikrS7tl1pkODILTQ1BX6F7aONWzjlHdDjm5zhNJOuzakg4FW
57k3gm7lp3ZO7Bc7qYsn1yyxXdCsxwncVFDFQN5RQex39tArH75Wm4K9Ba6kWU5x1dIyJoZZamu5
msAHgyG6q6n6s2b3YCbx0vX7LbK78QFhE7nVJ8ta5UZN39qCUAcqTGEqPuInc0ijfj6Unv7Vs1r3
3uPnwQkCqyn9NL+Zk/qFXqmBwrXCPwabyfJzqbpbDVcQyEivpaeuwKVF9zbO6EgcAF2IhjhFT4j3
HKG/u64F5G3aUTdNJEEYhGsStXCrwmKAnmxMZzsG/+7/UHcmu3Es7XZ9FT+A4yL7Zlp9wyr2FMlJ
QiKpyD4zsovMeHqvOv5h+P53YBjwxJMD6EiUWMXKiK/Ze21tx+P9MPTylQ4PHjwAVXsXY6RNV2E/
dVcIYslb2IX2EyZW6+IMuj25Us6XeZ777x5jEg4AlaYvuuabEZbn/7izFX9FWVqTUZvlW4ep9MUG
CbLpghoybkbRt0ugxZDlOrvLbycmgLqa+kWspNuQlxSH9VOLbJJQiHz6KZGbwB8D+n9mDT7tIQW4
7Sq0M/tVJNQkOaY3BI4+9/XE+Ae8CXHzmGxbj6tyVMkLWs+RH/6Nr9TrSu6BKPlEHCcqaDHkoovN
QIi8NX48v3ehKeWm60tsE22aJsk2H900QN6bx9ciLaadU2A7cmmGQAMnwv+QiisobJPyI3DGEByY
AHhbaAK8ta7iS0wcO988xLyKeob5PSsexvalEuZ+LhhQbmCDtPftkvaXfMqfqsD8ATX+a6w84gHT
xTmBG5GHcTTvo3F4oA1pcLAQOpZ5ptk61VTDy+S6wUUXUt12rOoYEc2buiJYty2j8c5xO3vH9jfd
hW6eoHcNCSbvoM4dp1TvgJ1s8gqSBrdrtrLdCpZkv9T5Gfp0+4Yp9zwm38YLnyLtvHTR9NtWKZ57
+Un43nvqeETZAE5+hJzHpsGqw7VnVeFdOUXFsAHzU20IPYPh2hgTXyuLGEX0OOZQlWJkl1QSf5JH
fn2J/W54Fn1RbGy4wXBSWme84laXmO4C3/+NehY3Md/C+KASXz6W8fyczJV7aLy6/pjRTTTYXyz3
wGhJ/0wAvp7JB1P7ZW7Etm7b8FCLRUYrn2vve0QxwfDVTlaS5Tl+W/emHHcjtR665hHChj5Mli0/
6gaCZmeP0RbwOlmc5Le7ddE+BgTTkwAWZyQX91l7DP1av1kdlkt6lcmFEi/9dh00hp7VYnG/GpMg
+8vX1Ox/KtOywRUBF2vQpd7amF6cCtIkt9T//X1YxhnJmYxat50TV3fI6ISPqgHJTpmn4R5a6MCR
6zUum3lHwD2Lo2eB/h39NkPD19QszQcNu3VmQtDsOwBVPNxjvIe/Ax4iYeuVky0XVzVOpszsZpcN
LM+ws10IKD5g8zYPYrLG7RzGJWUwS8IjsClxsVI3wYs/g7QgXTq57yg+tn5a1Mh/y2Y/JlAdMpQb
Z7LUXsvJOjlV3/wxo8z20C/SZ49kpGfju+SftMPymN1gGD1Y8MebfPoz9cv4aSwc54LyNFnxV8qv
21H4WckmfR4BZPv8z8I+dzmavjYX8WtohuElLOIi3oxD9sXBUl7TSc+v2loyBG9h0bD67utPvdSK
15AWh1RG5o44e3m1jVSPUzc3pyZv3WMrwfwTjoSTUjjyV9aOyX3rSDKKSkaIOoiyc0XB9ou8cZeN
/RiXe2qett2qCep7VM3xQeH/hds8ptk9g7nprfAYzM0ErZ6aeOrjVdDo/pFgv5BxiulIlKZeOwfl
EPxoGzHJyuR19ujyUX1UUU6480poPF9+SH+clnSTh6JjKLu6xYjsVB7Vh7TW+a++r7oPlSOf2boW
iwMAd8aK0Vzq/HW0/XjjRIu99dC4I0CuKhobMA7WHVqd9CoCC3KR37SHKcFPKVxcfvmSdg9ck2y9
XTisPCVYrbAELm/CrutXkYkSZlTkbxScL5rDergW4fxIiHvIh38qxkPLSxCrFhHpX37pBWsYk5SW
BSYsDfpMsesAR+s/CZjom7CDeeIBc/DWKpb9K1n3zCtJulErflt9lW0yb7EoO/f2VHW09xQ816QT
028/TXLE1Zitt4kNYGLd1J7Onog4GIj6hv6/EWYZ1bnxek4GuTzxQhmhtx1JMdqq0GyaYdnPYVAd
CldY7luVJP3fyclLWmsGd/UJHtUtCnRcwBLHhCg4hAzZ4QJFpehg1pMCJu6Rbg7RmfDGUm9n338f
q7k6tCZyn0rjxodMZGpZVVMz4LjATEeKq0GVBGClIuhMacVRYMxIOmGRxemuwlm0GZqJ4jYkUGtL
aubiQJ2wUB4Fmc+iKmpys/K1EseZOL5L4cb9K8xxlCzCgpyOPB/jdjT/NaSKV0xhPX2CVF/98YG1
oMoouSIXbljJDnty71Asm19O7fV/U+ZAFwt2yTcvXX2Mie79VQS85MRVyDHAzwbK1TJWUXf1I7lc
+yaICFUYDeFJ/mTdMQ1DxBZOcBo2k1tmG5U07T3KcOvaWH7+SWtJuxhi08AK1pFES0hS/UthHyu2
kavP+ZBGDfg2AR8cbWr70d9Cq8rWS95ZKfFc4bCm0cua53pKoruk82WxE5H7p7xlsWtMLt7gsTxh
nrnPJ3MqCnBfpDmADCdrVT5lS1i+zCOJvS46vHObRvZ94RfwKgjK7Ih5mup+t5CtRziIcratyKCE
IY/rfrl5MB1yrq83WciEGNEoDXJeiU2gh8mL3w3l0lbrZjjwqMqzInH0oe1zEay4AetoNSNwEOvh
RnNaz/OSQCEKU27JeQJAARzsXdMN/3F8FaGPJkHMmeaf3p5+uh6+Ny3Aqswz+4hUeN5EeIx2nuYI
JRpofOtaKU9R3MZ3uSeznymsJDidJluuTLa4GSoKaxJGnHBcKdRl27bL+rWZoTMQhEvqfRC6f3vH
1/3X7Z+oYQfpIX6aUy/1t4FzC/4zU0Zrj0zGQoDrLh7eIUJZvYQX1ywJLbh585EvsQ80+k8m2rpY
T9E83IPWfpjSwb8A+QbAlZgE09PcM9GBwX2eCJs+dho7D0/Hh8XfAoRG+B4wpbDYB8Myl7cjYt50
i/mMRuZwco9e4yPsIg2YO3TfYSHyyrmG8SzVw5EdV7NluuS+cTutPfLAzCpPFv8q7FmvqWXAbZdF
tFG2uaSkrZzjoCNVbVDt90Jc2davRiIHW3pdgRR47SpNalJSE2ZIhBvPgbD9Y09JS3Y8l5XG5cWV
PBAVtQ86I/aN1Zfkud3ESXJ02mvviHpnIcw/NqEjLUy60n5uCcL6YpSBmB5tCE4q4jKPxu6fqqRL
H2yHuSCmCNJNgxHKXjKuB1Q62yVYQLJFUbMc+ImTGmacG8iQ1KoVUMVzM8XvWrjhG0DzAD9OB1Qv
Mjaj2WomrW0EKpqTOUJoSUBKTabeJzvIz5UPRJDioIXQM+l1NhFu4sWxvmD+KvDPWmLZxm7Ktq6m
v3oMSWzYwfqZzuhpsy/ZIY9uS9Q8rs8Wq8hk/Ur+bPEi5WiehJDhG/v6hpYoS6qEPAGEQ5G0mnUZ
5LaLynyI3iIUmcxgS+d5WOqYfjZL1rRAOGoM+KXWdSPMNMivelVM9dojMWIVe3OFZpdacs81nVur
LLRI/iK4NwX1QTxpAKP5k2NUDbS/fg4HttGU9gmy0SNb6Misl161FQaGcHwa7AikJuV9w2kaKU3b
RXriKvY1ngYEUlfVNMkpUvjk06YDb6b94A7QnzpogGG7SN2CJKeeHqgvA3SzeftAMsZDX7nuK0mq
KxiSn1kT/I7L2F8RTzlnKyo+tQ1Sc2MDdcEarOAlGBP/IGVqPbWN766BpESnatHlJeuLlzqFSWgj
fPqrCGB6DjvPexkLIlhJPjFboabnhERNDulAP+lKW4ex9IvrzE1K9mFNgHQ+PiXCyOfAVNW+H7pg
B/6G7AeVuhdde+MeQPGwI2oR0p/mzEdZfAapJ/ZzUh3RA4b70eNjRG7A34Fu5XshysdtxbwelxGh
l0/6zsTiCZFTdbScptyqDudNmBIpWhKN0vAJd+XWuCZ9GcZxZ1iHuqrmZ8zKdmst/ZdHcMgZLqN7
H41D5xMN52F3FpyksB/GvQeHZ9cUllAYUZxo6/j3CjTmSg1IS9ed34+7fAmJ/x1YLbdbS5XnqEMt
0optnNfXKRPjLQHoe4yE3I9ito9LPfCnQV4+jla3bvrgzgEpLFr6O8KPvHOn0ntmvw27g2rfpPlj
I3zrT9oazdFEO+zoamacPy1nBmCvBfgo2VrhmsUDkZ8Zwz4MT0e3y86yzj16ibn8Jn8NOInbfRoj
71ACkkMns6aRK9uRRBC0kcN1IHxsMbRAUAWOobP07aqJFTitoWaTRekRnn0xA5EyNMhBuYSrxoVX
ENkVBMpbO+GDHfysozg4VxPWD7eBreSSQ0zuYr+xiKrFNpP5f5qq9p4DJSFeydRJO5JWnGDnLflw
KIm0Iu3Ia9KTL7Ii2LuV7X90ky3k74T/wePZtQF9b2y/uF6ICVojZIe/Nm0LntsbLi/YQoxdoEnE
LaOMLlseE+Elz6p1QZiNMQ7CMHKOsU82b6Sck/KdjD38pPVymAgl+A0ql1sxzPlIodRu8heRmZyV
o+2m8W+ZJRzEWELCtaVSkZwDIsvjtSwCWxMwnxePscQKeWSbnJcESbMfYT8KQxK+Db4C/KpaOcxE
A9IRRsl9CEMvvZ2ncUCASZc95XoqnsfB47Tl3AAXmBtmmjohf28VZEH40ZLm8XtpHP+b+E4oAV48
VisCfCdAWUu9dpoZCClxBuQ6LvZwQDhag0ngR00zONEtJi3qkkh07wyKSc7AlsoKcwhPkKCY4QuS
rLzB57QiVstq8D+16t7NnWNftb9Tq0ShGOh7n/udPDWi5+W5zwfx7Nl6wdgqa/noU5Bc+MSlH1Cp
yBI0aqV7ad2Fi/2NP/rmQXTaQzmpjO3SoghtiPdTFX9Ocnry1fzuJbBcYDpQZoAIUMe54N+K5LDH
FtRc8ZIAjer4oFcZw0aJUx6RjT0+cXfX3JAFU7IcwPKWNoBOdRDeLFelmaofM/nluvPcHhI32cnE
pK3IxKVn8sDm1OhYknUb9/o5burhVd7geHPmMqQufXXN0Q9YZXHpXZFs7Tm0N3aUMqTomyR5p1+o
LJSrodqEhWuOE8CWz8zO+2rdwTg6mwFvHoi04iZHzlgLIzVei2qEC061SHzPasllfFgse9xYtDoO
50/VXK2y9p+Vjm0KLeanmUUqAHSdj14Ke79MnLi3tMlL1vgdEMPZvC8hXVu1ZpXFZIN42+w+6Mia
1rb7KI2dyF0/uMtna2XFYaQ6vnjxELwv5D0x/GKtR0lk/HWTL7F1mbG7kk1DqDFZb6HI91Uvk3uX
0dAXvSldiMmTazbJmkEF7x/vpEhDe5v4NgG+SZdt+q4jPxgoQGVbZy8W7Av6qXitBnXoxlYT+6bf
hr5SvIPylQUy5MEoxCeSLNvRdP3aWpYu3fidz4w7F/euZKXIuZK9Dk1INFDU0plMfNBWZWB1QCuz
a6tComuzBddeB4ynbLZBobmyGeSvyVJjAk/oVOq4E1C/KB1XntNKkPuVQ4+PGCXYeFCPndHxW0SN
rT5U9J/vFjTiHa4wRfCYo77rgnnshuTr4VVnHWE95OVNzyWAy3mt7KE4FISmMlwz4V2YRtWrgzut
248M6yD7etLwfcHTmOpAPqaquA4hlpV+arMTmxNWDk5VHuYuLqtNZ4FYAVSgzZOZs/qA8AxSt5NG
ziEqrLJENgQszVnII8w5Fb+M3dnrGm3LMyF/E3Piuc3OvvE4wvxwehgITF5NTkIj1zjiTAorjtlI
Nd6xI3mvXge+LmB1htZpWhI5sEJricdL03npV6ZseNgHPFQbPfCWr4UzvhW9Sek/DCT+YOr2OrKx
7sXOMQhbrkGd+vj4qaBwUg/OhQ4OpAgJ0STmKmUe6/a7hx/10xSzWHfhKO6KW8WrjZM9oddrri5I
wjVk5fwhx9d/4FFyH2LGQW9e6oTbKBb+BqNRTb9H0o0DDQKHeDOvvTzn3KpBciEzwn8TTtTOidJn
Ttx5PVHL4TWz9T5wC/b+DYT5VaES+1fJuOFEBA+kQpyrZFS7wdNo4uxS2I0PdCAkdoqpHpdHkc/u
ZvR8sUo1fLgyHfWGGZK7sVIby0khhndMsf6zzefzMW3hZIzSBRPqmebJRym1IiUAsbPv9pucQ5YB
1eQdLYzfTFOKJdtEhU96ItFH+7EPhl8q4axrQCfleyTbYbharJxXXIkxndZlbbNZkuHQb8Mm/UJq
73z4U5Td4y5WG9aJAhxn5Kya3PVBWJLu6Fgy4J0qG3xH7nJOcQCyjiBhmQFxo6LfQhORHS0/cgrd
Cx6WBz5QTOuZJq2rcsgfUmFXiMDz7tY5eGk1X2PD6nrf0vWO+4bDM12nXT8d+FgrykeXkakma/kI
hFG+hsrql9tFBBOnictlXgveWSQDJO7Uk03meFh1X47UKxjsT0noDvdKVMuxtuZwXRRi6taDzpHP
pEOWPEqGRc98urJfRd3a79qB/gY8TmIO8eUuaRJzH9RNCSZgpL9MFnxpQ2mTCyWd4bUwkJZIhbpl
iRg7OqadA8gkCuRPLE20aROr2MaBWZ5VrNq7urpFf6ZuCQWv60/1bLX0o9bksH6x/+mSRzIQCPsV
Od2XI8vyhMPkFoAN6Pd2hxBIWUbLrvcmc2XQMhxNWojfhZTBG+yj6FTTJB16kfbMYcN0P2d5trOH
YFs68/gtYuVA1IdSuwodHZSQCbO7xGhgl81YUlJ73UcTTPmXG5fM0lNpnsPQwUK80O+05JNjjUf5
ztR4hb6R/xZMSV4WXLzjmuVGNK+taeif7bnqyRdulH+1gKqfhsUmW84Xetz69Fo3GiobdHyRD4ub
kgssgso+xDaJGG0woFGxW6Z6cR6+JJPrXNO2oRCxQ4Y2paN5nnn0WtmzxIxM+Zp2FRISgYTK9M1F
NOI1rMWPi7TzpWqFempGL9mJZs5uVS0Jil6WvVmim+6XUYYv7lxMT2KZMAjkj5pR687x8vG9aIL+
wbfd+V0kQIBzhChnt8ki8MzJ+M6x8h4UpXshfY76QFfF1S0851yXvbUnubh6kANw1MSfiu9pSvqd
Ip4VUwUJhQ6rglOCwOpAb5jJtWqdgWw8XF7HMuzVfuoi81FJdQsQXYzzRbQD9VjfWmJVUief88yX
mxpSzEF5dbXpg9Bg44ByqbybNKIeI44m2R4roG4EWGKDcMPx1GpiEtIANLEflw1nLd9VtVJZZT8y
bM3OkxncHTPbnL81JJ+jtYqjHEv3oQ1Vv63gLm1EWkdnUMqIYuu/mnlNMHNnlMk47ymj4478So/c
xjyFvtvn9UEFTI2DSH5EafqNSuknYtpK9F64yxJ7N4dI1FQf5Hhqmp8iKJpVHAhwpaRKVPBp22Lx
Nmk13clO3mmywGaQntFsYAKULIaEvUDTlemWR3Y92t5mykL7CMD0eentA4qhNRzQ9LAQVbf2Sbde
+WyFCDecWWRFI+OeqrdW0hEHLMonGDOHMV/uPMX0e8Gu+cSoyzv00ZzvvEGiR24N3DG2+/lnCF1q
J4CJXaIwK54d9l8vfk3H2JiMUXjV2Pv/bhqLupHV/TYsBvlbpKl3oQW2diaSxb7us/71H8Xc/2sz
yP6nudko+v8PvCA2XkNcC//LSvtfnCCHrPr9lf4u/9tD9/v7p0//d0vIv774X4aQ+D8sC77QDTiA
PeEfhNL/NISEPrHRXsSA0GJ7g10MufW/DCGu+x+4HG0E+Pg1CDy56Zz/ZQghN5rkoADjM9b68J/f
+r9Ih3b+3QDsoTjEVWL56CqB4zn/bgB2UDC1OsKZXidJzW6np4XpY0EwiVjUlze49FTkJrxphTcp
ELrCF5sMm1DnydEJFEoVRCkHIEsOJJzhfqzian/j2X2WXRGSBha0Du1Yob7oEuBY94hzSr3IK8Cq
mZj2VOyasZbpyiZl+RvJOKuDtA+fWuFneptarfeVYK31Vhw56W4S1W7BcwXSuzwjULY3ow6GozLy
GAScr5zy1i5r43trzNShRQPxHkgVfxeC4R8F4JKgeknGnVujnF2XeTl/S2xZn6OfjCfT58wMILvu
OcfTA8LdhegJCPf9rOjynPLCxCC6d8tEbxfyEJDpWTYbx/G2H/BIOx1786CRazAlmVPki26w7JOy
ZrFgkqx9nUzT/GQqCy4MAl2EKeOL6a34FxVfhF+eSfLK8aeMd7VJIFJlDeMKtuVoXpO0JzdyqfJp
Hy1UGkPjFO/9uFgn2IbDqS6cL7QHKP4QBdxlKQdvFkb9c0nxenQRTaNtNxYO9CLM/gCaF7+cREZn
lfXenSQ84E87k5G4mntf/J04si8ViaXvTe5UF37gvE62QCRQ1HSnlnfVpH3XG6TN4P+Q0INJjf7O
XlFviGkdQVJPU3VSRVuuOmIRmZ8heKReGHeZizuND7zHGyXqZ69y8l1pkhg0+whGXEJEVCTFHGKf
u7AdC/uWqo3hz2EZrCmh95F0QoKaaeYn7vx2JTFpM79J3vD66o1PI/eCXX5YTT2X92BS92MmYvkw
Ouw/Ji+s7rOyzEOsiqlecTdQXTB22oRJv9VF6GyoRrotMpgfgObEs2UwnK62PeXH8UbYKROkroNV
3enGxN9+68nXebIZeGi3eltmpzxFKWpNXdcKococKwKtcXvo1nIee+XCFRax8DYBVk6QzPSM373X
38deJ9Y2mrgdpmnnatyl2uU6mK8E6o7MRxw+tZkVl68lVm+1mUEL7ETFexbnIIZFV4+fhkL8DH2s
fQLGHJ5N1kawniyyBOb8W0HPgXLe7dslDN+KdkYoV6GF6Zhz+N2Sb7RfUKGRe/qK9Ce+pry6Ye2L
yWytRJNerdJcXofGkg+u4ZYbUtdNecoME3v8+Na+dzUE3cSi+Fly1lSVX39FpoB6jFxDHYTfeTsW
g9GW/cGDGZuv3p5PEUEoa2HpjcPGfdchw6smtz1EqmNGxH2WKlyqdu3gcwBksXbS4P8o8b6Z7f6T
Nt7GQo5x/ear8AJO4H/Txi9i8LgkpbXHqvpMi8oOt3Cf2fB9Wp6Vr+ymGJmrSHUXdmMoCQ1y9S6a
ZrpB1SGgWQnpd/aWPLkGo75JZmJafQ1jtpx+2MTIF9qJ5YgU9OCRbqpco+a1M3bw4oddk3aKQqk/
OaUT0QpkX0rNDZgZu3qYGRYfgSUrlqHleIrtPj05CobCui+YciNNc4/11LnBGmbWsF0MVOlEF/lm
Ciaqr3iuHsZQx58kvNSfy2RNO2rs+g9CvfHqy0VdS9mhqdS3Meygw/dGdMkRO27ysFTZ9MQvw11n
xuydjUJ6YomBkxZsydawiNhrhkiYd9EgO5FejkiGEEywbUqYhzrymbo8n1bayH7Nt63Xbl6kuwIW
8b5jyL/DV2y2gMfHgYN4JNK4T7q3wfFtUufi9o0Y23ijiPH9C7BastUqivOIFpxRrp+fCSam2RtZ
qr0JZPL3uIrFs9tr58bvYZ5oIqv5YQ08vwWiCd78sKkfoGR2D7Sg0wk4gH0gWyO9S5TVHZgRHCtQ
4sP0D/uDyD0V3WZ04WgTAq+1fpxvFfWk65FtOdSQfepNNT+RkRHeorpncHgMQBxDmGtjOziL3OQF
yG0TrxPagSHX7nowvkZejqjok4JbX4zrDHemG4iWSvv5TC5TcFdFBdSgoMzuQp+NNLL7yGVCni/I
Z+gz14TGoXildL7vhUYcEzJt2c+2ZGVVBdDBPRdFF2o98A+meBhhrV0CUP+MpmoCh6XbnmYoQI/p
7VFiFMWdHR4FLVfHpHNx0ueS4FylywoFy8K+hfI3R0oA9z0khJzntb89uDLgEU5uD7Mr7fSxMkL8
RS1Yf023B74EXddouK7elA3EZJU+xOXb6TD+c1J4t0ODwCX50N0OErYITrpiXGO2w5BawxoNRXxd
bsfPfDuIOsebT7VuOHiwmS1ESkwR/IyFY81u1NMUquZsGCt++jqg6y7DkADqDjrVP6djfjsow9uR
aZcoh5GKcZAqWWT4N4A8EpnwzzlsxS12hlgsA1oDW4Uvi9X496zwSQmZb4c7ufAu22hEMWTaWGgB
xXSjAt8ui7HLIU/8c43UrYz+6JYBBjOIcWCZ62Qt4QoVQaftUKlDkxR6n5A7kiHOu91rxur5wS6i
ZyYDIWpnVyrsVgYT+WP4z9W53G5RwXVqbvcqhhhu2CLQOXun0CericvXooZK4lStgyodamLMo2ib
iHE+V6XdbtDKzsfEB/o/1KymWu5/kiWqG0hsdBiDRam3Ab/HImtu0EaQZlxcfKfPjy5C/UsuK+dX
2gTedej96KlebFq0rk/7nZN28Q9Rcc7DTG7911SO00PWL9mrGPPhOSEwnTAzawyPg8R1D81ezJuK
SHIClWMdrYgqdq+BcMdDJ1TBhJcv5dxwgo4ZgOM/VKDkTi1r4uswTnG2anXY/Zm76d0K2nYDzvcW
3u5a/o68UHsfkRT9EkpeeE7pfETyyYwlRUvwIuOoX1Zt7yNVLTzxQLiSe0T66z1XeRM8oFD311AG
+XxUWfMCgoFBYGN15REeaD5sKmSVpLtMYLuk3YLkjoE4XYK2lttg0vGB6sr6M8dm/ELo0fIeG1a0
VGXS3WltfGsVBJJxqLR5GxdUovsi5x1fl3OQsYxoyVTvInGK1cQwNp/nUw4kC20AMdkIrRmhZlJY
HyBIHwzrpRdUqdUajV25z+okO6VstGfetCh4RLpYfOZukGxIkvDJ4Oyq4Y/0J/nZjkzPrNArcZEU
yZ4/8sdirkuImuNvB/ykZ6eNb14eYjK3jbKyR6HQuNdueZvl+ZRCK+h03kPGy0iKvF77AWFbTcsW
Lzc/lnOj/Q0N6QScia4AMEkoWJQNClOBY703feExcO3Hi++ygZJ2OG41M0a+ODSs31LGlIgNFbIU
AHkdhfCqjINTbHl/Kx3/QVDoIt6uSrqEpKmPIZ4VnnZNZVqTZvGUVu5CpK9PdZkU1ls+Z7AzmurN
RtH47il7PExj2f7Svp//SnqrI8xHuXAggDlNA0bv2HpzgxKYBGPV4Oh7zQVf4X0eh+CG+xml+jwD
bom4K3is0r7ZWtOM7YAFW4CxtvXaYwTTDy534Z/IrXcPZmjzrd35ywcCjZZVBwOYWQvGrmmQfDld
BiSWyDKNGv5W25p6plqcR7NGCIJSMk32safELrCRImVdlZ3bxZHLGdNh8xSIyXkhqK/Hd43J+2cq
Wmomt+ijuxppGNxH6ebPdavBXxqNuiGvimoX5l67hz3iUx+2eBbgNgdIwTCA8LdO2e8SLt0qCdvu
5GRYhvKo57VPZXLUY5Sfa1sT3soLXTBMiRKppFTEo/TpoUa8u9Vx2e/bxMx0Dy7Rkug9jzOqjX3m
8+/PVhm+V0mVZtvELPEFEeKy81u32bn2GH6mKrP3zkQYDGLl4oZLWnhqu8XCKVGnOfGATX/My/6D
XIKLCa2/9ZANW8ao9u9hEuF9rHDIhO1Lz6AKaDpJcU+O7JZqrwHqfOeu4TFIo7dqAJwisCdtUPTa
GzTmeh9Zql8BMZ/31higXpxL622QqLwYo3IUq27qOJKmgThGp31swwTwO1cJn2+IiMMLPbp5CdqR
VWxhRePaDv07q0iJ6Gp4zQ9l3TiXnL51JRKQQq4nncdRAynbECIWgXsMY/GMCdR9cO1a/8WFkfS3
vUk7I82RJg3uBdTXQ5cVlEWivlRRDuhZIX3oWRkiGc/3QTYqThGHQnvuxabyv3GOlzkyjHrQLM3K
eq1jVngtDg5GyuZKQXgenOnqW+N7VHw25gkD39rxBvxLtZP/zX15LYoKtQV+8sfQT9QHny8ur2AZ
7jU5Secyrdt3a5q0XGUlrThyENFBrQ7HD5hJ+jWoYveDsbL/C+geOzOr9469sPITN0F6F5TosqIU
u9SYlNW2Fnh5wJQfhy7PiDzMkNjMY/qY5W3wRLjg8umjBFhhTqqOnQGSYnLkgWFd+OUhijrfcJ+G
8/vIkbfG+Wy77BCc9CA9nxCBbFFbz87ZRQuEyzik4SOIxuyXMvQY8jX5wWt8urmUSnYpWcdNEFkO
1JCIsLwGlfgK73ry4JfoJzx1W+2Xo7ctHDslnIDKb8KVue7iUR0iML3kp5Ups7ZsQWt/U1HwPTgb
JSuznfCTvKtp8SXbKvzhdVY9yZpDlJWgIGP1duFGQar2tl28lmJpT4XHmqFIWgqyGygfjSmNL8u5
l7ir+60ZW1wgnBnswZey3foZmqf1UAodwEgveAKL2uLANggG1gGpeIwYnWY9xBVfMQ2kYi3/g7zz
2o0c6brsq3xXc8cCXTDI+YEBJn0qUy7ldUPIlILe+6efxWozVeruqunLwQ80qtGtkpLKJCNOnLP3
2siv78cMaZoGsfqtICd3F8SsEFjn61XdOCOPSpjuMtPkmrOsWhhuHGExz1nN+r7sUQGI1QhW42Aa
vn9OZtasW3oVdCeiWN+rnO8IfKADfrww4wFmZR48NqlrLwNJ4FkipvGMNheWrso7cThdmh5qzthM
MQc5mp+eB7FJfmvfSeZf2kTSnQg4JjHoIisgTg4EeEneAp8U5yo33qeWrFBp1tlH4PfDAlN4uHcJ
g8Iy6COwtfwmP8uyKMYSmsdPmJ1o5Zax6Z9srfPOMwrtK84qzcEORbvXR4f2Cl4j6z7S7G7ZqLB4
Sh0LjWqR5IdIm91lsogADunuTrfCZGt3VQm0FTxXHUIHG7KlPkRMb03bI4NIRsaWJ8y6aziuXQHe
CtBgyGodpjQAAk9fGLpirjybnkxxNtS70eX9bDMPQWa7xNbonsys87ZRL6N7R0/sfRknyVGGtcso
ThN7v4+ulOX07eK/ffNWR+7jzDlR/9y//d9Vm/1zA/fPH/BbD9eTX/h5dIRdrPTwc2Y+z289XM/+
QhuB3qllGEgz7Jku8nsP13S/mMRBQMwAt4Pic4YO/wH1cb44YFEJHgBZ6uD2Nv8N1Icu7Y/NDFeH
v4cEwrYtRqCAIj41M1h/CjyDcICrMFTRjjlUfClr0TYry29xSQxDm0Q4QzIMM+z+AfpQl7PtKpeB
uYdwHa0dw6yY42WIlQ2drOtFN4T8WVt1+ERLyaOsdcnCXmtoxc+mHPJEJipTX8/OEHWRC5GGO80e
iycn0bE65kbIcgKXT0HEVWmNxozf4L7ugaMZDYvDwi06pGq9SWCda78W04gF2wcmSvIK21qyykwc
Bcup9/prz2ijcDcw4J6W5qCPJp7HqNri90CooXVEJl9ZZtmhiCwK9JejMNQ57lT7GmIjxtoY/wBi
p6gv8G3hEAoBAab6RxDq+bQuFaa6lW1r9ikLfBv3oJ+qx9JOTNKhXH98sxytuSqixJ+zE7N26aKl
aCm57e4liGr88q5IIVQXTvhkE8K8q3wGsWRa6jpNBKda9anp7A2Ds5qVQZ/EUZSZzsLC5n/bOOb4
SBCEy8F5MhFAm3oe7kx3VlFYUxXDjx6jFOl1zfx6JgOc98OkHaw0kdtyssPpwgrT1rgxqfhw09hj
qTa2V1jeQ9fgyxhLBIPrxNNZXqZMmbNlx9BoVyWqqcJ9WddCv0To0OPULSer9jYRicbubR2MQEfp
O1Orcf56NDG8r2smzrxZwb5tgowIm6Jf82PsA6wYdsZ49k0bw5BBmJBBZ1yCAVL4HiQ6sKiPypXh
oz63W304NaH+QQ9lXGcxraseYtke5z/64AIKQYUgk9Rt5uroNqYL5ukBXfRQ0GGzMZLHxkgOoBgE
AiqnR47ntfIGRPq+LzSjwCnoeyhP2nRtR/4NkER1YSXdg1lYMEod8ky4P4jmE+9Gms5NtH0/qGyr
JXqKusMzl3Ma6doCxX2uTCs7c7htTim6zL0zIMSOLCQkSVm6YOxTg4CD4qx1iA1Smr10XJsRuu+e
M+upz107RxvfpeUxCZATm7odvNtdnWxdBqYPYSOQUFqx2LV4InA+5SNBuEG7QPWqLmO3kGsrafMT
stT8gkQUknZiMa0nsjLmaDjdv1PJcBM3KIbGJlb7saXPVEqJNROA1SL0cho9A6AiO49ec6QmNyWd
DNCHCkCRMv2N4yf22s7QW5GMZiw6Hyiw0bTnJUkvHPsCmMnRKNrbBH9rV1RkVOkTMl6SouFgBs2l
HyRIzqaxgTpINptAK5kLc9uV1VKN3QnDDEgQqd1kWfG1bcOrmKQkWsQETSdN0yyzqJb4pnjKlMtZ
KeAreBXj7JFFtmAxsm7tjvt/THENp/57YgRbg13yCmae/pUCkjs9n0tV2S4MZj8LSF7YUOLhQ2bN
oSUKZVn2Gp98wVaupfGkgceZJxC0HZUvKoofOBZWCEYUP1d9jAIUglmdJhAJ0Nz0EglmMorpUeO6
N1HkTxBW7XJrWVF/7lKw6EtX629ICr1xGj86AxghaVon2Bd7JjWuPVA9WkN2XTFmXRsSEQOhLtPF
1GDZWY3pIHYB7CJkC1rXrpzItPSlbWeK4rTUuoXum+M9zQg0dJbfX3heXKD7kug3AiHemrL6KEoL
fU7rljT3fGsTGL23Bs8bLp24S68EuKCFamrzbKDV+poXGYJ5KLT88r3IqH/Qe2Ehc3fcCayEDaFc
azGW7kPvmeq9iLs+/K28eBv+p/qaX/1G0PmeMPwXMDajRRcnDYWrYcNQcD6RW7QIs0Y/5nLP8c/s
l1mD2c+1cnVRoJXul6IbxnHJHNRYFCCtNvFIH6mnI/3L0MPPo05QONKB8A+icwb9g8b5kYdTtX45
pNg99mPl4GWpm1foiP10XXS2V1+6bmY4V7FOYvI6mdL+1KGpqlAQRA2E3g43DF3g+34wBQvsaFZq
g9KThdcKRFq+OKi27ZVda+KhJIj1Cq5ydj45VvLoIvHmfp5Xckpd41UCBUFN4gblA8+NthmaxrpB
4aK9VQGyNnyC6k7qViuJu1fhY4P1DyB+Z597esjd5HaYmisFUiAMhusydyJ3xRbuMQvQ4wPp09UK
24t1ZHNUl31ecSSAWH+SMh0xng7WeZso8BCZgGUzJI+mlevXdO/P8N24S3Pe7eS87yGYYwvshsZh
jyXyJ1izV4sTTU/2S/Vt75TC1D8QuHAfmXYp36XruFf0casTCl/jwbH0sqQARz5OTi3+q6ERrblS
yg2ZACbDnRdYQbhMkjn8zKhorhHbUljheshKkA9hF49vIqv0tat37mWENYsYvSYHijKktKGwMZmk
CfBwzMuQ8wLFOllg2Hb3mm/ewchs98VQKXogvPExGvkFDpGcwQ0hDs+cxhCQuUNQnaOaEufkLPOf
eL5p2A5NsHanIb2J8hFtDU2RNyuNnBs3QDgWBD3t3CIVW7Os2NzmrXQZ4L18TYoOav8QcWiPgsx5
9dDRXZiWInKVw95TiVVzXLIImGQAelijb5Anx0/CTIoXPGl6u8rGxhoeSIbjTRJ5Ii6aCarOtrcd
iigqsOKx8gsne9cCTnvrAJLGR2Mhq7z6rgz+m+cVqOTnahIKkYfGU3BwsQ3IaT8+Jm3mRJ0VDO0+
RKJwji9BHfOeIWxdWfEe75O7L90q7YEw5T5zvfzSTXL/GAxzY1BzekJQG1WyDOMOW7mMepHcpnF/
qrwSuofNBvuIEIn+iUKOfGP3JH0DfrHZPBj4O3K4JGsCtEBPbyrtje5ouCli/doa/DeiP1AJhYWz
5yAdk7InBmpBJzpDK3FTWAFpFv4VoDbyeX1GsywiG05dNzzj1gVBsedlyGbnaDZjMRnqyB5Z6JE8
gk5zdkFYCmLXncboKRb1XVfI5MpxIv3Kyg3iHHJbqFvSB7Kt6iJvrYYW129u5cw/9TGuL1hcStT5
cF5qBRVnJShKwDfaTK7XYkjis6nUMZi3BsOAZUpX+V22NeRuuJWXGEyaKxMz6/2ken+VWxEqMTEl
K4+A0pRxhvSfAsrRp0GMKd2eNK82fsPAJCSpOaZdakuK3ajZRHJUu8wVPHJ4zhx+v4pcq1k48M7U
2EMu1er+ts2dLFwNyOvnrA9yJph8dd4O5bF/jdo2eE0N2yd6Q9HL8zPtNJD4tfU0kFtDyDQtiYBj
m3poXLAnTdyVbn+RRN5wQG2qPXsZzQp+HFgAzc1OcUiXngKhKO/00ecJUJa76PomKOcjQLBxQJaQ
iyi6zYiO/KkzjfAW6aAJuIj8CyJY9WCJb5Olaeij66luYAiQaXAg1JBYBSmbdU6RCniSDHsZGNFd
ptdkosV4fMIFCaP2WWjpNMTTxvGPpOTpWzSJOs+1F1nHIs1vsGcVAMwRXzjfdqKJnI5rR6vUeQ+C
Bck72mV6IqSmuldZ7DNdKubTh/HtIGI0cz/X/3ZA0eezSkU5MOvh5iOMj4MJY144RvHaycxX49tx
x+PgY347AtWWsDYwiOV98u2IlNFfx4sd9nOKN6s3IgsnLp5QtCbhDlqmoS4wRmM3nPexd7vtMdhZ
g+kCqZmPadHMNF5gw+XPzALfcx72bbWvkinCRSmMfWmWDb760p4V0d6EALjB3xHtItdhbDJOLZrt
2SBysFrLD3c4xCgGhrkuiIXxCN4JhlSjbmMvfAyr+QEBYjIOMqQfPxHi1HlyUxh5O191vREc0Q9D
wNmi1nKxQ05Xv/x8ofpEhCMfyKCwYJGyQTzM1qYflymcBW3M4ELuPUV+uHdZxtWx6K7/fXPkHxnG
1EBvOXq7UAXN/7rNYeal/z9I2+AMU4P9c2vk7CVN2//8j5e0+K//HF7qIA2rH9Rtv33/7+o254uk
/QDKkPE5NdX/xR1L6wutDUCh0kZiZjoCCdsf6jb7y/w9tk4XneAAysI/OyOW+YWOiGmgikPh7VAz
/qvOiPzxJtEId5Y225n4VHRmJjhZ4IXTFhMo6l4NMcsi0EG4oTzoLkgOd/K1h5geLofWBxMOAcLE
da0sD+PQcSRVqtyMgRQXTjYEK53bfIU6fiAOMIcX1fgqXRaaMvIN56KOJ51ucu9D1yjzZtynJjOl
hHP0A6EL9VYy6l7XFAA7QvHKS4Os2wdV+ejqELpvOdejqIcSdPCUB51+6hllzNOZNAuI0JsnNgj4
whd3nuLI0JQhwU3zcKee5zzuPPEhXDXddGMHgKyYB0L9PBvKv42JpGu4R+yqqPuDeY7EwZyREgIf
85YQZkA9YxmOh7LswsMI0QKaHyEXPnC/7ciQiqy1icMtQtuFlpG6lbMRsO+bhY2JjxkXvshuNc1z
L2gyFHh1Nj1pcRetUSFYO2OelMUyGHFXcno91IrA6aX322ytTYHbGE4qzrPKbheBmbQQInr/ICJZ
vNrxxF5cFyDOFTah6Nskb57p5VEWP6CWKB5U6LU7fZ79SQaLuNcEUJxwnhFCCQJKUzRh9dZarX9m
tYZjbhmmkTLnBbXY92A4crB+oXaraakczidbojuc2gTCnjFNu4QYmHnyoVUHMnqLF60IY0GRi+1F
oxhZh3qiz4hCfkpYBIVatham9hqh0y5D6LHGNGyspsQZVzjMoDDS6Ikpd1rzhKIr/Sh7PoWVWVnF
Pex7muEu1Z26q62eKjTtTEzWk1NL1BV6yl5gxy5RoHQY915aBlfCZEBlFJUf8HHjxOVtq/JxWbbB
eOUrAjNrVEhrmx9pXlVc4ksbDS1SJa3RqTFLjFFSawamMn2+ATqamJRnabUPbG3cEEPgf4yFwzVB
EBEJEzgM70vi+PJg7eM7OUmn9l88HdsvZ3rCWcVAmvKUhoJSwhs9xnklgGQ/JAlRl3l1LVyUPiEy
mMXkFUa4aSfo/qY5hafQTtSHpcfmdYyrTa4Evzd5s4znvEUi3eTgOFVpnSE2dL/m4cBR0RtE4t+B
w0NMpeJMNZsGVSgTTRsPcek4kIXoUbrVjrk9w8XYLO9N3NYbOwuNg2PxfAR1jTSlgPNspzbplpqA
pnje1C7ySgzPDFGaCO6OF7rI33Okueja/Ml6lYaC5OgFsFA5OgX9ee3FrbWqAfB/7TRjuoEI6E1L
KHCacyA5WdJ+MTjUV82EGrxO0AkAsEITapsKyw3J5MOr3wI6Wxat0USrHFrOTYW85R7sNkGQOjQT
Y40qbDwHulV+UEr0lxDnp9tQhUm/bbpZfs475m1T19XDhV6SSrwIzZCI6jJvS4g+8be4Zfi9JDTT
OEOzbtVMIOIJKMeOTOluXEsTqSyQ3+rYWk56neUS81SSu+oZ53Z96nCvwG0JkVFudEvz3qYC3U/j
l82j4oCFUEPq43Tn9ZF+QmsWIzoaJ074iJEIhGMGRwgrqap+KfR9XVvuh55DcF2mUykPsCatuyk1
h0PZhyy4gwFprGmnUDsqVrF4Y/t+5KA2KBpjm0DLu0Ab5N6MlVEeW9xwWGQLt+LvdsBLjJbZI7Sq
1rhLrap/HlLVD2tDH8WVknWOAqXr5XU6WOCTqslZJdbUH7tKsy+cMpCIlyLDP1MkwOCDUf2e0jHc
qGCy9o3WKbUQRtNspBYlJyHrdB2GPp/kVATVV+QXYXBhym56oXNlIDulwjQXepwLGobDcAxAD3Gy
8Tlq6K59nNy0ezJxkEMx0GnLsv5tIQbl8+rgEhce+n68pHmRoaC1iovJxYDGg1OaXy3CpC4Q3A3r
uB4RmunuRNuvdes3f3IJgJ4yc9NxRj6b3Kn9mqKZ2eRG3d1UigVsgbsj5rCs3DOFIOrFDBGeMssz
1aXCAkjPnKD4TUnuzlJVjoWr3wbCVReyPdAWMA5diljTI58Pb1QUbkc7x7M9h8vvQaDGx7z0h6sI
egfoF2bAtUNzSqmmvPP7rFqmLEQkkkC1iIe8PvWiQsNKNOttHXndVdD1KCnSkZWekf/B1ZwLVNXZ
vu40m22kRlEsI0cePVbk139f2/191fZDYfeP5d9sj/iz/qt/i7SgJzZbBX74j/WsVRiv26/VePpa
t0nzh15//pv/r1/8PYbidiyIoXh5T0O0+KAFwrfmh9oMF8FPx17Hl7gOXt77r1+Lv/m+32s6+4tB
23EOb7DAvCOS/WPaJU28DLBBddsVrkV+IF/5vaYzjC/k7nnQ4SVDMI/k1D9rOuZgNNxMvuKRCWEj
3/xXNd2P7QnC9ZgUGVLOEz7C9pi8/Vj3CwiSQcUwZeX06ZmX1iRquslRpdVzw1x2QTm4QjT3DT+z
9V01y3j1e7TZ+jGvu0e4nU9tUV3AF5mdBkR2NmVzhZGM6bRjhKu81UDsFGQ1ViJ5bFykLboXP/Yi
X3ndeGZ50IoyIv5QdmNI7H9FIf+RAf3tl3MJLxQ640JJFfzpl4uIrWjoS9urIY1Whmg3sf+RVcUV
A8bldzX93/R5Pr8S1bch5qwig39sCvgf30alVQZQodRegZ/FSZ9hotSO5JKtjEKtfv5S1ufcAMd2
4HazFTuW4F+fcwNGhzOtxuK0ypzuTfqlRCiePUAoQfPqGXu/Aw6QOGAWEb4UK9lBHdcdG5Ip0Xdb
nwJ5hxpia4fyib91m2XpuSZI1ROielRaf8gdSWIRhufCwb+Rv1ZDCnPZoqynlXgcbYJHEFwC5LP0
M4TQ9d5C1LhsunhY2zo5qoE/vjjd9FSW4bNVynSRxLr4xdttzJ/c93x5fnlmS7owySlxBGCRH99v
H5N+N7KJrnKXQCRkIQYZ98siaMiCQgmWPxapwyaCrTVATYU1b2F36XuiBV9//mF8e6EfL4QBMeBv
8rNtk3CsTxcyBsOgUiUCxjEsrkZJWxKF1aOr6mo1GMkbx+qDTSYSbolD1U63uRivOz+SW0ZheOM8
89pqq5tZfjeIcmsr+TJF6jkdiQlMxOkXFzu35L+/WMkYn0UILSjJanh0P92lWeQiF2uGYK3rE4IM
FB7AaZgQ6Tel5pxT49/Wbb4HSAwjek5S0u+1YKgWrY3bh4MbHKlVZ0wLiTAD1yp+XgePRlHZi59f
518+Xa7TE7RKmcHb+J3lp3AzoUrphJR9+ACTm8KNyk2fpj3q6uGyF+2h9mv8QBFzb9tpaOdX03NX
TjdjWq1bKtKfX8xnfv2na/k85kA0aySJZGLtw7obyGePGfPpzJxs19zOBfDPX+7bmvTpM/IIHdVt
kPmuND9bKaTlwwDCoLKygAYDASkAyzOFaNOeu8K+MVRC5u2Y5kRXawFEeRleOQFpEXrwLEd0TAzZ
6rXqUygAXvYIjmSpGEanUX1LSz8+YP9IqMK9ARV6eO2ltMqbyKOanY5uU9s7rLHDojBAN1SduRjN
HGiYag8EmSAFzATTYJtJbKlho6bMoZNe17vG1cd1LjhoCZBHC4Y51rqxpl+00n9cYmk8cFM4Jl0M
9qq5DfLpphgtPanzhg+CI/J6stUmKi4GxjVx+os4IfOvj4mkCcamSN+E/fdzu2POHTUzn2faiuSB
ycnXjHEtn3cBlsyz2hVW9odo6G9s+GBNO56s0XzyXYQLXe0/08BdZqJ+V3JaZHq8w+N82zTV+ZAn
21/cKn+9NX+8TuqH73OFoJ0zgi5KpB6TcxyNflPHkgjrKH302aAXeGa7FdLKEClkAAtjyACvFCOi
1PJRTXS+837SLhymbOthKK0dxWh3XtUV0dgQmwB5uf5WlY59NjlVfN/2Nuersrno5ia9XbQ1QsJu
WGj0L7jVeGFH7ziiT2OCu8024UKOzULDlLzGyQhD284fhiZ68YMCC2PRj8+Mxe9NivLVROXwQYxV
shx8RS++LdUhA0u6iYPk/ufv2V9vIqodwZgAjzN/ivmj/y4pKm48yg2LUCglfJxYMYtgtwwtCVbN
3Pz8pYy/ey1qDklXFUeq+JZa9d1rDRFakdrKvVVnTtYZZNwHtD8WbOtR3eMZArbMRM/JxvNafSiJ
CC63ENGZHhts3+TVasK8zIciqivD+1Vmyo+dvPlhkpYleGrxyfI0fS77kqgzUoFzbEbqkta5kUI7
TOXdL96Bz5XK7LfVPRYxJsXkc33rJ373DlRmrFoCB9U6woPiDnLYjSRxrHyBKTQM8hXq9lOviuIF
wMld1I/XoiY4kIDGJUfnFh0NcKmyCrO1rAemQSI4JgSxLypf2r8oKP7uStGVsClyW9AB/LS4NJHl
Jyhh/JXr5KwqIR3ACJt5gENN6Qh4nEBu4FseXIwfP3+T5vnfD+u9JIOVrp+D5IzW6ufFBkNJM+W4
0ldIOu/9XrLEcMoDKmllJkPzlozp8hcv+Zd8N8lrokGDau+xw1pivju++1y8lBB7ouAxPpb+NjU1
rLJhMZwVtqSbElLap+0bWJq7MrBfCPJ5MSf4x772ygkKyqqW5xfukH1E9NCMHK5YdPvzt8T+ywLs
mhTTHgWuxJtN5f7j9Q1aaSBKbshhddtVyHzIF/7Gj3hcph4IWhVP+JW5iZAPIL8OztrJea5zsqsZ
Sz1VWGsWaJ5PZt99RAG40kHfqA5ijhaHV70Tbwvky9DuUE8X+ZvDfruW4JZIbvX2OV+eCnCkUQwf
mfCP1Ti05YaUrK9jqt+2o/1kEKgCeHrTVbRVFO7lzqriX3xC8sdjGc8nfSKOLcgjZ5WF97m+zUI0
764RSJJo5a2ZimvaEjuZdRBriyHBTNNU61oE58WgkqXh839AbS6qManXjapPTdWf7IpwaV3DFBkC
2xvMig1eIhVM9UeJQWaVgrOCWkbXp2Yi7I0s3mWvNlUPWx375lEqu1/RQnnBOQWqX7k3neU9GWZ4
bihrFSeYhSJ2AxjAq17HfDS103swN65bs7yo2nDVcaGGnl4myXAcougYJ7R9cQq8dE2z0iy4jVFG
861xzokm2QJam9aDByvTyJyJLiOd34Fw+1zTjTnKFFE1lL+R7LxNYNd0Nh1twZeQRBdvfaUu8+RR
Tt46bH5R4f9lk0VVSsIiQ3ywd4xmPq0MrZP5mSwt6jGgHNNOyF2X70pcT8Dxvt32/525D/RPeD//
eTh2/vIejC//+Tvqw2/f+lsPxTW/0CLh2Gvopi50xix/9lDsLzpgB8pll/MCKos/Wyim84V+nuGx
jMzoAjkfyf8QDBtf2JHQyLLosgnSevk3LRR6L5/vESzPjsPYg1WLwtSah3Pfr6ehgVtiIqR8M/vM
7ZVeKWR2dRVcalpEt0Q0xoOLNhZrAhOCY0jcgXHmZrB+3D7Ed2Sb4WVV4g/ihDPa72yR3u2UNR7e
glyZztHP8DfdKzYJxI1a7t5zgDQXZmGaq0Gz9EWtJ6fStoY7KeiUNkHbXRaZfj9FM0S6yPrbUBTp
rZqy7L0V0rqs9DTamXbhnjnTFJB/lbZXaTwQem5JgXeaVIGUsKoApVVjjqBF8dMCwWuy6UALqQd9
07rjtUc6yrhge0jyM7MqT9mAMu/UeUzSEJRM6U1BV7UjqLfqblIjT72zye7JIEHeNyt37VlhDQ+p
KxdW5xfvmua2zM3LzAe5muqqObZD5nlnnW8S2jhicKyuxzEu3m2knOFWeZB+gH0r7x3m8fA6GRhd
dyaymHTdSCteqqjXnE3oeWBRNQebxKVwZTZzpkX30czgz4shSMtnhFnGbe6YKTJk37027RFrdhTt
A8eytLOC/F99myeu88rk2u72lsMIe1H6VQk4MHB0ZqBDQfesA8dpRArloG/YMQEHo34L0jt8ahNb
vbfkML0Nei0vOK+Ncl27EOv8AAH3UqRFf6B4ItOazcRlcFKlW94VQiEaQapsUpcg28qwYO3pmBcq
omKOqC7T+Hni5jhFEdD0RaNn+pmGz4P5VYKxZVIEHhX+CAkESXnIYITRF6bvYNVaBGEKG4T9luVX
nmlFpI52Fr/BBNfmFk+MXTzNaacjfr/BYa9wzEzxQk/4vVswrstIm4xgqewhfwEB6S/qsLU+VJK6
D9AYuMlR7cbWc1BI4nGKBJ1sO7xabOjQuTttFw0Qj7wMM5AeTU2wamDVH5wmPc3NcOYbVXAUYhTX
cwPjqaqS8Fz1YQ3vapyCbdlI961CBI4GWdeSR8j4LdNUU+A3d0I1KApHsp8XrQ5G/xuRxF3qZBEV
Z3VmaVvpMuxajImqj73fhasoy05YCvV1mBuoUu2oARlsebeJbXdPlQ1XUS867nd6oiJYdl0dE72b
+6610wGavog0aIOHVs8R3oVDgHklg7kNsIIpeL/XmVRj4G8n2Ch5qofZ3jBdRldMm4PHug8H6gtD
Nfkmt2Q3HEty56F3xLNTSHeZtG0Yq0MeC7TeuKxRkkikr5XzZE0SQzB4fATaWz9t7Qfbwvh4Iew6
qDahCIN2wxSRkCJU0kzc6N5aYtOPAzOuCDQw5iI9IxNjAQk9G0hmA+N4jjMcY7RRRjqEOY+/dQrc
ngnUKOkXPjTcXS4q5IS911caAJCwhyWzzMY5pgvsbL5rgrC51aNE7PFpqPImrvMR/B+Us+hr343F
scMUy4NNUzFDHGMk96DwwFwhq44JTmk8xDe+XxWQokpN53QmkUUb+pThmoBGmmDaNvxulU7JR+XB
g8Jb1Ks1o/u43nNnMlIvGOYvDK+yr6suzC4ycvDeHW3IzB3dWi88A8xXvYJBq7RFGsTlyg/E0C1C
vsQiMZh3GeqJu9JOJ7j+sWFvkthWO6ETmLYMkJEvpQiZA06GJ0wOMGjAUEVNeD9YICVstqgtc1C9
0BmNsGBAFQdoGzhzx3Rlo6zqn7ouc8+7WGQPuYxGmKyiHy/a3ozPsspisFdR2KG+MolmR0vW7xyj
6c87r/SuGAwnTCCjAE+B5gzXUFLHpR1wPCBUhRFq3wjGYkxw871fklGzKNDs7Y1yDA8Npg30CVV5
C7XAekC21W+Myhoxk3jOvg17xEspW2S6HjQdO7biDG5p5hCtFbF+0xrXSLvVx9Y7FnmjLfEeWvEC
mzASAzsryN/K2xedydxzyHn2vibkaO/gK9vAWvBP7Jahuy0NWd+inB9eyya03zH59Lc9gkf4jNkN
cNoKG3MpvXoddPlN1NoEvIOPLM5KqDf61jWk2mHtt1Zp3THdw5EWLoXdgHeHnR0GGzfppmqBNuxJ
4XEsV22d1YfYGd0PD1kqMRQcJmmU6LsIlfwzul1klLnQzX6nwzZYJ13igtZM8l1K/AH8h6i/EBBm
8ll7YkSbkfhBFldlfC1yhqmtH1nB0sxwtB/H1IJpXFdTflcmfSIXKGnZu7KuIFLWbrtDHAeK4GDp
2lgudOKpiNyxr7t2tM6jMvYuM2bq2AYc942tuTrCeaifok4QwEOicnFWDLE6pMCTuRYGzidhDdUp
DUElLRq0E5dcS/OM1Vu/j42arGCiGaeTKUm9CVF0NCvfkRvSHr86rpncwZVDt+anYXPBp5c9oQSc
6Dg3QCqqRmxzKHkrSOvvII6nqwAeyAWVC3x7L0sfRwOub4liES5ubmPEM1pyMry843mTzN8NPXSu
daR02Etab7xmfjwVN9ArNLIp8urZNDJuMGUzjl74eZm6KwyIMAgRyjWvTtnZzzXixesB+7q1R3cS
P+a9UupytJuEhzGys1cySZo3vAaw4mqsS9pZXftjxLuK8JCDWydvPHuscQWJRJ4VbqMFC1/QH12M
gdDA1CnY0gtdk7JbVXmIE98s+WLsN+LajvB5Ei7AysyHa9wPWp01ADUg75JfJFKMwCSNLQoxMKqd
+uZD5B5nyRhL11a3gvZDAD7dA3IojjiU5Blc6uI6zvNuWtQS19BKJF10l+Az3wZlWh/CgNAn3fGx
6ldY2UnBDJOHiB4zCZxOzWYz8uZApcfSECy6gC/OzmRvV0VpHW2K0ZpeSsJKbfQMRFKFo+a/NfUg
7XVdd7AVlGuTkW0ORC9dGQCDSFGL8MubfHtGtxgG0CKVdYa+z51OFKakoYXAuAAnuKpgXpdM3KyY
r7emF+XP6DJSnjcr6zeDNuEW8WNQUY0oizl0yFEwxavsJR6FOKAw8F8sVGJrEL8t+S02+GuVl4ag
nSziveSS1szHJzLgwMs8NK4q3yY9J3jEypGGhYHgdOuhpj0F+Tgcq7rIbnMPOMyiqoifzN2wC5kT
hvU+g1BmrU1b5Ves+uMKqBdRTRQ7eUEmi6/ufCOZ1x1yeO0aITB4Dw8cauVTNK1GRE9Qt4exfHbD
iK3G1bzpsiK45/+wd2a7sWNnln4VP0DzgOMmedNARTDmQSFFaLwhpKMjzjM3p6fvj5l2+mSmXW4D
VUA3UHdpI1MRCjH2/oe1vkVyI07q97YtrJWNHa1g2Z4kd0aks+Gw+wzLTjiyCJwVxMOprTUJRwjC
wWMwte4NhVDioNJ1pzOgdXVLmnxOzqE9mC+qa3XhFR+ge6nMGRXKAeN8ttSWLWZChLzrhpv5kpND
tw9RfxMakLXO1iDPr10i+SKoK+Az26oR3C6rbcFQWVpt3wMex27j5L1+ZdlaeqUIJBELbXRlIu1c
4MJRt4VW1dyn+K67tepiN6ckUdCZsLAT46LuAnHthBvdEUYiKPKcZLyzjCr5ngWD8VCVHNRbgb2E
2HWFYBerI3qFE4+s3LQB1D868Q97xI1AKWQ9uoNbaOtGVcSDKnuBVT62oyXGBOw0lc6QhImwuw/J
iHpNEHlcMrVWPgqIKlcVnHJ00Js2O6Cksb9cVDjlEfYRtMapsbJPwxzap6kfxm06pd3BLq0k8ky0
x4w47C7O1yKsx9GLck6hbVVlYjtWsfIogjHtVmlTNhu1tdpDhnd6aY+RiqDeKo2VNkpSFXMdKqua
ZD3pLGk3Pk+OjxA6jJmV2+iobciV0bCG91seGRnbiUdqcL3q8yA6DEGj7gDfvgwqqVp+UETeFI0M
rXK9evML4iS4miAHhYazIzmYk8cMzPuoR2ltjTpqmGhEFKRyeC0MJXzSE81ZmLWOI4N8nYXeuF+o
iLaNMOrdgAp/VTltujbZym0cAEUbPxr9H75SNnemXnD+jQA6FvVAdwiRa1NkAJJ6SgTT04dOIOst
issAKn5XxWWz1kYl32oNeIMqsOX3Hhfcva2M7C/8jtIoxe9/my1Oa+H0zbZP3eCNcqZZFm74EOUc
zY3kjY4TAOS+Akxid4UPWgpyVkm8G9EosjlKPeCmhoDm9VH/ne6hZWSIG33BTZysurxvP5MqV/tV
3KfOjuQw5y1GfAUTtRLtvucBIe5wrIk8wNtuFkm8d0F3vU9O9UmAArUVnKH5OqUbK8Mc+NZY1/tR
0SfEMwEzvRB7HZ+xoZ7ciCwCNKhzfgXWsDrodNClg7hvMxWSaTUMyBOrpD2qaBB3I0m5QKutWr2z
Jot9uhKLo1H4Nx77e2EGh26QT+iezAuDVGfhWOm01JKEVGgcZDhNm27pJgGLNRI4wlOotETOxKMk
vc8YwmdQyy7ckoy4QDevHoXaDu9RmQwXMekI7VXRxqdxEvZW6L25K3xWuRt1aEyOt3iYXtmS3SVl
U98l2cwfaNqtZI5HBSjRpampId+oOv0lyAfrBXlThyG4OWVhWh2aNM68SlNTsgQzI/jQXV/9QN01
EEA4FOtRjs6JQm86dIXbnMGvyWsW8tpkzlkem0e5rtIAxg2gPWuXITg7oxbob5DyO29skpZ8XSb0
r5XvWPtW07tVngHea0eDTExC8tapaw8Hy/X7qx/A21edVl1D4eF2Q7y8NhRNPDt55SYLeFBB53WY
lMlwnpwLM0S7WmVdBc+mkFq2wntsAQ1JZA73SrfBRvUE/i3Ba0GBahWjfGsziicvxA77xfq2taEc
DQCNNT3P6UxaJtott8lnrSsAxhKSaLbxFOVvQ1AznpCGTnY7KrUyuGRxqT75UVdQfifZBWS2/qaH
irjT41QDVq5gUE3MFOdmyd9hJ+lu1gI8Gxs48OxPSTX02KUc0IvXsmzyfEt0qbMqA9GWKyetppcu
LC0APVW3G2Cy0S8AjL5oTFjFdh6QvAeWQlZOQuoQKoaBRD7DbLnDiN1Qrlozqou278wl90t5DVO7
fddhgi2URsu2uhW91XERHoymaUn1kwGqkJ45C31dqnnCL6xbZY/tFq2xoZ+CYdQYreY1QWh6o0/2
BkajoWBtU4DKOH2WO09xFenqpuTWNIimTOeSEaQvro+IJBw+iNaV0wIJ99QsYmK1vkp1kGcHEMmz
OmRQykOsmJJ/zY5fIvjAeyY4OdyjuDIwvjHb3it2bGS33m+na95qHWC3AUDNoQiHZPCmcEQy2CvE
JTGV2LSG/YqMN3NX7Cm1jcFwDg76FBG5gyxoOtF01nhouLHWfY/zOQmAp9CaKbfSIZ5LEVOznL0r
CNmL7o2vXFSfOfKFeahkFt9hLTW/p7F0npnMIHznPqKSLq1NnqTl2XJLkK51EPBlcgPjCNdUW2tu
mH4SDqIQOwWsDGlhWCeQPSZjYLbjZuTHaDUDg4VR6qDyRImXxKsjmHZsHJq5LZQB84i0ahAyD2Vr
epzrsmfsj+V0aTQF0m+081a2iEycj4smDjHj+WqGRLyhE4vBt41OuulsSOp1YrWEldSlfCGadi6V
2ZJw55CVdksYB1pLn4nlXU77wv+bAUpZhhkPJl5oNxFkn2Tme6A0UF1kGAzLpB/RUypcUSP7wnJh
htmw791SfCTw0p6Bfjsv5GzkSGTrULkUTmqMy8Y0nWbZG82IbKGlhI2IrtlRiZPINpVJuiSrvKG9
g/SJgCduS1TQIZpZsxrLTS6kOKdzQjFNFzLMdWtLtM2RY30XzD8UNtVoGoSZJuTQU/O8xI0Cn1MT
JOrFlTAuGUuWLZ5IvHRxa6QPOVkKW7wF2KvDmt4DiErQpvxJcLRrsRboi6bK+JJkIM+g22MNqza+
niFcZSfrZyXimNqXK5lp8SbB0k4kXuoPr52Ywd3+6DRPcrSJHRJycPmtbTGBCkpaNlLEajJA6xKq
ZJmG2s2xnbBbma0jqBOSwDiIpgMNHlhd/K43cmJuEQ2KtgYWryro2M223rs2S+Q4l3POACZKtA/B
YFvooNUheGFl1GwyeAh7BiJ2tM4dI98wrU0/8yrTTzl68hgtFiL+RdbYpF5HMmifKhfAV9WrXbKQ
oy/4Ndk0iWWigC7mEZMaBjkeFZDv/pQvgDBhMJRd4N7wudDNDzrHzyi0+MMf+5Y5iK5X+pFzAvto
oGolDyipBdrOGUhd2mB37QwU3Z2cWOsN9vfakvVjKvSQZiwCRrZIdEZ6i6i1CW8JcT4u6AWUZJWQ
doRhAlpR8I5Hyj6wzppReG7snNFOzXh5zk8O7DjArJdx/k9ekpuB6ll5O9lzHAIDG7CAlYqmqCvP
rL0HYh7HZHgVfoymxK7kK9+kWj/WKsrcACC9PJaq3lnUyzbrn1nv/elrURyuB12yHJ7NfNWSa4lz
Zcgxtz0SFIxYwi0mNMuyrYiU5Jo0cXG6/cbEfLZS9DnsoivV8Tjm0ILmLlIJ5rBHktaJ0kjnDOJo
utdhspUbh8qopmVyG69CySiBLZk+1ArsN8u6jSFIqLHaL/okY/yVqC5SKE5VwoqdbICQ36vyOGJT
r5Yzlm4iCJ1U7SVeM4ZJjS04B6bQdc7NBGZwkXKz0YIJlnl+HBc05xDzBET+QFCe9gHDorHgDQfK
0Pgnst9ZyKaZ9tUlivNQs8Jl8hgLGBtK0Q4EXsSs6a0whVuspGVNzBfHZrAQbaXcB7QazpMeTSM0
TEDvQDxa7IuYU5U1bb0ZfeHgH98wOdfWKkaE/5AOsB74jK3KAwERPSQEJmzZoIbdejarPJWRLA/T
2AVPcRZSSedOGV/SKn0pFcNfFZFtJzsY0kzcZ25jULWd78nBz99Z6CifRVSOtxiXi+Jh6mHXb3Ps
joeUqxAHhJNmBOWRgr6F7cksm7CW7xRz9YcaO9njRM4sKexl36xo1sK9orFsAig9/0bt7G40hNA5
VFPzh6ZUCHT80VgPDBQOjHRMRO2WvDQwWKSnZDN2ZLL7aYsaN3hoq758AA/HNyBOUNKGeqBfa2Ji
WfBMgNQSR9eGQ1jJcj0xXwnWU293xB6RzcdYpmxYofqmNKKtw+Mb8zXqDOaWgLviM8OGZCQESuum
Yzmrj7fNgEttzzTTIRgl0bVdO4bXsCIUlUni+K76kDwUE460itKSULm0/85CpqITqPQXarIBL2MS
h+IKJ5KhRQF3YxHVIrjVeNNu1KLBtFTd0FaWKqsohbKtqp6FrRZfrk7lzOaFOcDSadTshw5pJFk6
Rgy0RgwM+ysZVctJHxDckXOaUlHWItv8t2xe/6l2/Wfp+v/+/4jLb7sqbinUF/98Q7sp3n+Wtv/2
X/wmbtddhAqaBgYC+u0M3f8rjt8AyoSNlM2VqaJ/+gnlpFnfHHTLKLCg+NsGe7TfNrMaXkYWBL8x
/J1/azP7RwHW/MZUZO1oSNkEG3+UUup23wFm6Gku2Z0usP/znWDFgyUkpB6AGrr/6ZP5ByLwWTbz
s5Tn19fjBSEQqnwef5AKpIHRJBCbetSJTbxAovhFhcOUsmdf85+/EgaCP7+WhWnXhbttWDb4q9+v
nKVAdAbRvV/pEKbI4bBI8oYopO1iXS9PiR90JzZP8YbJT+4FVe1+sqftLk0+JLvMNak08Lpre6BR
fB+T2bBJdRrUz4Qg2z0UKYFZUwTaXqp68zECZPWXjWb7xIUMDsxTFjGDDa29+EEAwBy9mmg3Qnfb
bm3YUaUdWrNWL1GKOWfZRMSqtrFt/mhFWLD67PHj4wSQX3JAjx0IVFdJjvKo8NPpwokCI6NlG7ap
OtBNwIC7+1hAaqpUV+225KJQ62FI560Q3uI/Y9hirqyTpWojvE9tggudEUQVOeL2ppyMugCPGXNT
S7cPsOEwXSnYc3f1VxYr9d5uxM4OeB60TuorIueP+ShuCNyT0ktQhe2ngHY40sG9DEN6HEK9JQha
7ZYQ7l6UDK6do+r3sTnlm9yyj2yisJu7cJmZnVVLw1Xq4xgy21UlWCZfxU+aapg2WUk7lKxE+640
ZUj2hLW9YMFkOAv838NGWhB7iyFw6OwzFE7Y/kDgwzAh9VUbmB0pLmPWfNwkgX7PBHlBluvDWHVE
LNozo34INw4ySC/N3J1ead0yKQ1envXGQtWCL5Yo7sKSMf8Q0guqLPDY+bvLLrXzRRE2qidMXlwX
GeWSo973EjOWJJ4K72LwHujJKcspknURfPSkwyy0hi2KmSubqFfvi6TGZ8onmhih6/lmeGWREkD3
0z8t6R+1xN5VBemH2NA2aklXxBaqXMLFuveJ3mJVqn3GIlsboE6WmWw3hhp/qbqgCPTrF4v/QbDy
GYDQF9b5Y9YG+6BMtGXS+WSnhdUVy9VGsZqFM3aH0E9oEZVjiLlqVSJxAlLiELZaQZcIjjCoenai
JAreVS0DaKV4yTtydXuGjQujTw+qO/wQsoy9ZCCVNMn449WMENhjkwnftaCCuGBBVTn5TIpiyi5N
56xDBz3D2/kI/eZ5YEO/svS+4cNImIL6ys03guMY2+pyMkzC5ZTGX+o2UsjEp8QRwSHwk2Ijav2F
io5fwGfx6vNyaR99+Bah0VA7FinCuWVrE4c7JyBlKi8tel3ZoY9mwdFYuAbj8D7MRhDqRY9oJGUK
xq4Yv2KlT7dWYQrsN/atV/lNczs7djl/B1MtP9ygKFb/c7n+4kH7V+4xLh8b9e9PJ/ufcm+898/6
/S/v+edfzu/Be/2X7Xv3I41+vnC1337KX29c45tukGSNbdGezV/zvfrXG1f/9qv1CJHOr2qov2uh
1G+ofV2I3DiGrF8cQ3+TQqnf1FnfpnJJI3RTjX+LEPDHC9ea0Yw2NzuCK7bq6h/U1TGX64CQ1l9B
cseIQO60Ga41smySwfy1ZKOS+icgrD9prlRLIMlD48XVjlT0D68VZEpZlFbjryzGR0w7HkYo8Qjg
13lhrTF5vma4jtr+2TUIeJrugMqqy9B4AdeE2HU4DGm5BiOy/emv9w8qgF803b8rAeZ3ZegzSoN/
+IWa+bMSzC+jwhVZ5a/KcFyR07NLxQwk0O21BmRqwulmKxlTSrEmUmIWxHijb86LA0C7DLj18v4/
f0P6L5/5H94RahFHswxoXQje/1AoZKFdKq4a+KtmkuEGNNAuyC3zAVidfzeEIXh9S0nv0OlwcQ1i
2kfFPFqcLNLvEpIdoFi+kYxi3futlsIycfyDaUa70s7XJXcdKuX+zR6+pzSOyDoXoshPAllF0tM6
oR8hdBV4xBwGtjLQkOmhi56DqLBi8qrQYvNinVScbG7JatPMCQMAzJXItQyjvVAeer14mPzM0wNg
YAxrLGdc4Zv1eunirdD3gQC/UxXHRugkTOVoxV8g3e0IVl9O3YeSH+DasdrsjT0U7lQ3t4n71Mnu
uZNM6mt41XBn7Z3ZoruWOy6MZdoVG+ADiA1SVjDB/QTwxo7PKah7FuZLxxpXme3vrbD1Ek5v10+P
o9Vf0WHsDcNeD42xFRA6lzJr11VMrN+c8MR4mqsS2AFJOdKsT10o1o3xNdi958DKTaH4coxj9S8W
DQhox91DN5uJzTsttRiog+Yj34Ax1TK2im3NBDNIGz4eXsZlZ1n1D0VtwfWEq6MYW9kK6AD9nPI6
QGWoPa0ipehOx7uXT6BKI2fZc4Woqovem29m56xwjCyV6JpQBij1eSzttXDD9y72Mft8YJt/a5rv
OQnCAXCcBDZM4yOJGi9RnW8daovMIQSOxOnAb+SZXWd5jVr/LUBqcQKiaXq2TO5QmfUP+jQULbFH
cqG3PrqWzCy+B0aFOY/pZsaMqwTzO+TpD+TV4b0+BcW7a0TIyAxr/tJQ8UWaH+7s3rzamtQfUfV1
Oyio8pVCv2Bm7wabvrdRvlGFB08kZeK/Z9y8AJgJjJHlmokCwZLZlTWnXGtQIby2nhSD9J2B4VwJ
quGdIJ90i9GJWLkBTeYpJIH1aEjjzqpZ/dRTZz+0elat/+eS/L+5JLHKc2cg3NVxyOjcTrPS/Z93
o//4vvzLf3CBeu/Ze/7LVepF8ucb9B++xN8v09lEzW1l/SIr1n+7TNVvDK0wmM43OLRFGtG/ebN1
9RumsFkFbKi87dmA/ZuwmNsU7Cw/j19n/pH/VvuqGX9sKC0IyaaOwFkTpm7Z6JR/pyuufHCvgcDu
5vePzN9O7k1bB+vQWFLxR2Sdx8vIWqvNg/HIzJ3Izil+bCr0bNkz8Yho9+HGsxhis/3msqBLwm2I
SU0qa9sBRMqg3W+yXeiQFUE4YxlQv0bPsn/TyQpg5yqItb0adIe9Pt4ZaAtnOazzVQ/LdOuLW6ef
g88wR/BkYXRmY9efCnbpvvgiGWOZ1PoiVPi+kg0Rsxl3Ve3cZblHL0ww7rjJBAtjSDjLwYzXloIg
Jq7XMdLWJRIUhLkETEx4o/oP1c0fm1a9z6op9KLAZjtgjOUKYdPShJ6R3gnwcEykAf6Tqb0wyEFI
w4rDfdHb+kWL42uQTjvDqNcz6lgxs32i4oAU2dEYNPKVy/KukUgTqgCPpaKsZkRdquEZLuMYV2Tx
w5JQPPLKfFVjhXpGX2GvXhUu5gW/X5tNsh7NkXEsWUbwidOkOUFDvbTCOLM8+p7Y4jKg91v2I1ua
UtOfhmh8nAn2OjurwDQpkzAhLkKBT1p0/NQgjC5BBlm6wlm5MJ3oXM28/+FfeBy1P3ls5++dSolm
a3gc7T9VKkmnNkNU0EcOU/ZYt0qxNM3mMnQQVfu5Z1EJzbLFvk3yTVreWdmwwYx+gEcvvVFlyIwe
j8Qc392JKN0mCkGBsl/XceITU2BcAGysh8G6GqguqQSZYBvRocoPqjQ3yCAO2rgGaLfKRxSfDLwR
Om8du1/Vmntu+RMC4P4ya+vBSl6ZduMIJGqGXNggBr2L9rjmiq56JgZxc3Rcbteh8IJa2ZaTeqmt
et0Z5mVU3SOL+tMwsmQfsg0JP7e49KHzis3k7k3tTbBAjie5r8R0VgsYB0qBBN+2B9TbPJUJHh/M
k0cnP9lVuiGHB3ur85G1aFBSdRsQW893iaImkdNxoikHKfg+lta6QLSa8QNRIUcAuLVxz3HxTCzA
Oc5vel2foFpv0Qnc8uFtiq3hUOrjnLqs2SzO2c4oYfqixMaKiOiNiHlEenbj2hwRa9SfbHrocwFE
ByMgPYcFrue2hjxUPRo1Mb39dLr+g3pWny2kP1eP81OC/9pQsVdQEphzFf6TU+zv2aeiSH4Einz2
+fj8Wnur6pAai/WtXT+wrTgTJ3CH530X98M5iiCEJ021biv7iM0s9uKmJIzCvQt1EIBR+9A4LjkG
bXKJcX6CwfkXT7c5jxB/974FJzfPNwc4F4ym/tG13ZQIBTqNCqayaxCiOuSjhDdMBhSIwTlMkZ1p
GjqblnORhecWEBUTMU2+U6kPZb6pwpTBiIIYrq76aVnaNs9soGNljbYQxekhRHoeo+7Kwbox0uES
xfIKN/txMnBW1fpnYA3XDKGWbzhoQMO6XfgRspdatMVqwIYPREf/UmUo4Qu3ytHI+paHsaS3L/uH
sOsuvSMPpfDZy4qcIsSP1wwc3yp70hZG0t2Elt7BWYS1ZpVfOfkIK8sob32rfKG3SpdOJL6Ekl4b
Eb9kU7SpIWZDEfwqU+LXkMm7Oe8gqHY1y93JcTGNWE8o3DaGg3zFrj/6UNmNICqLrF81Gqs8ROms
FxhYPef4d/so3Jr+QMBje1KV6IJLAPWDqnsxWg5FQ2QeSvmMtPSxUnXOcfNlSqrHIBruILZOXgdR
bFJazK0VQ0t1a1X51QqR5LJKh4z23VfLK+iOvdQNj+UgpGwLuLNzCXJ1x7LlgmTE01MHWwkxLjIT
nlTdlauB3g4sUEPqmj/9EXL2qkdmKoboOR2qbUeAUmuXS2s8qcWxBUXdjNa6dZlEQanWmpd4uvoC
KUjkeKE8uCVLo9x/puoDzDjnG8cEHVd5xl4OinVPLFhttF9JGC7B+l6kanpVHb9WGUW2Oycm63r6
y5CnWsTCbp/jzL4vAqPGEl15CMLZPpbdha3Z9yoFzqHoX5GT7XzFfTYRyvtK8QmsbV1Ktq4FQFhW
TvwXXXFpq2SrT9aaXJFr1osHVEYHUx97b6I+riaLGJIUnabSem4hERb2nh+QMJomL7i6tygEtkhy
QHqSqLLw2+zRCPOXoLGOQ208pS3wI0u8WFN1G5i9rXiqd5Vvf026cfBlKFZ9I8mZIth8HIS9kC2a
uxpj08oypyNm30Ulirusorywa/XdbKZ0Bcj7oUCpmlQhc1vZviBQwpWCv3sZ0UTUZvvIPnDf2Vht
DTVaKcku0a0nBvqQ8TUCTML4hr75ReryoA7DR0YkPPy81NMIjVL6wRtU9ZLhZ4Q4RmIRm8satLrp
PgipnILkdQJLUJA05Prhuemie4N0GXS9T2Zcfk3oZEY+sWFwr8NoPOtVRJDjtAOL9YDdtUtQkU8q
kiAUDfqw1qT7PaZnijLYxYFlPfjuj8zmynBXpnKunXOpnS3jLpcPcRddaoWEO6NcCAMbrw4KzXnE
T7pMqDqKCXI7Y+6uHDw9/pFE4ybvHVhUL7Z76y3EloNJSOoXAndP019lcLWDbCOcWVV7T2jEAhnL
QyF1HhflBC5swL67CKejiv7cHlkDc0dFwtwRP2mZ2SphSOnGYI/FndZ/p0EjV8B4aaWzECPf60R/
cdxLNvRLO71XA7a8nJXPla8nSxkh+4o++qZZZ/JriJHElu7HYBjpGr7uh1KKbVQH2yTSPjuIuTSk
ITt8LO8jNqKF5faeTgBy6xbOLg6xdhId0zAczp7QLQcrxAPmJ4mD2sJRHDi9trNGw36w6vwWBsgu
p1i7uYnyWozjc5FMt2mILxNKriUg/QiZksEso01YCaYOFnGRS4+Qye+FnDbOZG+Zci4EKgVUZpRT
QThcFROZYK3Ct1XNmR/y3jLRlVq9E72vLSWpEpOwP7Ku27t9+MMZ5c3NCTmoYn0bxyO+gYbShEgL
gAs28QG6gn2+a2/wzyjtshWF+rEoja9EpVPXNkEr9iZLU62oTwn6KMqnU1hZ5xFHnWNUuodyMVjX
Jh4ts7cUr6/cyGstFI+N6barNEH2+7/CyddTW1KmlZZ7SQgoX1CB3SI1e6mnIF9kRQjtrPEfjFDb
89nAGGbMvdCxfkHcQxZn4x1E+e7wIpm4/lc1rf8vwrxUmky2jT8VQH8ax85D2JRp7M/tIwPYv/53
v/aMrvUNWYA7Gz1tHPRMU//WM7oGU9bZU8+2Dtv2PEv9rWcU39hkm5hRxa/rUOqsv01grW9zoo3r
COa6Fj/S/nfMqKz/fl/5gOUHeQUbns2g45CFw5v4XcXmNLpKmGjG9W2QC2K/g5ZwGfvU2Tk0R/+I
/MryciV7LMoEwFMilU2F0+N9MC37RIadRn6fsyHUj/BGrlrYxzw6ufMYmJnrEVBqD7SJyLpH6qk+
Mbv7rka30+sG6SylpOIIEwVNXV1vndDEz9Kw2hGnEZkJKllI6zapZQgw7iVLUZFnxkplr7MwYv9x
CH1nXcOLwH5uHWGPinc7QsnfJe6qKXSybxwXSR+yU+a6lGtpigWkI5BQKk6/7hucCXrsrCfTwSxO
cInh4Xcg5UOzPUl34BUQpSEabPkLfjKRXfRldiTxZTU2+kOUWYeihj2qy2gpC/3L0qJhr4Q+ceM1
VokNoZ3XiM/2rsAciXJNKTcIkR4HTC+keh+lxYfptqVxjEd+5chIzmbebuYsLbSs1QmhR8OmsMg2
0dB+p+AnV+6pYbq1aKrUXaPjoCMJKSmV9klYo5dWcpWScFFlyCw0J//C8kN4sIjXDAu8wRGLfIxv
lRvswpLMtNruA68r0QebaKeVKd4qo7xXdKtbBU0zPMposnaGna1KqQ9elBSrsWTZiHgp2Gao+6+o
Kh5Co2PFNNqcJ2ZK94YqOiYrHj8Aa0Pix4hm9jkO8SnGG6clWS4lrmenu9N4M7LiwUgwNwAUMCVQ
kXC8qqk/hQt0p+WmVeLgbhAnN7MeWedB/4hFfkEdpWBD6E6Bat6F8eAliXgO0hH8Ocr7VrIziHvw
BHWzU6aAaUTw3Ad9fRiiFZd2xJ+qOdMJfiX5lVSE0uvoY/DnkwA3ZmO8ImfCHDrKVhRhFQGEaB2R
5JZ6dYauSVsCxWZk3ek4zhoTym5o1Ec/e9LTEv5RmOHCA+QZ1PGuUhX6hVJ91CNuHabEyL1w2DTr
PEQvmSFc2lRYNmAEvZu+EhGu634BcD8ZycRKLdtDaLsYrbPscsikif5QT6H22tXqbPMoopUpXefq
inydA1Dm5yKtXBpZrdwRuW5dtH4iqscltiU3ED2WhOod2jqJ2iXFq0DkRCyx4TfjITZrh9klEmhX
5sFBwRi/y7Vaoqn38RcZATYYRzbRMdRDdUd8cL0d7Tq4NaidWN22YNwKdXyFvY/tqeqLC/7nDplm
nr4lo29f54QkCLpJgmSV5FNMHO6hdCNBY9r361bTgh22r4HscTO7YUEZbk6ZyX2sltljxqh9XXVw
oXA5uvU7TZeNCj3szmbvWifXMssjc+ge51hunC2NnrxVa+1Vi1O5soNiWA9sVQ5E6iS7OnStuwkF
7Q+2tMxom2ysP0uQzf2iIEngRAJBdIpLtz9aftoeUjJuNZD3nXpxnEF96I2uYjKja8csKcJHnKju
CQlkfeRRsY+G0qtHptItHkoct4zxS3ujYQ88s4kKaFgBU8ZpqOb/Ym30qxTl7322g8Td1U0abQ5u
YUFknPvZn/rsBD10YTRTsHOCIIWojQdsFzddc66MPPekrw5eqdEzjLomPQ1FptdDjiEKgTLKbOWj
6BpljdwWIr0dz1E0cAg9i2QRjDEIUUMzCl4RpMH2iorAuohcjQ9ou88oOpB8Ve50KQUBeqbvpKcx
QA3Mk/Ro+QNhQCyVEIh12bLTGgv5tnWra/SaUvbZnZAB+b49o4hb2bOB3rjE30zIC6eK/j7nBy/0
PnTLpbBLatwp9CV6EOwlGzULwhgNg1m8Khp5ph6z9oIEeC1/NMjNem0IUUGTANxUdx6krWzyqM2X
oyG8Mh+JHmttkJ5qCqUuy4+KEZjbMdMYBErjoRzaY1jWV7+2nWVZqO2iGyyirKKB5C6kbMjpEtw2
RA3YfTwutTA7NJPZHfy6ICCQr38U0RiSH7Xu84j0Ulmz9YFstqh6EXwPO6vf511vrpUgVtieo5Qp
CCXgjEH3Dz07fign2pFSBtlZosqbQ9B4lCabp2piZnHsy1koIpldReg4TtJSw8dQDfRjEInqzLxE
fSg0oV7CBFLR0o269sDfejjmxKKderV1T5pgXoBkMmw+7SDv6BVsI/yRpUW+HGp/WNfzN2WcvzPO
/O3Bp4Bkef5GpQB19qE/GOdEyYf7soqqo6nm3M9hA8i956rMRd28V2M2T7dcs1kn8zfYnb/LWFiH
m28n+Y14yeFkadw+ZWf0awpXSAvziYBBUhxKfDrLrsrn56ByrlAX0rdoPk2m+VyZ5hPGnM8apLnN
jizSEvUtJxFs33rrKqW6SxwtOuZ4ZDpa6zp7rnEh7+IELUvZ9sSpthIzPnyc9zjVxwNu63Kvklxz
CUEJtEuXf/tAASK+Q6cKN0Ms2jU7HHHh31buYIuJpVaMJuBhFIhLLC8Sm79fo+toJpcKBb4fv7bj
omlfMJSPe9JN/CEGYwrgYgn7ph7/D3tnttu2lmbhVynURd/R4OZMNKqA1izZ8pzxhlBsh/M88+n7
I23n2ImTOn3sAoJC6y6xTVEUufc/rP9bmxjpe3OamAF4AT3XI4SbNka06ER1e8MEEFZWyVC62Qe6
CAUdQD3MKip8alhtUpehuxNqAySVaelDDq4rq6mxKUt6MNu5j9hDBtOuzSzPI+mw+1EcHA/6wH6N
Qwj0Dc1gjpFJznRt5ZV6pkqNsrfcTr/oJIS4ka2WyyLQxGU5FHqI+Z0Ty+vc8HBBB1OK24gTpDYa
zMz5ojZGThfSxicHQ+DBk1C2R0RADXXRaG6ybH4cosiH9uglgrWlDwIGl0iPxQnFD+UyxAIjz5L8
AuI7/oJB0C7lss/AhiSbEv0aFirVu6o5MQZIPq4j7wEeZXvNp+0M3smZE6Oi/C7oZcgmkjTh4BGU
2S5+55R5ZqpmtjO5CT5nod2u+qC9EYmKTrRQMZ7rlXNHztvTtOIZNcrii29+gUto73rFQWlj9goN
abYBNc21GXqbtemlF3RuLoMUuGIXWefCaR06IqaBfA5jpDrXAGkbnbFhBDOe+z41Q0u6ZMSIPc8X
6onE/r+Uh+wGDqE0fkf0APpMnRVee852/m4Qmf9V11pvi3yfMcuIXBa7LjrhbVq9F5bcLwKm8r8y
JMk9WAPmVudlUTHCGNk+urW3Ss6eqVX/4zStD/kaheqftxH3h8TP6uKFNI8/e0jztLHLJ8sq0/kK
1igjnPleZ2OjsyH9Q1Oqa4hf0dH9kebpR4ZNWsgKAfMZsQ254WOapx5Z6liQllHiIBEhEX0EVz/U
4WFe/1T9olijlvSPgMG0ZASeo4BWt2kzCuBIzwMGhnqTTJJDexMUmA4zcIwI1KetUeHdnVWu4s51
t0MlHiRrrYmAgHpD9y4umRgDvfKhcO18L+WMgLtO3B2boNIuy0a7EAmwuRC8y0y0Gu6ZXSqvdLaC
fOYVzntNseJ9FaIzK3B+0moq1DS8LqUkHLUHHV7GEjEvAywYsjURDHN4szMmDmn1lQYwSIJXdk3S
0WGR6aCHmYixQD5WzPi2fbZnzQIyq+e9PI+9dKTHO8GasUhzIyXYxm7sEk9q8jrvo59ld3gRJubC
rcZRns4PPgNG+ILtHjB+TaPRwtgC9MjwuIWvtyhVrVwkWv9VlpJ4odVJftrprTErsTO7DBhoRHSi
b8BcRLNpzLvwdWKFohVsYz7EV8//2LCPzJhOIpmYzDvKkoZLq6tbWRTB+wB6WDyTocgVCpt9yS3C
tDMUpUu5DW5bvdRwTnOcuepBaINr0pIMlvLnWACmZoouadaQVl1WNc29akB2VGorXTU19bgmMqQ1
dAEnWWToTi/01kRcr7mtFxHNiEbG7G08ptKyh7GUhmj8pgjVH4NVZzQgqaCa4BmJgoMOJ8M2myjz
XIl+DEhiBu6qAOMKBXWi1pWYUw+Bg4rXY76PIdCy/lApmKtsyxzn+rVNx2OHVjKnuWsP2Ko3es/O
QS2kceb0eCKNKpMm3xi52r1nDixhFsUuTaT7Zj6CkeO4wllP6u3zyiTZm8W4JxVzYZt04tp2sKHT
icD/WJVGsR+Yc8+WIg2ovLvCIUN0k1gsqlbCs3IEQ/gZTRXTTpozeJ+luOhDqtdzmwkwNlDNjMxl
qwkCXrsgcL4MCtPxNsyq1/mOO0xlpJdQe1gQoiinktQmX9PMj4/NonbdZcWoTLZmbyz5znvf3FVl
SCjbigJppdHaF2VDpE4jmZ29dZjZCpeVXMVoZaFxwTQkJldPLVn7GJXmeRdgWhL5skLkW2y8iiSZ
seJ9lJHT4nh22Yxpd6Zd1Ymx7IXWn/pjGhujsW3r/CRwnYUaphC19gYCGeJNDC0y5ikqQBZzTWn1
RRX38daVQ/WcQWfpjtsZKjbiMnIepfLBhHfWhSzn2SptOxqTuryyYwUweFF/VYeLGMloyRjqQojs
YywpwUUpy9vM8HwwHQUtKw/YJlMZBsmrdKvBEL6ymW6k6lGeW3iylD0TN3mLN2CjW+5mqhPUqncd
q423DgHSshGq7iY3XWzKjRj+V8+MuojTct5jQroMq1Q6aBoS1txcdwnOKAM2cJTGAb8kloyoK1UX
psaIN1UlNV04Ikn3sh8Yn+3evVKi2F/4FuaKLbOoPDL0bTXEyEKl9lnXjnkzaAPhkOiXwurKE0UJ
0PY61hblgrNtdPOKpW/vBvjMq3mv7Gj+rCosDvsgYs6+V4x1bhfrOLPqNUqQW+TlJSq5/s4NHTQR
bTpvBs1ABmBdS0Mj7trKCr/Ug/v1ye70sPw/df1URtuBJ8v9mB+i3oMxh0LTtEzT/E4JkmQdDqe+
oLnmgqD2YjqQsJcSsXC7TD/zUoOnRBroBS71HA0CXC7/Iw4c1Bi6pkGQFxutxzpZGTx1Ror4KlCy
evTdCwtGNBGFEcaIEOTAaBT5Pi0ScYNpMM+zoFOFpVwW0eeg9FYYADRqxB1dVjS7UADAWnsuBm/0
THQWiyRzjokSm2alT6uJNK0s+bTK0A2KjjumeaUtjSNTIVBGpuYVRULeJmvSCkPY4LIKJEpQUS6b
2yLPWabGpEtxwGArlbvKPKM+iZxyBfcGuzcfYhj2fieYArfHupwcK0HIsDMjbMtAQZIWKra3iGPX
ZnzUNmZ4Sl4OY5oYsJydQHbU1zmoZ7wIKp2kwC8XceesybiVHY6h1Z2w0uQd4Xq6zFUv4l5lODRZ
l6Gou3XQACeZG9Ae1iWFLn9hyAGqExtpLvlNJoLwyu/p8h8DoohBkTEDDnEKpqVt0JLIaQ7hIJi8
98bcG2kblQzScT8tgmMmPrVzVCcDlC/HTT6xKJTziM7vSk/bdGGmA/Kf2MiDsyarrVu30uulnwQX
RZQqOwPQ2CJ140DsqQWGp6REhJbVfZhZ0Qo+iUGPHnukCmdgeWCiNZ4GmKGR1kKKKmBTCqp003Vv
sPPiae38vIbUzOrVWI1yhnpOvvCp0WJKLr5okSM2gAli6rM6vRUlLs4jag0zHwvjKE77NZnCjt0O
l6RaashGc2thdEW+JHUt5giDfRKSWV71J1mlf/TcoVty5T5EqNAxamIwJHVtJJ9MytLSENexXaXI
LboNCMCAfS5b2516y5xpuzJy6SZXAxjtCYPgGAHsVBMTJfrAkSKOy9j54EAttaAjgR76gghk5qb2
qdxgY9TXtb7qhvo29jpxGubqXaq59j6s4foJUy5WVidZm1RUB90qy503ah5LI/Rue9wOd41hlRdx
qvTbstSHWZDRNY/j0Fo3TXlDsIjIVVdvG40qL507Y05jzFrEwvexBZA+DV7srsHxilOwB/sAG425
GjKIkiRSv8DTIl2pFaKVHKzVrMHrhepbjbkpmC6bLzvUWuqcFqXPyFilWVnth0wUi37o+7WpgSuP
O4YGcbHaR0L4WyVWqJWI3iD4EOBAOlNcACQrz3XAQThr+lupgt/nUmOgA53gRQimX2lpdDG/yKw/
Vou1yL6Gjcu4H55vK5BOKVpZXYHYCOxB8UH7BWoYrPO2Y+QjqpUek02zoRHX9coHs6+rbNYUEGjh
1DF7XGl4fiV+EHz1HF9hqshxPeotbgWhUOnKbC2Ng+fLNC/iY2fco4txtw6njTubNnFj2tBVM3KZ
dJw2+mba9PEgIwDIXIdgoJsCA20KEowxXqA49EBxfmt2639qtkV28ots6871aKv1hxfyLf7wId9S
jkxWEVpgYrTLYTzwMd+ybMYFdYPNz7YmLSY/ebDJgfHKwMEIc8cNGXdim1TsMd/Sj2RYsaCTydNI
lGC2fpdf/TLfUr8bNyDfAjGr6oz1QQm3zdGQ52mBtnYYjtWpFWwKuwAMqOQhTmCWOnSwHWjT33Yh
DCGqB122RYlfX2mit9yl0YpgWLm2o77LAXVuk8owCN8wFycS8zHoA1tSdfk6ljz13Rgp7522lc9i
rEurc1VHIzA3O9uqZ2C8A3tTprBz1uBq8uxEllKst0uoXrru8pDALKKar5ts+Q0LOcGPkK5tAQjB
qs36Y6ZBc8MAxF4KOQph4FiXMvvIolFlOtJs/HaY5Qg0yqZAkJJnaA7BUeACobnuiRyUdkUlWAwn
ukeYv2g1KsCYM1lrbYhiFFFFfJYrvrJxdKuD3jiom97vSSC13IYa2KM4iqPeuGg96JpWalvrVoTt
PrMiGyxO3Mww2ZSXahFnNO5s0kfPIIVkHOJ9k1ptfemkXWbO8jK9FFQIUbBnPhyQlJEWmZDO8d1d
m7TNRc46CDgASp17kvtV0GJZ1DQqBZiI6BPUTge6m5wgW7iSCtISFhi5jitgicyixpbExSDwfD9D
0mIkF0KTKfEMMrDXTcisoEOvzRLDtpYrTJKdprVHBaIjmmXNOOawIuCFSBopuX5hxUWlrMRAcwk5
qqKFNKuUENLZUDb1ygH1sDYr2buV08zFwi2L7XVS1OK97rR2sXBl0EVoG7/adndcY/VzriSWcpIW
fUbhWpY2ErMVHxnh72ae7Jy3HURX6njQEqoupvFUtIuYEcIL6tzU/+UonqWRQ9yb63K7LrWkvFXj
xtykiuT5a7+B67aIUvSeoZFZ11Q8R381MyW2BxdoXUVC6sGl0v7RMCwefbSiqyqk04DeHkBgmhDm
u2q6k01ya6m03aXsWzuK5qOJuhiuHfwCV02e6jv8nyGtIKMdMV1nLqKcMC3Lq16D6egJozzDA9RZ
tWHrxpjw0tzRoqKHaJt6qGNzXK/dNaaW0QlddMKIgI5zH0fxSZET6KD+1fxr7tb6OKUzDxZMSamn
9rYfbHsX/cUsdeoF7V7kS5lbb92mDc9s4p5PFd8tOVzqgL5B5dO7DOxCZZsNQFwXtDoQWcQmul0/
vsj7dJ22+EHmtjy8hwHq3+rgg5YAEBBj1S7upF4dcN2DHuWmm38ygTJsIwJzzHX6u7SusxhtqxIv
LcoeqGYZ7DQKUwohFbTGVZuCN6cfEZqfs74S5VJm4n0LdgBb+64DKqaALDMkpYbDltcrOQdOMtgm
NAisHOcxqMpVhOvEHCZNtIlsaQcVxmCFibu9ocv1R0cuW6A9bnTu2mq+K7MAZ7zes8/GIYyD1jZO
Nf//IuSfG2tg3JyxOqQgxjglwPDPr3bIk8PtIfSebo+m9sIBHoYW7CPc3wycIsbSHyz0bwIUUz9C
f6Jgm64LFYHck6EFVT+iTIixkEkxhGLZqE152CkxCeb0UJlTmbQZW0Pj+3/YKZnwf5aqShRL0ZPL
DCc+3yG1qEpDEVbeJmrNeMWDRsIVZC25F51gqDGqDT/clBJrXatFSTdJN3es4ChgG3hnp22GIhR0
Rw9yM0CvsGkH5pmFN0pE+1CJ5mFZyxJmRIZYRkHC/LOWeccNPWhKiPGAC5HqBp9VepZnRJHxrY6Y
9kKh9ebOpWKwTBoeQQ/tMnBQ+4u6ddDS1iJHBoyew25QJ89oXTMVaCuD9KGlHQnMyoRDDF3LcMtV
icNpDBoz8U5zN1MROFpDi1o8sa+oZbqnbFBw4uAC6ceVpwjm5WRc6GG9oOiTyjS8cjW7EbOKbnKH
NHOvYn/Dv4oOXIoRgKp1Gu1McUAhmf2gn1mpWe7qKLFWtkhLbWbnhRqs8HQNv8RJBUVGeCpj02WA
/JN2t3GSJCWLfZtEOyH5DRl/6uRnnTb6VUJ9Uq8CnFPecR4Oe3iR1Pmcnq5jwnDyXHehaKXBLEYW
e+8SKZGPXWgl4VqBYJvM3BYw+typkPOcRaLR9sTT6TJrbQSktp35zLYz5pys7VRD+aPrqfwhIF9h
KMKOkU7LtVqvqiLvPoL29fZNadHCAv8IJSxh6KKeU9W0qo3dSKNDRe61n2RAutQTKHSGp2oiDesG
q1aw6r71zivz5FRX/IairJWhKogth6Fl2/CadRRFVbvCFDXYqXTDMyi6NQg9N5XUS01S+nXaCPdd
BjzlPaRDVCKJG2vXsWJXPsp/T1sqWRJ1S0Asrj9rcbjyZ0Na8MXj1HiaQjbZ28RcdwSCSvlp0Onj
L7pM0tD1JJ0wGLfxYrrbcpTUCEv0yOjegyGu9GNJMXIZBnTscns0aPr9SpKYq8jEZ1pk/j7xxnze
z3GImym0wmvklIZfrdPYNxAZijbe4HYLJc5VdXLmMZZZ2q3iXddZmpPYeco2CSU722BkH8dENiHl
sziM6OqitqTQRwmg3xldlFvUPWpdvRBDmt9WpVN3C4jEfULLtM1VOFVlch6FMPBaLR7pT4Wif7Xs
OKG/7JQGCmuXCGzeE9T0Zzk8KSYK20BXNpXrKh+G0Z+4tpISMVIBTCspLWPVT1bGGjzype0RC1mT
1bExuR63uXIpT1bI9WSLXEwWyR0zeCHzsJH0lVL/sKJKWWztwcRYeSCIWElO0i0LU6Vvqo0ezNVk
xwy4PD2ok0lz0LjR0mmIzvNM6c5TOUJMlEzWzvJk81wVcAyc0fvZgfG9VUknz8LJGro3ytEmusE6
GW13i3ugySHdd4GvcU5ws7P3GXclwywMfn5NoexdFmpEhIIuBhtcJwfjAxyfgUfqPAXmC6xJOFkb
joqwzGHQO531bgFyNsH1uh5kpvMnK2x9dMX2Rn/scLLK7kbXbKlCR9RPVtpwawHOUhmX6LyPZtuW
h++2O1lwk5Fjx0205OzohBY3/WTXPSADu+zlFuaSqvj2MXMiCc1zmbHXrksBOkplTW/DDFamanVL
t1DyJUL7EBpAYA5bLfAYfqIlu7RTCYU9Pk17TlrbaYyQfzT9Kl/aoZ2ARPVVaaFXUTozW2dgIBax
1TxALM86G9aXqcaAzCxWwfDhCQY3Esibf2HKyMJFZoMRwaFKP5ZjRV+WeugsFcP50iFtXMs+v5LW
VbnEkMX9rBRx9aWXZV2dSYyALtxeCT8D4zMv3EGUCDa0ONi1OB+sBynGf9etuuuuc857r0JFBDvr
QveL0YerQ/DlGHq3A2PWbrQscvHFzkKuu+HvLC+yEfObPjzsUFY+5AVUMAybU7zUfClWV54sQ4k2
NY0ojoGH5sYOffmLTiKw8aXSRTmAVfaeJbjmJlKDRV0w8kb1xA+qhasO0TZNa1YVOfbTa0R31ioK
UuPcMDrtShtwzTCNEmpeqavL1kh5AN2AJlkuQf4DyKIoWzx4sCrqGu86E77zyTOUwZtbTp3RwcfI
moSssf1ZlFBIZLDKQxjmGedkUZjz5DyzMAcNOdzrklpvPN9TT30GchkCBC9yVkS52y90Gd2bJ9fm
1ondvlw4dVBd9eAk3zGF3Jzbkgt3r3TEuYCje5fj+7mCxu8wugb1AjseGi4flCqtWJXCYKvnRrBn
Aq3qaOLb2hymscrs5sjgqq042LJSYkeBXTpZWo5s3Ja6rZJhWUrduTuWIj4sG3BuMMwAPZsrnjKX
Bt30Q5HL2LWTF0UrmeFJdECkJOikrWu8T6SQgl6moOBijm0FlzZj7F/p9mkqoQQLo5ZZMsDBybVg
r14ZWhOcp5ry1TQLteTx7EMSDissrrtaqnA7BS+m4y1ubeHcagU8LK19r0d6eleMVAUabsCxUJYy
ilk3KTBbrev/PTH0vwE79VD9GmXSyynqfeK6/K16Mv70HGZ6dZ3+tV96DDZfPtAzp+abtE6q0ffZ
hULwNFyexhufVaCmU5rO91dHiA6YSde3mEArRME6jqOwJO5fFHjQS7kPPzbtoxFURc9uNBvidR/P
P7lCP7sGv/54P1pY/3icZx/gp2bVCnPMqAb/zEX47hhPLoJxhJKAWht9pulFavH0IqBhYL1FrI5B
3vii3Mb7/U4XgWm/V18E+Yj0iTnukZgyvZ5dBEs7QudAFgVuanr9fheBDOz1N4LKR7RsMVpEjq9n
1wAJjKXgvwN+5v6n99f8N7oR7lVA2vdou5+sCj9/IKwjg+FSbnkW8/FF2vz0gTCPIN9h1kedeXrd
T5f8TtdhLAe88mYAymcKWVM0UAQvXQTjSCCHAjDz294MTHSgj3rV0ijkI7yox9Y7R3p6CxhHGnZM
hoYid3qxZP5ea6ImOL3Xfnr7CBmcTAPkYdH77jngFpCtkXt0/xj8fhsDltHgrbhFX3shzCNLRnvH
wvj8NrCPZNkeSZMPl4Af/163AZVB436rulcZfgu3fgySfrocCowTuZIyNIDnn97iITDHfttvFxap
4Fjuv4u//rFpM1LIxTGXTz69nt/9FgGDYYzR4++6AIL+Eq/97hWCP4rDKjCxFy+CecTYCrc/PdLp
db/g/qmt8E/80rd0Y47j0e2UaPh35Uv5yM9+4TEO//HnD/H19vYffx/ziGe/ODL+7t/77lvd/5/P
no8p/H3yw8dweHqfhz9/+IA/vvWz93r8VI//ufHvikNxAyhueuuH0zw9xKQrEI88yIEvGaeiLn5M
jV4kFH7bBn95/KJODje07V96C0Rob/EWZXmIH890vPhj5+Dx33/9zGe+dygeDzMeVrUV9uQ/vqF/
/P3Z9/dkQ/jVBdkciv6QHB4PNN0sKkXex//46ycMme6nV5oW80j+fe3J7w5xXP/tvw5x9t9/Oz6U
2BU9u0KEbmPW9Np3OT7g9VUdwucX6T4AffWxeRSi7w48BXWvPfDJISy9w217d5c9XoHpu4Vlzbbx
2qP/a3/jb6vKX7stz259Tv/xRKen6D4Ffu2Zn9e3eLzfFUX/7OCGKsTjf/z1W/68ToLDl8fjTGfN
3MQb3IKXh+BQVt7hWXHooTLy2ity5Yd4UDw9aVW2xoDntQe+PsR+BAD2tn481nhFHuK11x78XVXB
lX1hn3gIjF57/A93ZfW32R3Y5+jZ2d9HHK89+v7AYs6CVRXP7vGHlOa1R1/XAUevnp73yLdX1DfY
L37KzX/lA8/G/w10eOrfpF/4drflCK0on38OASH4DZ6o//lVIECVhXzgTRZKn17q83BgPDhzMm+w
w17jn1Q/v4MeDv4GT+/LSMqn38X0XuoIgn7tDfsv+CSvvLV+PRX32oP/CxHoKw+/uIs8//ECTxv4
hG0ZC4Cvveg/BYvyvUJr0d5gP5yzY936AMC9x9N98hHe4L7BGQDbUr/84R0YKrEA0rzBYzDtM4iY
+CDPPsPDO7xBLLVjK/jp8d8gH7m+YxV1v4/x/6gbvfY++rMir9c+CS8i5f8KIveXJ/JSSvutFfRj
ovvY53rpz55n8eNv3ER3h+Kf/wsAAP//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openxmlformats.org/officeDocument/2006/relationships/hyperlink" Target="#'Dashboard Data'!A1"/><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4.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 Id="rId14" Type="http://schemas.openxmlformats.org/officeDocument/2006/relationships/hyperlink" Target="#KPIs!A1"/></Relationships>
</file>

<file path=xl/drawings/drawing1.xml><?xml version="1.0" encoding="utf-8"?>
<xdr:wsDr xmlns:xdr="http://schemas.openxmlformats.org/drawingml/2006/spreadsheetDrawing" xmlns:a="http://schemas.openxmlformats.org/drawingml/2006/main">
  <xdr:twoCellAnchor editAs="oneCell">
    <xdr:from>
      <xdr:col>0</xdr:col>
      <xdr:colOff>292272</xdr:colOff>
      <xdr:row>83</xdr:row>
      <xdr:rowOff>52260</xdr:rowOff>
    </xdr:from>
    <xdr:to>
      <xdr:col>1</xdr:col>
      <xdr:colOff>1194798</xdr:colOff>
      <xdr:row>96</xdr:row>
      <xdr:rowOff>98169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C90454-6D87-8F9A-B7DF-4089FFF53B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2272" y="15581412"/>
              <a:ext cx="1834027" cy="247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168447</xdr:colOff>
      <xdr:row>83</xdr:row>
      <xdr:rowOff>60068</xdr:rowOff>
    </xdr:from>
    <xdr:to>
      <xdr:col>4</xdr:col>
      <xdr:colOff>775129</xdr:colOff>
      <xdr:row>96</xdr:row>
      <xdr:rowOff>107694</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E153985C-5E55-5A83-C95D-D586EB6878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45590" y="15589220"/>
              <a:ext cx="1831325" cy="247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349422</xdr:colOff>
      <xdr:row>83</xdr:row>
      <xdr:rowOff>42735</xdr:rowOff>
    </xdr:from>
    <xdr:to>
      <xdr:col>7</xdr:col>
      <xdr:colOff>260566</xdr:colOff>
      <xdr:row>96</xdr:row>
      <xdr:rowOff>88644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7A40E47-7DDC-FADF-C3B3-85D76EE232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52681" y="15571887"/>
              <a:ext cx="1827904" cy="247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225597</xdr:colOff>
      <xdr:row>83</xdr:row>
      <xdr:rowOff>69593</xdr:rowOff>
    </xdr:from>
    <xdr:to>
      <xdr:col>9</xdr:col>
      <xdr:colOff>740742</xdr:colOff>
      <xdr:row>96</xdr:row>
      <xdr:rowOff>117219</xdr:rowOff>
    </xdr:to>
    <mc:AlternateContent xmlns:mc="http://schemas.openxmlformats.org/markup-compatibility/2006" xmlns:a14="http://schemas.microsoft.com/office/drawing/2010/main">
      <mc:Choice Requires="a14">
        <xdr:graphicFrame macro="">
          <xdr:nvGraphicFramePr>
            <xdr:cNvPr id="5" name="OrderChannel">
              <a:extLst>
                <a:ext uri="{FF2B5EF4-FFF2-40B4-BE49-F238E27FC236}">
                  <a16:creationId xmlns:a16="http://schemas.microsoft.com/office/drawing/2014/main" id="{155BC815-46F1-6B8C-FFA7-CB959FE73980}"/>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7046177" y="15598745"/>
              <a:ext cx="1828612" cy="2479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1254640</xdr:colOff>
      <xdr:row>83</xdr:row>
      <xdr:rowOff>98168</xdr:rowOff>
    </xdr:from>
    <xdr:to>
      <xdr:col>13</xdr:col>
      <xdr:colOff>896926</xdr:colOff>
      <xdr:row>90</xdr:row>
      <xdr:rowOff>136268</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7F5BF507-1CC0-BF50-D930-D9088D54A1C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282854" y="15627320"/>
              <a:ext cx="3319994" cy="134778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18</xdr:row>
      <xdr:rowOff>82323</xdr:rowOff>
    </xdr:from>
    <xdr:to>
      <xdr:col>2</xdr:col>
      <xdr:colOff>428625</xdr:colOff>
      <xdr:row>32</xdr:row>
      <xdr:rowOff>158523</xdr:rowOff>
    </xdr:to>
    <xdr:graphicFrame macro="">
      <xdr:nvGraphicFramePr>
        <xdr:cNvPr id="7" name="Chart 6">
          <a:extLst>
            <a:ext uri="{FF2B5EF4-FFF2-40B4-BE49-F238E27FC236}">
              <a16:creationId xmlns:a16="http://schemas.microsoft.com/office/drawing/2014/main" id="{85813538-C138-2541-8044-421485416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1079844</xdr:colOff>
      <xdr:row>33</xdr:row>
      <xdr:rowOff>103261</xdr:rowOff>
    </xdr:from>
    <xdr:to>
      <xdr:col>7</xdr:col>
      <xdr:colOff>328741</xdr:colOff>
      <xdr:row>47</xdr:row>
      <xdr:rowOff>179461</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6FF3AB8-F520-1DB1-51BF-69FE6FCE09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003769" y="6389761"/>
              <a:ext cx="4649572"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365555</xdr:colOff>
      <xdr:row>38</xdr:row>
      <xdr:rowOff>86570</xdr:rowOff>
    </xdr:from>
    <xdr:to>
      <xdr:col>12</xdr:col>
      <xdr:colOff>437637</xdr:colOff>
      <xdr:row>56</xdr:row>
      <xdr:rowOff>136684</xdr:rowOff>
    </xdr:to>
    <xdr:graphicFrame macro="">
      <xdr:nvGraphicFramePr>
        <xdr:cNvPr id="10" name="Chart 9">
          <a:extLst>
            <a:ext uri="{FF2B5EF4-FFF2-40B4-BE49-F238E27FC236}">
              <a16:creationId xmlns:a16="http://schemas.microsoft.com/office/drawing/2014/main" id="{24A3F217-49CB-71F9-E4A7-0AC0E0E81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417041</xdr:colOff>
      <xdr:row>11</xdr:row>
      <xdr:rowOff>155220</xdr:rowOff>
    </xdr:from>
    <xdr:to>
      <xdr:col>13</xdr:col>
      <xdr:colOff>446217</xdr:colOff>
      <xdr:row>20</xdr:row>
      <xdr:rowOff>136684</xdr:rowOff>
    </xdr:to>
    <xdr:graphicFrame macro="">
      <xdr:nvGraphicFramePr>
        <xdr:cNvPr id="11" name="Chart 10">
          <a:extLst>
            <a:ext uri="{FF2B5EF4-FFF2-40B4-BE49-F238E27FC236}">
              <a16:creationId xmlns:a16="http://schemas.microsoft.com/office/drawing/2014/main" id="{46F1F687-B1DC-5577-AB80-3E34F97F3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219675</xdr:colOff>
      <xdr:row>9</xdr:row>
      <xdr:rowOff>129477</xdr:rowOff>
    </xdr:from>
    <xdr:to>
      <xdr:col>18</xdr:col>
      <xdr:colOff>274594</xdr:colOff>
      <xdr:row>21</xdr:row>
      <xdr:rowOff>119523</xdr:rowOff>
    </xdr:to>
    <xdr:graphicFrame macro="">
      <xdr:nvGraphicFramePr>
        <xdr:cNvPr id="13" name="Chart 12">
          <a:extLst>
            <a:ext uri="{FF2B5EF4-FFF2-40B4-BE49-F238E27FC236}">
              <a16:creationId xmlns:a16="http://schemas.microsoft.com/office/drawing/2014/main" id="{C6FA393B-B2B0-D3DE-2FAE-F10532F0D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282492</xdr:colOff>
      <xdr:row>31</xdr:row>
      <xdr:rowOff>72270</xdr:rowOff>
    </xdr:from>
    <xdr:to>
      <xdr:col>21</xdr:col>
      <xdr:colOff>276794</xdr:colOff>
      <xdr:row>42</xdr:row>
      <xdr:rowOff>35618</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91EDC0F4-BC44-1AA7-419A-77ED6AE574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960767" y="5977770"/>
              <a:ext cx="2870852" cy="20588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225506</xdr:colOff>
      <xdr:row>8</xdr:row>
      <xdr:rowOff>108741</xdr:rowOff>
    </xdr:from>
    <xdr:to>
      <xdr:col>23</xdr:col>
      <xdr:colOff>1291004</xdr:colOff>
      <xdr:row>18</xdr:row>
      <xdr:rowOff>11195</xdr:rowOff>
    </xdr:to>
    <xdr:graphicFrame macro="">
      <xdr:nvGraphicFramePr>
        <xdr:cNvPr id="15" name="Chart 14">
          <a:extLst>
            <a:ext uri="{FF2B5EF4-FFF2-40B4-BE49-F238E27FC236}">
              <a16:creationId xmlns:a16="http://schemas.microsoft.com/office/drawing/2014/main" id="{9A99BB13-8B9F-3577-40A7-2BB291EC8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0</xdr:colOff>
      <xdr:row>5</xdr:row>
      <xdr:rowOff>146538</xdr:rowOff>
    </xdr:from>
    <xdr:to>
      <xdr:col>26</xdr:col>
      <xdr:colOff>1725898</xdr:colOff>
      <xdr:row>8</xdr:row>
      <xdr:rowOff>8140</xdr:rowOff>
    </xdr:to>
    <xdr:sp macro="" textlink="$AA$2">
      <xdr:nvSpPr>
        <xdr:cNvPr id="16" name="TextBox 15">
          <a:extLst>
            <a:ext uri="{FF2B5EF4-FFF2-40B4-BE49-F238E27FC236}">
              <a16:creationId xmlns:a16="http://schemas.microsoft.com/office/drawing/2014/main" id="{4420056B-8F79-465E-2B0B-186DA6306F63}"/>
            </a:ext>
          </a:extLst>
        </xdr:cNvPr>
        <xdr:cNvSpPr txBox="1"/>
      </xdr:nvSpPr>
      <xdr:spPr>
        <a:xfrm>
          <a:off x="28273782" y="1082756"/>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C1422C-202D-4356-9EFB-4423B3B1525B}" type="TxLink">
            <a:rPr lang="en-US" sz="1100" b="0" i="0" u="none" strike="noStrike">
              <a:solidFill>
                <a:srgbClr val="000000"/>
              </a:solidFill>
              <a:latin typeface="Calibri"/>
              <a:ea typeface="Calibri"/>
              <a:cs typeface="Calibri"/>
            </a:rPr>
            <a:pPr/>
            <a:t> 10,366,526 </a:t>
          </a:fld>
          <a:endParaRPr lang="en-US" sz="1100"/>
        </a:p>
      </xdr:txBody>
    </xdr:sp>
    <xdr:clientData/>
  </xdr:twoCellAnchor>
  <xdr:twoCellAnchor>
    <xdr:from>
      <xdr:col>27</xdr:col>
      <xdr:colOff>244230</xdr:colOff>
      <xdr:row>5</xdr:row>
      <xdr:rowOff>162820</xdr:rowOff>
    </xdr:from>
    <xdr:to>
      <xdr:col>29</xdr:col>
      <xdr:colOff>65128</xdr:colOff>
      <xdr:row>8</xdr:row>
      <xdr:rowOff>24422</xdr:rowOff>
    </xdr:to>
    <xdr:sp macro="" textlink="$AC$2">
      <xdr:nvSpPr>
        <xdr:cNvPr id="17" name="TextBox 16">
          <a:extLst>
            <a:ext uri="{FF2B5EF4-FFF2-40B4-BE49-F238E27FC236}">
              <a16:creationId xmlns:a16="http://schemas.microsoft.com/office/drawing/2014/main" id="{5BC56E5F-F22F-E42A-AF47-E2C4CE05BD79}"/>
            </a:ext>
          </a:extLst>
        </xdr:cNvPr>
        <xdr:cNvSpPr txBox="1"/>
      </xdr:nvSpPr>
      <xdr:spPr>
        <a:xfrm>
          <a:off x="30252051" y="1099038"/>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3F1F0E-B813-485F-AF7E-0E7795008F63}" type="TxLink">
            <a:rPr lang="en-US" sz="1100" b="0" i="0" u="none" strike="noStrike">
              <a:solidFill>
                <a:srgbClr val="000000"/>
              </a:solidFill>
              <a:latin typeface="Calibri"/>
              <a:ea typeface="Calibri"/>
              <a:cs typeface="Calibri"/>
            </a:rPr>
            <a:pPr/>
            <a:t>5.21</a:t>
          </a:fld>
          <a:endParaRPr lang="en-US" sz="1100"/>
        </a:p>
      </xdr:txBody>
    </xdr:sp>
    <xdr:clientData/>
  </xdr:twoCellAnchor>
  <xdr:twoCellAnchor>
    <xdr:from>
      <xdr:col>29</xdr:col>
      <xdr:colOff>586154</xdr:colOff>
      <xdr:row>5</xdr:row>
      <xdr:rowOff>73269</xdr:rowOff>
    </xdr:from>
    <xdr:to>
      <xdr:col>31</xdr:col>
      <xdr:colOff>138399</xdr:colOff>
      <xdr:row>7</xdr:row>
      <xdr:rowOff>122115</xdr:rowOff>
    </xdr:to>
    <xdr:sp macro="" textlink="$AE$4">
      <xdr:nvSpPr>
        <xdr:cNvPr id="18" name="TextBox 17">
          <a:extLst>
            <a:ext uri="{FF2B5EF4-FFF2-40B4-BE49-F238E27FC236}">
              <a16:creationId xmlns:a16="http://schemas.microsoft.com/office/drawing/2014/main" id="{C2E7C126-9935-7433-86DA-9559AA342EA2}"/>
            </a:ext>
          </a:extLst>
        </xdr:cNvPr>
        <xdr:cNvSpPr txBox="1"/>
      </xdr:nvSpPr>
      <xdr:spPr>
        <a:xfrm>
          <a:off x="32498975" y="1009487"/>
          <a:ext cx="1725898"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0F7413-C085-42B6-81F8-B53FC6320A2F}" type="TxLink">
            <a:rPr lang="en-US" sz="1100" b="0" i="0" u="none" strike="noStrike">
              <a:solidFill>
                <a:srgbClr val="000000"/>
              </a:solidFill>
              <a:latin typeface="Calibri"/>
              <a:ea typeface="Calibri"/>
              <a:cs typeface="Calibri"/>
            </a:rPr>
            <a:pPr/>
            <a:t>3</a:t>
          </a:fld>
          <a:endParaRPr lang="en-US" sz="1100"/>
        </a:p>
      </xdr:txBody>
    </xdr:sp>
    <xdr:clientData/>
  </xdr:twoCellAnchor>
  <xdr:twoCellAnchor>
    <xdr:from>
      <xdr:col>12</xdr:col>
      <xdr:colOff>730248</xdr:colOff>
      <xdr:row>47</xdr:row>
      <xdr:rowOff>11761</xdr:rowOff>
    </xdr:from>
    <xdr:to>
      <xdr:col>20</xdr:col>
      <xdr:colOff>141109</xdr:colOff>
      <xdr:row>64</xdr:row>
      <xdr:rowOff>164631</xdr:rowOff>
    </xdr:to>
    <xdr:graphicFrame macro="">
      <xdr:nvGraphicFramePr>
        <xdr:cNvPr id="9" name="Chart 8">
          <a:extLst>
            <a:ext uri="{FF2B5EF4-FFF2-40B4-BE49-F238E27FC236}">
              <a16:creationId xmlns:a16="http://schemas.microsoft.com/office/drawing/2014/main" id="{C1556684-EF45-9B14-BD85-AE9A14AEF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13607</xdr:colOff>
      <xdr:row>0</xdr:row>
      <xdr:rowOff>0</xdr:rowOff>
    </xdr:from>
    <xdr:to>
      <xdr:col>26</xdr:col>
      <xdr:colOff>13607</xdr:colOff>
      <xdr:row>38</xdr:row>
      <xdr:rowOff>16858</xdr:rowOff>
    </xdr:to>
    <xdr:sp macro="" textlink="">
      <xdr:nvSpPr>
        <xdr:cNvPr id="36" name="Rectangle 35">
          <a:extLst>
            <a:ext uri="{FF2B5EF4-FFF2-40B4-BE49-F238E27FC236}">
              <a16:creationId xmlns:a16="http://schemas.microsoft.com/office/drawing/2014/main" id="{F3C1DC34-69F7-6E33-AC03-9EEF5A788081}"/>
            </a:ext>
          </a:extLst>
        </xdr:cNvPr>
        <xdr:cNvSpPr/>
      </xdr:nvSpPr>
      <xdr:spPr>
        <a:xfrm>
          <a:off x="13607" y="0"/>
          <a:ext cx="15920357" cy="7255858"/>
        </a:xfrm>
        <a:prstGeom prst="rect">
          <a:avLst/>
        </a:prstGeom>
        <a:solidFill>
          <a:schemeClr val="tx1">
            <a:lumMod val="85000"/>
            <a:lumOff val="1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11284</xdr:colOff>
      <xdr:row>11</xdr:row>
      <xdr:rowOff>176893</xdr:rowOff>
    </xdr:from>
    <xdr:to>
      <xdr:col>17</xdr:col>
      <xdr:colOff>0</xdr:colOff>
      <xdr:row>22</xdr:row>
      <xdr:rowOff>163286</xdr:rowOff>
    </xdr:to>
    <xdr:sp macro="" textlink="">
      <xdr:nvSpPr>
        <xdr:cNvPr id="16" name="Rectangle 15">
          <a:extLst>
            <a:ext uri="{FF2B5EF4-FFF2-40B4-BE49-F238E27FC236}">
              <a16:creationId xmlns:a16="http://schemas.microsoft.com/office/drawing/2014/main" id="{E2561FE6-5785-64F5-23F1-2BE312EF408D}"/>
            </a:ext>
          </a:extLst>
        </xdr:cNvPr>
        <xdr:cNvSpPr/>
      </xdr:nvSpPr>
      <xdr:spPr>
        <a:xfrm>
          <a:off x="7359141" y="2272393"/>
          <a:ext cx="3050323" cy="2081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26</xdr:row>
      <xdr:rowOff>38101</xdr:rowOff>
    </xdr:from>
    <xdr:to>
      <xdr:col>12</xdr:col>
      <xdr:colOff>0</xdr:colOff>
      <xdr:row>38</xdr:row>
      <xdr:rowOff>28575</xdr:rowOff>
    </xdr:to>
    <xdr:sp macro="" textlink="">
      <xdr:nvSpPr>
        <xdr:cNvPr id="14" name="Rectangle 13">
          <a:extLst>
            <a:ext uri="{FF2B5EF4-FFF2-40B4-BE49-F238E27FC236}">
              <a16:creationId xmlns:a16="http://schemas.microsoft.com/office/drawing/2014/main" id="{92587758-09FE-E40B-A760-510C9967E420}"/>
            </a:ext>
          </a:extLst>
        </xdr:cNvPr>
        <xdr:cNvSpPr/>
      </xdr:nvSpPr>
      <xdr:spPr>
        <a:xfrm>
          <a:off x="0" y="4991101"/>
          <a:ext cx="7315200" cy="2276474"/>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31060</xdr:colOff>
      <xdr:row>25</xdr:row>
      <xdr:rowOff>19050</xdr:rowOff>
    </xdr:from>
    <xdr:to>
      <xdr:col>26</xdr:col>
      <xdr:colOff>16859</xdr:colOff>
      <xdr:row>38</xdr:row>
      <xdr:rowOff>42145</xdr:rowOff>
    </xdr:to>
    <xdr:sp macro="" textlink="">
      <xdr:nvSpPr>
        <xdr:cNvPr id="34" name="Rectangle 33">
          <a:extLst>
            <a:ext uri="{FF2B5EF4-FFF2-40B4-BE49-F238E27FC236}">
              <a16:creationId xmlns:a16="http://schemas.microsoft.com/office/drawing/2014/main" id="{1A27C5E7-4ECC-B92B-3EA4-0370E88926D1}"/>
            </a:ext>
          </a:extLst>
        </xdr:cNvPr>
        <xdr:cNvSpPr/>
      </xdr:nvSpPr>
      <xdr:spPr>
        <a:xfrm>
          <a:off x="10415381" y="4678017"/>
          <a:ext cx="5483380" cy="2445758"/>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23</xdr:row>
      <xdr:rowOff>0</xdr:rowOff>
    </xdr:from>
    <xdr:to>
      <xdr:col>17</xdr:col>
      <xdr:colOff>31059</xdr:colOff>
      <xdr:row>38</xdr:row>
      <xdr:rowOff>50575</xdr:rowOff>
    </xdr:to>
    <xdr:sp macro="" textlink="">
      <xdr:nvSpPr>
        <xdr:cNvPr id="32" name="Rectangle 31">
          <a:extLst>
            <a:ext uri="{FF2B5EF4-FFF2-40B4-BE49-F238E27FC236}">
              <a16:creationId xmlns:a16="http://schemas.microsoft.com/office/drawing/2014/main" id="{2AC64096-13F0-EB18-7F86-647165F2DBC8}"/>
            </a:ext>
          </a:extLst>
        </xdr:cNvPr>
        <xdr:cNvSpPr/>
      </xdr:nvSpPr>
      <xdr:spPr>
        <a:xfrm>
          <a:off x="7315200" y="4381500"/>
          <a:ext cx="3079059" cy="2908075"/>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xdr:colOff>
      <xdr:row>4</xdr:row>
      <xdr:rowOff>161926</xdr:rowOff>
    </xdr:from>
    <xdr:to>
      <xdr:col>5</xdr:col>
      <xdr:colOff>571500</xdr:colOff>
      <xdr:row>26</xdr:row>
      <xdr:rowOff>28575</xdr:rowOff>
    </xdr:to>
    <xdr:sp macro="" textlink="">
      <xdr:nvSpPr>
        <xdr:cNvPr id="30" name="Rectangle 29">
          <a:extLst>
            <a:ext uri="{FF2B5EF4-FFF2-40B4-BE49-F238E27FC236}">
              <a16:creationId xmlns:a16="http://schemas.microsoft.com/office/drawing/2014/main" id="{EEF72B5A-91A0-6E3A-D499-5129A2D3F104}"/>
            </a:ext>
          </a:extLst>
        </xdr:cNvPr>
        <xdr:cNvSpPr/>
      </xdr:nvSpPr>
      <xdr:spPr>
        <a:xfrm>
          <a:off x="9525" y="923926"/>
          <a:ext cx="3609975" cy="4057649"/>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12</xdr:col>
      <xdr:colOff>0</xdr:colOff>
      <xdr:row>4</xdr:row>
      <xdr:rowOff>161925</xdr:rowOff>
    </xdr:to>
    <xdr:sp macro="" textlink="">
      <xdr:nvSpPr>
        <xdr:cNvPr id="2" name="Rectangle 1">
          <a:extLst>
            <a:ext uri="{FF2B5EF4-FFF2-40B4-BE49-F238E27FC236}">
              <a16:creationId xmlns:a16="http://schemas.microsoft.com/office/drawing/2014/main" id="{F9C8A2E7-C3E2-30AC-E6FA-3E07B8258BA5}"/>
            </a:ext>
          </a:extLst>
        </xdr:cNvPr>
        <xdr:cNvSpPr/>
      </xdr:nvSpPr>
      <xdr:spPr>
        <a:xfrm>
          <a:off x="0" y="9525"/>
          <a:ext cx="7330109" cy="89783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95000"/>
                <a:lumOff val="5000"/>
              </a:schemeClr>
            </a:solidFill>
          </a:endParaRPr>
        </a:p>
      </xdr:txBody>
    </xdr:sp>
    <xdr:clientData/>
  </xdr:twoCellAnchor>
  <xdr:twoCellAnchor>
    <xdr:from>
      <xdr:col>12</xdr:col>
      <xdr:colOff>47624</xdr:colOff>
      <xdr:row>0</xdr:row>
      <xdr:rowOff>9525</xdr:rowOff>
    </xdr:from>
    <xdr:to>
      <xdr:col>26</xdr:col>
      <xdr:colOff>20706</xdr:colOff>
      <xdr:row>4</xdr:row>
      <xdr:rowOff>161925</xdr:rowOff>
    </xdr:to>
    <xdr:sp macro="" textlink="">
      <xdr:nvSpPr>
        <xdr:cNvPr id="3" name="Rectangle 2">
          <a:extLst>
            <a:ext uri="{FF2B5EF4-FFF2-40B4-BE49-F238E27FC236}">
              <a16:creationId xmlns:a16="http://schemas.microsoft.com/office/drawing/2014/main" id="{F63B4139-C89F-06B4-1941-85307B05ACF8}"/>
            </a:ext>
          </a:extLst>
        </xdr:cNvPr>
        <xdr:cNvSpPr/>
      </xdr:nvSpPr>
      <xdr:spPr>
        <a:xfrm>
          <a:off x="7377733" y="9525"/>
          <a:ext cx="8524875" cy="897835"/>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noFill/>
            </a:rPr>
            <a:t>z</a:t>
          </a:r>
        </a:p>
      </xdr:txBody>
    </xdr:sp>
    <xdr:clientData/>
  </xdr:twoCellAnchor>
  <xdr:twoCellAnchor>
    <xdr:from>
      <xdr:col>13</xdr:col>
      <xdr:colOff>104774</xdr:colOff>
      <xdr:row>1</xdr:row>
      <xdr:rowOff>187569</xdr:rowOff>
    </xdr:from>
    <xdr:to>
      <xdr:col>16</xdr:col>
      <xdr:colOff>247650</xdr:colOff>
      <xdr:row>4</xdr:row>
      <xdr:rowOff>39402</xdr:rowOff>
    </xdr:to>
    <xdr:sp macro="" textlink="KPIs!$AA$2">
      <xdr:nvSpPr>
        <xdr:cNvPr id="4" name="TextBox 3">
          <a:extLst>
            <a:ext uri="{FF2B5EF4-FFF2-40B4-BE49-F238E27FC236}">
              <a16:creationId xmlns:a16="http://schemas.microsoft.com/office/drawing/2014/main" id="{309E9E61-FCA5-4C0B-8A0B-E9CE05A28594}"/>
            </a:ext>
          </a:extLst>
        </xdr:cNvPr>
        <xdr:cNvSpPr txBox="1"/>
      </xdr:nvSpPr>
      <xdr:spPr>
        <a:xfrm>
          <a:off x="8029574" y="378069"/>
          <a:ext cx="1971676"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6E3E69-6C10-403C-BC9B-CE830E341FCF}" type="TxLink">
            <a:rPr lang="en-US" sz="2000" b="1" i="0" u="none" strike="noStrike">
              <a:solidFill>
                <a:srgbClr val="000000"/>
              </a:solidFill>
              <a:latin typeface="Calibri"/>
              <a:ea typeface="Calibri"/>
              <a:cs typeface="Calibri"/>
            </a:rPr>
            <a:pPr algn="ctr"/>
            <a:t> 10,366,526 </a:t>
          </a:fld>
          <a:endParaRPr lang="en-US" sz="2000" b="1"/>
        </a:p>
      </xdr:txBody>
    </xdr:sp>
    <xdr:clientData/>
  </xdr:twoCellAnchor>
  <xdr:twoCellAnchor>
    <xdr:from>
      <xdr:col>17</xdr:col>
      <xdr:colOff>495300</xdr:colOff>
      <xdr:row>2</xdr:row>
      <xdr:rowOff>3826</xdr:rowOff>
    </xdr:from>
    <xdr:to>
      <xdr:col>21</xdr:col>
      <xdr:colOff>28575</xdr:colOff>
      <xdr:row>4</xdr:row>
      <xdr:rowOff>46159</xdr:rowOff>
    </xdr:to>
    <xdr:sp macro="" textlink="KPIs!$AC$2">
      <xdr:nvSpPr>
        <xdr:cNvPr id="5" name="TextBox 4">
          <a:extLst>
            <a:ext uri="{FF2B5EF4-FFF2-40B4-BE49-F238E27FC236}">
              <a16:creationId xmlns:a16="http://schemas.microsoft.com/office/drawing/2014/main" id="{506496BA-827B-436B-88B6-6C31D5B17F2F}"/>
            </a:ext>
          </a:extLst>
        </xdr:cNvPr>
        <xdr:cNvSpPr txBox="1"/>
      </xdr:nvSpPr>
      <xdr:spPr>
        <a:xfrm>
          <a:off x="10858500" y="384826"/>
          <a:ext cx="1971675"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24C3DF-1BE4-4D65-A719-0E55F9C9EFB0}" type="TxLink">
            <a:rPr lang="en-US" sz="2000" b="1" i="0" u="none" strike="noStrike">
              <a:solidFill>
                <a:srgbClr val="000000"/>
              </a:solidFill>
              <a:latin typeface="Calibri"/>
              <a:ea typeface="Calibri"/>
              <a:cs typeface="Calibri"/>
            </a:rPr>
            <a:pPr algn="ctr"/>
            <a:t>5.21</a:t>
          </a:fld>
          <a:endParaRPr lang="en-US" sz="2000" b="1"/>
        </a:p>
      </xdr:txBody>
    </xdr:sp>
    <xdr:clientData/>
  </xdr:twoCellAnchor>
  <xdr:twoCellAnchor>
    <xdr:from>
      <xdr:col>22</xdr:col>
      <xdr:colOff>238126</xdr:colOff>
      <xdr:row>2</xdr:row>
      <xdr:rowOff>19050</xdr:rowOff>
    </xdr:from>
    <xdr:to>
      <xdr:col>25</xdr:col>
      <xdr:colOff>400050</xdr:colOff>
      <xdr:row>4</xdr:row>
      <xdr:rowOff>61383</xdr:rowOff>
    </xdr:to>
    <xdr:sp macro="" textlink="KPIs!$AE$2">
      <xdr:nvSpPr>
        <xdr:cNvPr id="6" name="TextBox 5">
          <a:extLst>
            <a:ext uri="{FF2B5EF4-FFF2-40B4-BE49-F238E27FC236}">
              <a16:creationId xmlns:a16="http://schemas.microsoft.com/office/drawing/2014/main" id="{6D48A4C9-F517-4509-874B-774ECD06671F}"/>
            </a:ext>
          </a:extLst>
        </xdr:cNvPr>
        <xdr:cNvSpPr txBox="1"/>
      </xdr:nvSpPr>
      <xdr:spPr>
        <a:xfrm>
          <a:off x="13649326" y="400050"/>
          <a:ext cx="1990724" cy="423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A10B67-A4DC-46FC-AC6E-AADDA8BD5F2A}" type="TxLink">
            <a:rPr lang="en-US" sz="2000" b="1" i="0" u="none" strike="noStrike">
              <a:solidFill>
                <a:srgbClr val="000000"/>
              </a:solidFill>
              <a:latin typeface="Calibri"/>
              <a:ea typeface="Calibri"/>
              <a:cs typeface="Calibri"/>
            </a:rPr>
            <a:pPr algn="ctr"/>
            <a:t>2.78</a:t>
          </a:fld>
          <a:endParaRPr lang="en-US" sz="2000" b="1"/>
        </a:p>
      </xdr:txBody>
    </xdr:sp>
    <xdr:clientData/>
  </xdr:twoCellAnchor>
  <xdr:twoCellAnchor>
    <xdr:from>
      <xdr:col>13</xdr:col>
      <xdr:colOff>257175</xdr:colOff>
      <xdr:row>0</xdr:row>
      <xdr:rowOff>161925</xdr:rowOff>
    </xdr:from>
    <xdr:to>
      <xdr:col>16</xdr:col>
      <xdr:colOff>133350</xdr:colOff>
      <xdr:row>2</xdr:row>
      <xdr:rowOff>47625</xdr:rowOff>
    </xdr:to>
    <xdr:sp macro="" textlink="">
      <xdr:nvSpPr>
        <xdr:cNvPr id="9" name="Rectangle 8">
          <a:extLst>
            <a:ext uri="{FF2B5EF4-FFF2-40B4-BE49-F238E27FC236}">
              <a16:creationId xmlns:a16="http://schemas.microsoft.com/office/drawing/2014/main" id="{9BD55B31-BF5C-844B-1389-2F6255EDBA4E}"/>
            </a:ext>
          </a:extLst>
        </xdr:cNvPr>
        <xdr:cNvSpPr/>
      </xdr:nvSpPr>
      <xdr:spPr>
        <a:xfrm>
          <a:off x="8181975" y="161925"/>
          <a:ext cx="170497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Total Sales</a:t>
          </a:r>
        </a:p>
      </xdr:txBody>
    </xdr:sp>
    <xdr:clientData/>
  </xdr:twoCellAnchor>
  <xdr:twoCellAnchor>
    <xdr:from>
      <xdr:col>17</xdr:col>
      <xdr:colOff>600075</xdr:colOff>
      <xdr:row>0</xdr:row>
      <xdr:rowOff>161925</xdr:rowOff>
    </xdr:from>
    <xdr:to>
      <xdr:col>20</xdr:col>
      <xdr:colOff>533400</xdr:colOff>
      <xdr:row>2</xdr:row>
      <xdr:rowOff>47625</xdr:rowOff>
    </xdr:to>
    <xdr:sp macro="" textlink="">
      <xdr:nvSpPr>
        <xdr:cNvPr id="10" name="Rectangle 9">
          <a:extLst>
            <a:ext uri="{FF2B5EF4-FFF2-40B4-BE49-F238E27FC236}">
              <a16:creationId xmlns:a16="http://schemas.microsoft.com/office/drawing/2014/main" id="{0EFDE5A0-C20B-0604-F235-2FD4DB44EEEF}"/>
            </a:ext>
          </a:extLst>
        </xdr:cNvPr>
        <xdr:cNvSpPr/>
      </xdr:nvSpPr>
      <xdr:spPr>
        <a:xfrm>
          <a:off x="10963275" y="161925"/>
          <a:ext cx="176212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Average</a:t>
          </a:r>
          <a:r>
            <a:rPr lang="en-US" sz="1100" b="1" baseline="0"/>
            <a:t> Delivey Days</a:t>
          </a:r>
          <a:endParaRPr lang="en-US" sz="1100" b="1"/>
        </a:p>
      </xdr:txBody>
    </xdr:sp>
    <xdr:clientData/>
  </xdr:twoCellAnchor>
  <xdr:twoCellAnchor>
    <xdr:from>
      <xdr:col>22</xdr:col>
      <xdr:colOff>371475</xdr:colOff>
      <xdr:row>0</xdr:row>
      <xdr:rowOff>180975</xdr:rowOff>
    </xdr:from>
    <xdr:to>
      <xdr:col>25</xdr:col>
      <xdr:colOff>266700</xdr:colOff>
      <xdr:row>2</xdr:row>
      <xdr:rowOff>66675</xdr:rowOff>
    </xdr:to>
    <xdr:sp macro="" textlink="">
      <xdr:nvSpPr>
        <xdr:cNvPr id="11" name="Rectangle 10">
          <a:extLst>
            <a:ext uri="{FF2B5EF4-FFF2-40B4-BE49-F238E27FC236}">
              <a16:creationId xmlns:a16="http://schemas.microsoft.com/office/drawing/2014/main" id="{2BC21DBE-CF34-7701-4A49-9D676FE32E30}"/>
            </a:ext>
          </a:extLst>
        </xdr:cNvPr>
        <xdr:cNvSpPr/>
      </xdr:nvSpPr>
      <xdr:spPr>
        <a:xfrm>
          <a:off x="13782675" y="180975"/>
          <a:ext cx="1724025" cy="266700"/>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Averag</a:t>
          </a:r>
          <a:r>
            <a:rPr lang="en-US" sz="1100" b="1" baseline="0"/>
            <a:t>e Rating</a:t>
          </a:r>
          <a:endParaRPr lang="en-US" sz="1100" b="1"/>
        </a:p>
      </xdr:txBody>
    </xdr:sp>
    <xdr:clientData/>
  </xdr:twoCellAnchor>
  <xdr:twoCellAnchor editAs="oneCell">
    <xdr:from>
      <xdr:col>21</xdr:col>
      <xdr:colOff>295276</xdr:colOff>
      <xdr:row>1</xdr:row>
      <xdr:rowOff>142876</xdr:rowOff>
    </xdr:from>
    <xdr:to>
      <xdr:col>22</xdr:col>
      <xdr:colOff>197740</xdr:colOff>
      <xdr:row>4</xdr:row>
      <xdr:rowOff>83440</xdr:rowOff>
    </xdr:to>
    <xdr:pic>
      <xdr:nvPicPr>
        <xdr:cNvPr id="13" name="Graphic 12" descr="Star with solid fill">
          <a:extLst>
            <a:ext uri="{FF2B5EF4-FFF2-40B4-BE49-F238E27FC236}">
              <a16:creationId xmlns:a16="http://schemas.microsoft.com/office/drawing/2014/main" id="{E776FC22-4A02-BD0E-AF42-D73BD96C0E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96876" y="333376"/>
          <a:ext cx="512064" cy="512064"/>
        </a:xfrm>
        <a:prstGeom prst="rect">
          <a:avLst/>
        </a:prstGeom>
      </xdr:spPr>
    </xdr:pic>
    <xdr:clientData/>
  </xdr:twoCellAnchor>
  <xdr:twoCellAnchor editAs="oneCell">
    <xdr:from>
      <xdr:col>16</xdr:col>
      <xdr:colOff>531002</xdr:colOff>
      <xdr:row>1</xdr:row>
      <xdr:rowOff>178577</xdr:rowOff>
    </xdr:from>
    <xdr:to>
      <xdr:col>17</xdr:col>
      <xdr:colOff>433466</xdr:colOff>
      <xdr:row>4</xdr:row>
      <xdr:rowOff>119141</xdr:rowOff>
    </xdr:to>
    <xdr:pic>
      <xdr:nvPicPr>
        <xdr:cNvPr id="15" name="Graphic 14" descr="Truck with solid fill">
          <a:extLst>
            <a:ext uri="{FF2B5EF4-FFF2-40B4-BE49-F238E27FC236}">
              <a16:creationId xmlns:a16="http://schemas.microsoft.com/office/drawing/2014/main" id="{C6B137A2-55E7-A144-2417-54225FF84D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284602" y="369077"/>
          <a:ext cx="512064" cy="512064"/>
        </a:xfrm>
        <a:prstGeom prst="rect">
          <a:avLst/>
        </a:prstGeom>
      </xdr:spPr>
    </xdr:pic>
    <xdr:clientData/>
  </xdr:twoCellAnchor>
  <xdr:twoCellAnchor editAs="oneCell">
    <xdr:from>
      <xdr:col>12</xdr:col>
      <xdr:colOff>147601</xdr:colOff>
      <xdr:row>1</xdr:row>
      <xdr:rowOff>128551</xdr:rowOff>
    </xdr:from>
    <xdr:to>
      <xdr:col>13</xdr:col>
      <xdr:colOff>47625</xdr:colOff>
      <xdr:row>4</xdr:row>
      <xdr:rowOff>66675</xdr:rowOff>
    </xdr:to>
    <xdr:pic>
      <xdr:nvPicPr>
        <xdr:cNvPr id="17" name="Graphic 16" descr="Bar graph with upward trend with solid fill">
          <a:extLst>
            <a:ext uri="{FF2B5EF4-FFF2-40B4-BE49-F238E27FC236}">
              <a16:creationId xmlns:a16="http://schemas.microsoft.com/office/drawing/2014/main" id="{9D31B6F8-99D1-BA28-71B6-AEF6F450DA2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62801" y="319051"/>
          <a:ext cx="509624" cy="509624"/>
        </a:xfrm>
        <a:prstGeom prst="rect">
          <a:avLst/>
        </a:prstGeom>
      </xdr:spPr>
    </xdr:pic>
    <xdr:clientData/>
  </xdr:twoCellAnchor>
  <xdr:twoCellAnchor editAs="oneCell">
    <xdr:from>
      <xdr:col>19</xdr:col>
      <xdr:colOff>499482</xdr:colOff>
      <xdr:row>5</xdr:row>
      <xdr:rowOff>1096</xdr:rowOff>
    </xdr:from>
    <xdr:to>
      <xdr:col>22</xdr:col>
      <xdr:colOff>266241</xdr:colOff>
      <xdr:row>11</xdr:row>
      <xdr:rowOff>162622</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A6FD13DB-E626-428B-A193-30C536703E5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96581" y="953596"/>
              <a:ext cx="1580860" cy="128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11207</xdr:colOff>
      <xdr:row>5</xdr:row>
      <xdr:rowOff>8907</xdr:rowOff>
    </xdr:from>
    <xdr:to>
      <xdr:col>14</xdr:col>
      <xdr:colOff>396174</xdr:colOff>
      <xdr:row>11</xdr:row>
      <xdr:rowOff>151726</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A3B3E983-B830-4D17-BE6B-B5BC49DA5F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26407" y="961407"/>
              <a:ext cx="1604167" cy="1285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396409</xdr:colOff>
      <xdr:row>5</xdr:row>
      <xdr:rowOff>7512</xdr:rowOff>
    </xdr:from>
    <xdr:to>
      <xdr:col>17</xdr:col>
      <xdr:colOff>173225</xdr:colOff>
      <xdr:row>11</xdr:row>
      <xdr:rowOff>155299</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733B2912-165A-4A10-B06A-BB5C2FAAA0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36802" y="970714"/>
              <a:ext cx="1606901" cy="1303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148758</xdr:colOff>
      <xdr:row>5</xdr:row>
      <xdr:rowOff>1572</xdr:rowOff>
    </xdr:from>
    <xdr:to>
      <xdr:col>19</xdr:col>
      <xdr:colOff>507721</xdr:colOff>
      <xdr:row>11</xdr:row>
      <xdr:rowOff>155298</xdr:rowOff>
    </xdr:to>
    <mc:AlternateContent xmlns:mc="http://schemas.openxmlformats.org/markup-compatibility/2006" xmlns:a14="http://schemas.microsoft.com/office/drawing/2010/main">
      <mc:Choice Requires="a14">
        <xdr:graphicFrame macro="">
          <xdr:nvGraphicFramePr>
            <xdr:cNvPr id="21" name="OrderChannel 1">
              <a:extLst>
                <a:ext uri="{FF2B5EF4-FFF2-40B4-BE49-F238E27FC236}">
                  <a16:creationId xmlns:a16="http://schemas.microsoft.com/office/drawing/2014/main" id="{CEE35AAA-6F79-4865-AEF7-2F14F66F1A9F}"/>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10511958" y="954072"/>
              <a:ext cx="1578163" cy="1287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243933</xdr:colOff>
      <xdr:row>4</xdr:row>
      <xdr:rowOff>178521</xdr:rowOff>
    </xdr:from>
    <xdr:to>
      <xdr:col>26</xdr:col>
      <xdr:colOff>10353</xdr:colOff>
      <xdr:row>11</xdr:row>
      <xdr:rowOff>135785</xdr:rowOff>
    </xdr:to>
    <mc:AlternateContent xmlns:mc="http://schemas.openxmlformats.org/markup-compatibility/2006" xmlns:tsle="http://schemas.microsoft.com/office/drawing/2012/timeslicer">
      <mc:Choice Requires="tsle">
        <xdr:graphicFrame macro="">
          <xdr:nvGraphicFramePr>
            <xdr:cNvPr id="22" name="Order_date 1">
              <a:extLst>
                <a:ext uri="{FF2B5EF4-FFF2-40B4-BE49-F238E27FC236}">
                  <a16:creationId xmlns:a16="http://schemas.microsoft.com/office/drawing/2014/main" id="{4DF49CC6-F40E-4DFF-B30E-8CF4617518F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3696160" y="940521"/>
              <a:ext cx="2130649" cy="12907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76200</xdr:colOff>
      <xdr:row>5</xdr:row>
      <xdr:rowOff>31794</xdr:rowOff>
    </xdr:from>
    <xdr:to>
      <xdr:col>5</xdr:col>
      <xdr:colOff>495300</xdr:colOff>
      <xdr:row>26</xdr:row>
      <xdr:rowOff>19050</xdr:rowOff>
    </xdr:to>
    <xdr:graphicFrame macro="">
      <xdr:nvGraphicFramePr>
        <xdr:cNvPr id="23" name="Chart 22">
          <a:extLst>
            <a:ext uri="{FF2B5EF4-FFF2-40B4-BE49-F238E27FC236}">
              <a16:creationId xmlns:a16="http://schemas.microsoft.com/office/drawing/2014/main" id="{9517A5CB-D633-4EE0-B4F1-E155C5264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26</xdr:row>
      <xdr:rowOff>95250</xdr:rowOff>
    </xdr:from>
    <xdr:to>
      <xdr:col>11</xdr:col>
      <xdr:colOff>601579</xdr:colOff>
      <xdr:row>38</xdr:row>
      <xdr:rowOff>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869CC923-635C-46CA-B6E9-FCC23D9FB5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7150" y="5048250"/>
              <a:ext cx="7250029"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538369</xdr:colOff>
      <xdr:row>11</xdr:row>
      <xdr:rowOff>144375</xdr:rowOff>
    </xdr:from>
    <xdr:to>
      <xdr:col>26</xdr:col>
      <xdr:colOff>20707</xdr:colOff>
      <xdr:row>25</xdr:row>
      <xdr:rowOff>31060</xdr:rowOff>
    </xdr:to>
    <xdr:graphicFrame macro="">
      <xdr:nvGraphicFramePr>
        <xdr:cNvPr id="26" name="Chart 25">
          <a:extLst>
            <a:ext uri="{FF2B5EF4-FFF2-40B4-BE49-F238E27FC236}">
              <a16:creationId xmlns:a16="http://schemas.microsoft.com/office/drawing/2014/main" id="{4847E001-DE64-4E51-A8E4-A781922A3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31059</xdr:colOff>
      <xdr:row>11</xdr:row>
      <xdr:rowOff>146823</xdr:rowOff>
    </xdr:from>
    <xdr:to>
      <xdr:col>20</xdr:col>
      <xdr:colOff>534642</xdr:colOff>
      <xdr:row>25</xdr:row>
      <xdr:rowOff>10353</xdr:rowOff>
    </xdr:to>
    <xdr:graphicFrame macro="">
      <xdr:nvGraphicFramePr>
        <xdr:cNvPr id="27" name="Chart 26">
          <a:extLst>
            <a:ext uri="{FF2B5EF4-FFF2-40B4-BE49-F238E27FC236}">
              <a16:creationId xmlns:a16="http://schemas.microsoft.com/office/drawing/2014/main" id="{EECA424C-F879-4FD6-AB73-6123AF63D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581025</xdr:colOff>
      <xdr:row>4</xdr:row>
      <xdr:rowOff>171451</xdr:rowOff>
    </xdr:from>
    <xdr:to>
      <xdr:col>11</xdr:col>
      <xdr:colOff>600075</xdr:colOff>
      <xdr:row>26</xdr:row>
      <xdr:rowOff>28575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9CD0C07D-C4F8-4CDE-AACA-A641177B1E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3629025" y="933451"/>
              <a:ext cx="3676650" cy="40481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68422</xdr:colOff>
      <xdr:row>23</xdr:row>
      <xdr:rowOff>95250</xdr:rowOff>
    </xdr:from>
    <xdr:to>
      <xdr:col>16</xdr:col>
      <xdr:colOff>581026</xdr:colOff>
      <xdr:row>37</xdr:row>
      <xdr:rowOff>164794</xdr:rowOff>
    </xdr:to>
    <xdr:graphicFrame macro="">
      <xdr:nvGraphicFramePr>
        <xdr:cNvPr id="35" name="Chart 34">
          <a:extLst>
            <a:ext uri="{FF2B5EF4-FFF2-40B4-BE49-F238E27FC236}">
              <a16:creationId xmlns:a16="http://schemas.microsoft.com/office/drawing/2014/main" id="{709B04A3-2C1C-439C-B504-2C67B146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123825</xdr:colOff>
      <xdr:row>12</xdr:row>
      <xdr:rowOff>152400</xdr:rowOff>
    </xdr:from>
    <xdr:to>
      <xdr:col>16</xdr:col>
      <xdr:colOff>476250</xdr:colOff>
      <xdr:row>16</xdr:row>
      <xdr:rowOff>57150</xdr:rowOff>
    </xdr:to>
    <xdr:sp macro="" textlink="">
      <xdr:nvSpPr>
        <xdr:cNvPr id="38" name="Rectangle: Beveled 37">
          <a:hlinkClick xmlns:r="http://schemas.openxmlformats.org/officeDocument/2006/relationships" r:id="rId13"/>
          <a:extLst>
            <a:ext uri="{FF2B5EF4-FFF2-40B4-BE49-F238E27FC236}">
              <a16:creationId xmlns:a16="http://schemas.microsoft.com/office/drawing/2014/main" id="{543A5F4D-8741-6397-C1E1-3180975C8A40}"/>
            </a:ext>
          </a:extLst>
        </xdr:cNvPr>
        <xdr:cNvSpPr/>
      </xdr:nvSpPr>
      <xdr:spPr>
        <a:xfrm>
          <a:off x="7439025" y="2438400"/>
          <a:ext cx="2790825" cy="66675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Data</a:t>
          </a:r>
        </a:p>
      </xdr:txBody>
    </xdr:sp>
    <xdr:clientData/>
  </xdr:twoCellAnchor>
  <xdr:twoCellAnchor>
    <xdr:from>
      <xdr:col>12</xdr:col>
      <xdr:colOff>133350</xdr:colOff>
      <xdr:row>17</xdr:row>
      <xdr:rowOff>95249</xdr:rowOff>
    </xdr:from>
    <xdr:to>
      <xdr:col>16</xdr:col>
      <xdr:colOff>476250</xdr:colOff>
      <xdr:row>20</xdr:row>
      <xdr:rowOff>190499</xdr:rowOff>
    </xdr:to>
    <xdr:sp macro="" textlink="">
      <xdr:nvSpPr>
        <xdr:cNvPr id="39" name="Rectangle: Beveled 38">
          <a:hlinkClick xmlns:r="http://schemas.openxmlformats.org/officeDocument/2006/relationships" r:id="rId14"/>
          <a:extLst>
            <a:ext uri="{FF2B5EF4-FFF2-40B4-BE49-F238E27FC236}">
              <a16:creationId xmlns:a16="http://schemas.microsoft.com/office/drawing/2014/main" id="{4F699798-2E18-A438-CC22-D6BD1E3D447A}"/>
            </a:ext>
          </a:extLst>
        </xdr:cNvPr>
        <xdr:cNvSpPr/>
      </xdr:nvSpPr>
      <xdr:spPr>
        <a:xfrm>
          <a:off x="7448550" y="3333749"/>
          <a:ext cx="2781300" cy="666750"/>
        </a:xfrm>
        <a:prstGeom prst="beve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KPI's</a:t>
          </a:r>
        </a:p>
      </xdr:txBody>
    </xdr:sp>
    <xdr:clientData/>
  </xdr:twoCellAnchor>
  <xdr:twoCellAnchor>
    <xdr:from>
      <xdr:col>0</xdr:col>
      <xdr:colOff>57150</xdr:colOff>
      <xdr:row>0</xdr:row>
      <xdr:rowOff>76201</xdr:rowOff>
    </xdr:from>
    <xdr:to>
      <xdr:col>11</xdr:col>
      <xdr:colOff>600075</xdr:colOff>
      <xdr:row>4</xdr:row>
      <xdr:rowOff>90237</xdr:rowOff>
    </xdr:to>
    <xdr:sp macro="" textlink="">
      <xdr:nvSpPr>
        <xdr:cNvPr id="7" name="Rectangle 6">
          <a:extLst>
            <a:ext uri="{FF2B5EF4-FFF2-40B4-BE49-F238E27FC236}">
              <a16:creationId xmlns:a16="http://schemas.microsoft.com/office/drawing/2014/main" id="{47EF45BF-E8F0-6F69-747A-EEAD519A09C6}"/>
            </a:ext>
          </a:extLst>
        </xdr:cNvPr>
        <xdr:cNvSpPr/>
      </xdr:nvSpPr>
      <xdr:spPr>
        <a:xfrm>
          <a:off x="57150" y="76201"/>
          <a:ext cx="7270583" cy="77603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3600" b="1"/>
            <a:t>Sales Analysis</a:t>
          </a:r>
          <a:r>
            <a:rPr lang="en-US" sz="3600" b="1" baseline="0"/>
            <a:t> Dashboard 2026</a:t>
          </a:r>
          <a:endParaRPr lang="en-US" sz="3600" b="1"/>
        </a:p>
      </xdr:txBody>
    </xdr:sp>
    <xdr:clientData/>
  </xdr:twoCellAnchor>
  <xdr:twoCellAnchor editAs="oneCell">
    <xdr:from>
      <xdr:col>11</xdr:col>
      <xdr:colOff>0</xdr:colOff>
      <xdr:row>58</xdr:row>
      <xdr:rowOff>0</xdr:rowOff>
    </xdr:from>
    <xdr:to>
      <xdr:col>12</xdr:col>
      <xdr:colOff>104775</xdr:colOff>
      <xdr:row>61</xdr:row>
      <xdr:rowOff>142875</xdr:rowOff>
    </xdr:to>
    <xdr:pic>
      <xdr:nvPicPr>
        <xdr:cNvPr id="12" name="Graphic 11" descr="Statistics with solid fill">
          <a:extLst>
            <a:ext uri="{FF2B5EF4-FFF2-40B4-BE49-F238E27FC236}">
              <a16:creationId xmlns:a16="http://schemas.microsoft.com/office/drawing/2014/main" id="{88AB4E9B-CBFA-B432-03D1-EB3805D9726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705600" y="11049000"/>
          <a:ext cx="714375" cy="714375"/>
        </a:xfrm>
        <a:prstGeom prst="rect">
          <a:avLst/>
        </a:prstGeom>
      </xdr:spPr>
    </xdr:pic>
    <xdr:clientData/>
  </xdr:twoCellAnchor>
  <xdr:twoCellAnchor>
    <xdr:from>
      <xdr:col>17</xdr:col>
      <xdr:colOff>134591</xdr:colOff>
      <xdr:row>25</xdr:row>
      <xdr:rowOff>72473</xdr:rowOff>
    </xdr:from>
    <xdr:to>
      <xdr:col>25</xdr:col>
      <xdr:colOff>569429</xdr:colOff>
      <xdr:row>37</xdr:row>
      <xdr:rowOff>176005</xdr:rowOff>
    </xdr:to>
    <xdr:graphicFrame macro="">
      <xdr:nvGraphicFramePr>
        <xdr:cNvPr id="8" name="Chart 7">
          <a:extLst>
            <a:ext uri="{FF2B5EF4-FFF2-40B4-BE49-F238E27FC236}">
              <a16:creationId xmlns:a16="http://schemas.microsoft.com/office/drawing/2014/main" id="{64BEA970-822C-48EC-A7C6-9BCC55E7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4884257" backgroundQuery="1" createdVersion="8" refreshedVersion="8" minRefreshableVersion="3" recordCount="0" supportSubquery="1" supportAdvancedDrill="1" xr:uid="{815AE383-2866-46BE-84FC-3B76CDB80AC0}">
  <cacheSource type="external" connectionId="1"/>
  <cacheFields count="3">
    <cacheField name="[Range].[Order_date (Month)].[Order_date (Month)]" caption="Order_date (Month)" numFmtId="0" hierarchy="26" level="1">
      <sharedItems count="9">
        <s v="Jan"/>
        <s v="Feb"/>
        <s v="Mar"/>
        <s v="Apr"/>
        <s v="May"/>
        <s v="Jun"/>
        <s v="Jul"/>
        <s v="Aug"/>
        <s v="Sep"/>
      </sharedItems>
    </cacheField>
    <cacheField name="[Measures].[Sum of TotalAmount]" caption="Sum of TotalAmount" numFmtId="0" hierarchy="30"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2" memberValueDatatype="130" unbalanced="0"/>
    <cacheHierarchy uniqueName="[Range].[Brand]" caption="Brand" attribute="1" defaultMemberUniqueName="[Range].[Brand].[All]" allUniqueName="[Range].[Bran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20" unbalanced="0"/>
    <cacheHierarchy uniqueName="[Range].[Discount]" caption="Discount" attribute="1" defaultMemberUniqueName="[Range].[Discount].[All]" allUniqueName="[Range].[Discount].[All]" dimensionUniqueName="[Range]" displayFolder="" count="2" memberValueDatatype="5" unbalanced="0"/>
    <cacheHierarchy uniqueName="[Range].[DiscountAmount]" caption="DiscountAmount" attribute="1" defaultMemberUniqueName="[Range].[DiscountAmount].[All]" allUniqueName="[Range].[DiscountAmount].[All]" dimensionUniqueName="[Range]" displayFolder="" count="2" memberValueDatatype="20" unbalanced="0"/>
    <cacheHierarchy uniqueName="[Range].[Tax]" caption="Tax" attribute="1" defaultMemberUniqueName="[Range].[Tax].[All]" allUniqueName="[Range].[Tax].[All]" dimensionUniqueName="[Range]" displayFolder="" count="2" memberValueDatatype="5" unbalanced="0"/>
    <cacheHierarchy uniqueName="[Range].[shippingCost]" caption="shippingCost" attribute="1" defaultMemberUniqueName="[Range].[shippingCost].[All]" allUniqueName="[Range].[shippingCost].[All]" dimensionUniqueName="[Range]" displayFolder="" count="2" memberValueDatatype="20" unbalanced="0"/>
    <cacheHierarchy uniqueName="[Range].[TotalAmount]" caption="TotalAmount" attribute="1" defaultMemberUniqueName="[Range].[TotalAmount].[All]" allUniqueName="[Range].[TotalAmount].[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2" memberValueDatatype="20" unbalanced="0"/>
    <cacheHierarchy uniqueName="[Range].[ReturnStatus]" caption="ReturnStatus" attribute="1" defaultMemberUniqueName="[Range].[ReturnStatus].[All]" allUniqueName="[Range].[ReturnStatus].[All]" dimensionUniqueName="[Range]" displayFolder="" count="2" memberValueDatatype="130" unbalanced="0"/>
    <cacheHierarchy uniqueName="[Range].[Rating]" caption="Rating" attribute="1" defaultMemberUniqueName="[Range].[Rating].[All]" allUniqueName="[Range].[Rating].[All]" dimensionUniqueName="[Range]" displayFolder="" count="2" memberValueDatatype="20" unbalanced="0"/>
    <cacheHierarchy uniqueName="[Range].[Status]" caption="Status" attribute="1" defaultMemberUniqueName="[Range].[Status].[All]" allUniqueName="[Range].[Status].[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0"/>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5810188" backgroundQuery="1" createdVersion="8" refreshedVersion="8" minRefreshableVersion="3" recordCount="0" supportSubquery="1" supportAdvancedDrill="1" xr:uid="{8C98B7DD-E5D9-48A3-95B1-31010FF6357B}">
  <cacheSource type="external" connectionId="1"/>
  <cacheFields count="3">
    <cacheField name="[Measures].[Sum of TotalAmount]" caption="Sum of TotalAmount" numFmtId="0" hierarchy="30" level="32767"/>
    <cacheField name="[Range].[Brand].[Brand]" caption="Brand" numFmtId="0" hierarchy="9" level="1">
      <sharedItems count="33">
        <s v="Acer"/>
        <s v="Adidas"/>
        <s v="Agaro"/>
        <s v="American Tourister"/>
        <s v="Apple"/>
        <s v="Bajaj"/>
        <s v="Boat"/>
        <s v="Cello"/>
        <s v="Dell"/>
        <s v="Fire-Boltt"/>
        <s v="Green Soul"/>
        <s v="HP"/>
        <s v="Ikea"/>
        <s v="JBL"/>
        <s v="Lee"/>
        <s v="Lenovo"/>
        <s v="Levis"/>
        <s v="Nike"/>
        <s v="Nilkamal"/>
        <s v="Noise"/>
        <s v="OnePlus"/>
        <s v="Pepe Jeans"/>
        <s v="Philips"/>
        <s v="Prestige"/>
        <s v="Puma"/>
        <s v="Samsung"/>
        <s v="Skechers"/>
        <s v="Skybags"/>
        <s v="Sony"/>
        <s v="Vivo"/>
        <s v="Wakefit"/>
        <s v="Wildcraft"/>
        <s v="Wrangler"/>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6157404" backgroundQuery="1" createdVersion="8" refreshedVersion="8" minRefreshableVersion="3" recordCount="0" supportSubquery="1" supportAdvancedDrill="1" xr:uid="{A29ADF08-2FC9-483B-B96A-064E184347A7}">
  <cacheSource type="external" connectionId="1"/>
  <cacheFields count="2">
    <cacheField name="[Measures].[Average of DeliveryDays]" caption="Average of DeliveryDays" numFmtId="0" hierarchy="32"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6620374" backgroundQuery="1" createdVersion="8" refreshedVersion="8" minRefreshableVersion="3" recordCount="0" supportSubquery="1" supportAdvancedDrill="1" xr:uid="{608EFB6A-8BBF-4492-BEE5-1255E0D20393}">
  <cacheSource type="external" connectionId="1"/>
  <cacheFields count="2">
    <cacheField name="[Measures].[Sum of TotalAmount]" caption="Sum of TotalAmount" numFmtId="0" hierarchy="30" level="32767"/>
    <cacheField name="[Range].[OrderChannel].[OrderChannel]" caption="OrderChannel" numFmtId="0" hierarchy="18" level="1">
      <sharedItems count="4">
        <s v="Marketplace"/>
        <s v="Mobile App"/>
        <s v="Store"/>
        <s v="Website"/>
      </sharedItems>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7430559" backgroundQuery="1" createdVersion="8" refreshedVersion="8" minRefreshableVersion="3" recordCount="0" supportSubquery="1" supportAdvancedDrill="1" xr:uid="{3E32D47F-75F0-44B0-84B3-3BBE1009AE0E}">
  <cacheSource type="external" connectionId="1"/>
  <cacheFields count="3">
    <cacheField name="[Measures].[Sum of TotalAmount]" caption="Sum of TotalAmount" numFmtId="0" hierarchy="30" level="32767"/>
    <cacheField name="[Range].[PaymentMethod].[PaymentMethod]" caption="PaymentMethod" numFmtId="0" hierarchy="17" level="1">
      <sharedItems count="5">
        <s v="Cash on Delivery"/>
        <s v="Credit Card"/>
        <s v="Debit Card"/>
        <s v="Net Banking"/>
        <s v="UPI"/>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7777775" backgroundQuery="1" createdVersion="8" refreshedVersion="8" minRefreshableVersion="3" recordCount="0" supportSubquery="1" supportAdvancedDrill="1" xr:uid="{6734035A-DC11-4023-86CE-A35E98B48FC5}">
  <cacheSource type="external" connectionId="1"/>
  <cacheFields count="2">
    <cacheField name="[Measures].[Average of Rating]" caption="Average of Rating" numFmtId="0" hierarchy="34"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8472221" backgroundQuery="1" createdVersion="8" refreshedVersion="8" minRefreshableVersion="3" recordCount="0" supportSubquery="1" supportAdvancedDrill="1" xr:uid="{DFAC6921-C25A-40CF-9D11-6611077D047F}">
  <cacheSource type="external" connectionId="1"/>
  <cacheFields count="3">
    <cacheField name="[Measures].[Sum of TotalAmount]" caption="Sum of TotalAmount" numFmtId="0" hierarchy="30" level="32767"/>
    <cacheField name="[Range].[Product].[Product]" caption="Product" numFmtId="0" hierarchy="6" level="1">
      <sharedItems count="12">
        <s v="Air Fryer"/>
        <s v="Backpack"/>
        <s v="Headphones"/>
        <s v="Jeans"/>
        <s v="Laptop"/>
        <s v="Mixer Grinder"/>
        <s v="Office Chair"/>
        <s v="Shoes"/>
        <s v="Smartphone"/>
        <s v="Smartwatch"/>
        <s v="Table"/>
        <s v="T-Shirt"/>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29166668" backgroundQuery="1" createdVersion="8" refreshedVersion="8" minRefreshableVersion="3" recordCount="0" supportSubquery="1" supportAdvancedDrill="1" xr:uid="{21A173AE-1A85-4D71-A2A3-7216E745E4FF}">
  <cacheSource type="external" connectionId="1"/>
  <cacheFields count="3">
    <cacheField name="[Measures].[Sum of TotalAmount]" caption="Sum of TotalAmount" numFmtId="0" hierarchy="30" level="32767"/>
    <cacheField name="[Range].[ReturnStatus].[ReturnStatus]" caption="ReturnStatus" numFmtId="0" hierarchy="23" level="1">
      <sharedItems count="3">
        <s v="Exchange"/>
        <s v="Not Returned"/>
        <s v="Returned"/>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30092592" backgroundQuery="1" createdVersion="8" refreshedVersion="8" minRefreshableVersion="3" recordCount="0" supportSubquery="1" supportAdvancedDrill="1" xr:uid="{7FC731CB-9AC5-47EE-B87A-C6B59F2C63B9}">
  <cacheSource type="external" connectionId="1"/>
  <cacheFields count="3">
    <cacheField name="[Measures].[Sum of TotalAmount]" caption="Sum of TotalAmount" numFmtId="0" hierarchy="30" level="32767"/>
    <cacheField name="[Range].[State].[State]" caption="State" numFmtId="0" hierarchy="20" level="1">
      <sharedItems count="11">
        <s v="Assam"/>
        <s v="Delhi"/>
        <s v="Karnataka"/>
        <s v="Kerala"/>
        <s v="Maharashtra"/>
        <s v="Odisha"/>
        <s v="Rajasthan"/>
        <s v="Tamil Nadu"/>
        <s v="Telangana"/>
        <s v="Uttar Pradesh"/>
        <s v="West Bengal"/>
      </sharedItems>
    </cacheField>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3.615730555553" backgroundQuery="1" createdVersion="8" refreshedVersion="8" minRefreshableVersion="3" recordCount="0" supportSubquery="1" supportAdvancedDrill="1" xr:uid="{0A0C8AC7-0661-42E2-B47A-6D06B809F015}">
  <cacheSource type="external" connectionId="1"/>
  <cacheFields count="2">
    <cacheField name="[Measures].[Sum of TotalAmount]" caption="Sum of TotalAmount" numFmtId="0" hierarchy="30" level="32767"/>
    <cacheField name="[Range].[OrderChannel].[OrderChannel]" caption="OrderChannel" numFmtId="0" hierarchy="18" level="1">
      <sharedItems containsSemiMixedTypes="0" containsNonDate="0" containsString="0"/>
    </cacheField>
  </cacheFields>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2.95579537037" backgroundQuery="1" createdVersion="3" refreshedVersion="8" minRefreshableVersion="3" recordCount="0" supportSubquery="1" supportAdvancedDrill="1" xr:uid="{3A90418B-E079-464A-AAB8-3DFA2DB0AF14}">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59096478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72.956177199078" backgroundQuery="1" createdVersion="3" refreshedVersion="8" minRefreshableVersion="3" recordCount="0" supportSubquery="1" supportAdvancedDrill="1" xr:uid="{00EE014E-DCAB-45D6-9DD8-C2E4966CCE12}">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DiscountAmount]" caption="DiscountAmount" attribute="1" defaultMemberUniqueName="[Range].[DiscountAmount].[All]" allUniqueName="[Range].[DiscountAmount].[All]" dimensionUniqueName="[Range]" displayFolder="" count="0" memberValueDatatype="20" unbalanced="0"/>
    <cacheHierarchy uniqueName="[Range].[Tax]" caption="Tax" attribute="1" defaultMemberUniqueName="[Range].[Tax].[All]" allUniqueName="[Range].[Tax].[All]" dimensionUniqueName="[Range]" displayFolder="" count="0" memberValueDatatype="5" unbalanced="0"/>
    <cacheHierarchy uniqueName="[Range].[shippingCost]" caption="shippingCost" attribute="1" defaultMemberUniqueName="[Range].[shippingCost].[All]" allUniqueName="[Range].[shippingCost].[All]" dimensionUniqueName="[Range]" displayFolder="" count="0" memberValueDatatype="20" unbalanced="0"/>
    <cacheHierarchy uniqueName="[Range].[TotalAmount]" caption="TotalAmount" attribute="1" defaultMemberUniqueName="[Range].[TotalAmount].[All]" allUniqueName="[Range].[TotalAmount].[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OrderChannel]" caption="OrderChannel" attribute="1" defaultMemberUniqueName="[Range].[OrderChannel].[All]" allUniqueName="[Range].[OrderChannel].[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DeliveryDays]" caption="DeliveryDays" attribute="1" defaultMemberUniqueName="[Range].[DeliveryDays].[All]" allUniqueName="[Range].[DeliveryDays].[All]" dimensionUniqueName="[Range]" displayFolder="" count="0" memberValueDatatype="20" unbalanced="0"/>
    <cacheHierarchy uniqueName="[Range].[ReturnStatus]" caption="ReturnStatus" attribute="1" defaultMemberUniqueName="[Range].[ReturnStatus].[All]" allUniqueName="[Range].[ReturnStatus].[All]" dimensionUniqueName="[Range]" displayFolder="" count="0" memberValueDatatype="130" unbalanced="0"/>
    <cacheHierarchy uniqueName="[Range].[Rating]" caption="Rating" attribute="1" defaultMemberUniqueName="[Range].[Rating].[All]" allUniqueName="[Range].[Rating].[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Amount]" caption="Sum of TotalAmount" measure="1" displayFolder="" measureGroup="Range"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Range"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Range"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8097664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10A54-C7BE-4DA2-8ADD-B449D28E6119}" name="State"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T3:U14"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1">
    <i>
      <x/>
    </i>
    <i>
      <x v="1"/>
    </i>
    <i>
      <x v="2"/>
    </i>
    <i>
      <x v="3"/>
    </i>
    <i>
      <x v="4"/>
    </i>
    <i>
      <x v="5"/>
    </i>
    <i>
      <x v="6"/>
    </i>
    <i>
      <x v="7"/>
    </i>
    <i>
      <x v="8"/>
    </i>
    <i>
      <x v="9"/>
    </i>
    <i>
      <x v="10"/>
    </i>
  </rowItems>
  <colItems count="1">
    <i/>
  </colItems>
  <dataFields count="1">
    <dataField name="Sum of TotalAmount" fld="0" showDataAs="percentOfTotal" baseField="0" baseItem="0" numFmtId="10"/>
  </dataFields>
  <formats count="1">
    <format dxfId="0">
      <pivotArea outline="0" fieldPosition="0">
        <references count="1">
          <reference field="4294967294" count="1">
            <x v="0"/>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3CA0A-583A-4D8E-BB1E-BEE714D16DD2}" name="Return statu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W3:X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Amount" fld="0" showDataAs="percentOfTotal" baseField="0" baseItem="0" numFmtId="10"/>
  </dataFields>
  <formats count="1">
    <format dxfId="1">
      <pivotArea outline="0" fieldPosition="0">
        <references count="1">
          <reference field="4294967294" count="1">
            <x v="0"/>
          </reference>
        </references>
      </pivotArea>
    </format>
  </formats>
  <chartFormats count="1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0E328-05A9-4128-917A-2417CA775F49}" name="Order channel"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Q3:R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Amount" fld="0" showDataAs="percentOfTotal" baseField="0" baseItem="0" numFmtId="10"/>
  </dataFields>
  <formats count="1">
    <format dxfId="2">
      <pivotArea outline="0" fieldPosition="0">
        <references count="1">
          <reference field="4294967294" count="1">
            <x v="0"/>
          </reference>
        </references>
      </pivotArea>
    </format>
  </formats>
  <chartFormats count="10">
    <chartFormat chart="2"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3B20B4-6C02-47D4-8B92-29234C40E7FE}" name="Total sales"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A3:A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1">
    <format dxfId="3">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D30611-E896-4E08-B3CC-E154AAF721CA}" name="Delivery Days"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C3:A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numFmtId="2"/>
  </dataFields>
  <formats count="1">
    <format dxfId="4">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D93BC2-675E-4EDB-B9AC-454E9097645E}" name="Paymenr Metho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M3:N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Amount" fld="0" showDataAs="percentOfTotal" baseField="0" baseItem="0" numFmtId="10"/>
  </dataFields>
  <formats count="1">
    <format dxfId="5">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47A4D3-DC3E-4095-9C98-42D3C8413E57}" name="Brand"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I3:J37" firstHeaderRow="1" firstDataRow="1" firstDataCol="1"/>
  <pivotFields count="3">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TotalAmount" fld="0" showDataAs="percentOfTotal" baseField="0" baseItem="0" numFmtId="10"/>
  </dataFields>
  <formats count="1">
    <format dxfId="6">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60E7A6-B251-44BE-87CF-4B15E8605CAA}" name="Product"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3:F15"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TotalAmount" fld="0" showDataAs="percentOfTotal" baseField="0" baseItem="0" numFmtId="10"/>
  </dataFields>
  <formats count="1">
    <format dxfId="7">
      <pivotArea outline="0" fieldPosition="0">
        <references count="1">
          <reference field="4294967294" count="1">
            <x v="0"/>
          </reference>
        </references>
      </pivotArea>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3FC7EC-0C33-4251-8B33-8166ECA8ECEB}" name="PivotTable1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E3:A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1">
    <format dxfId="8">
      <pivotArea outline="0" collapsedLevelsAreSubtotals="1" fieldPosition="0"/>
    </format>
  </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6D54B7-34C3-4313-AEA1-95AAE14E7730}" name="Month"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A3:B13" firstHeaderRow="1" firstDataRow="1" firstDataCol="1"/>
  <pivotFields count="3">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TotalAmount" fld="1" showDataAs="percentOfTotal" baseField="0" baseItem="0" numFmtId="10"/>
  </dataFields>
  <formats count="2">
    <format dxfId="10">
      <pivotArea collapsedLevelsAreSubtotals="1" fieldPosition="0">
        <references count="1">
          <reference field="0" count="0"/>
        </references>
      </pivotArea>
    </format>
    <format dxfId="9">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Z$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B0A483-3112-4EDA-A366-0A57F0CE9145}" sourceName="[Range].[Category]">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Category].[(All)]" sourceCaption="(All)" count="0"/>
        <level uniqueName="[Range].[Category].[Category]" sourceCaption="Category" count="4">
          <ranges>
            <range startItem="0">
              <i n="[Range].[Category].&amp;[Electronics]" c="Electronics"/>
              <i n="[Range].[Category].&amp;[Fashion]" c="Fashion"/>
              <i n="[Range].[Category].&amp;[Furniture]" c="Furniture"/>
              <i n="[Range].[Category].&amp;[Home Appliances]" c="Home Appliances"/>
            </range>
          </ranges>
        </level>
      </levels>
      <selections count="1">
        <selection n="[Rang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43A2E3-D28C-48E3-8BA1-F7CA34D68CA0}" sourceName="[Range].[Gender]">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2E8E97-1B07-4AB4-A112-C4ED1CB4997B}" sourceName="[Range].[region]">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A4C8FDB8-05D1-4BEE-84B9-C9E40603716D}" sourceName="[Range].[OrderChannel]">
  <pivotTables>
    <pivotTable tabId="3" name="Month"/>
    <pivotTable tabId="3" name="Brand"/>
    <pivotTable tabId="3" name="Delivery Days"/>
    <pivotTable tabId="3" name="Order channel"/>
    <pivotTable tabId="3" name="Paymenr Method"/>
    <pivotTable tabId="3" name="PivotTable11"/>
    <pivotTable tabId="3" name="Product"/>
    <pivotTable tabId="3" name="Return status"/>
    <pivotTable tabId="3" name="State"/>
    <pivotTable tabId="3" name="Total sales"/>
  </pivotTables>
  <data>
    <olap pivotCacheId="1590964784">
      <levels count="2">
        <level uniqueName="[Range].[OrderChannel].[(All)]" sourceCaption="(All)" count="0"/>
        <level uniqueName="[Range].[OrderChannel].[OrderChannel]" sourceCaption="OrderChannel" count="4">
          <ranges>
            <range startItem="0">
              <i n="[Range].[OrderChannel].&amp;[Marketplace]" c="Marketplace"/>
              <i n="[Range].[OrderChannel].&amp;[Mobile App]" c="Mobile App"/>
              <i n="[Range].[OrderChannel].&amp;[Store]" c="Store"/>
              <i n="[Range].[OrderChannel].&amp;[Website]" c="Website"/>
            </range>
          </ranges>
        </level>
      </levels>
      <selections count="1">
        <selection n="[Range].[Order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4123E5-4B82-4B6F-8228-B0AE30932458}" cache="Slicer_Category" caption="Category" level="1" rowHeight="241300"/>
  <slicer name="Gender" xr10:uid="{C82BB9D7-13AD-4E74-9246-A78D80AA5965}" cache="Slicer_Gender" caption="Gender" level="1" rowHeight="241300"/>
  <slicer name="region" xr10:uid="{C1FAD316-66AF-428F-93A3-18EE81CC1D8B}" cache="Slicer_region" caption="region" level="1" rowHeight="241300"/>
  <slicer name="OrderChannel" xr10:uid="{2EB45875-D359-4F80-A8AF-947C3047C142}" cache="Slicer_OrderChannel" caption="OrderChannel"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3982987-E6EE-4D29-8F19-09A207D02D17}" cache="Slicer_Category" caption="Category" startItem="1" level="1" style="SlicerStyleDark5" rowHeight="241300"/>
  <slicer name="Gender 1" xr10:uid="{62490213-6DD4-489A-9F83-CBBCD3AE40D6}" cache="Slicer_Gender" caption="Gender" level="1" style="SlicerStyleDark5" rowHeight="241300"/>
  <slicer name="region 1" xr10:uid="{1F78176F-25D6-452F-9CB1-206432741AEF}" cache="Slicer_region" caption="region" level="1" style="SlicerStyleDark5" rowHeight="241300"/>
  <slicer name="OrderChannel 1" xr10:uid="{3F6C8633-AAE0-4EEA-8ADF-C873C6BF2B8D}" cache="Slicer_OrderChannel" caption="OrderChannel" startItem="1"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6D82B96-F67A-4CBF-B005-F9E2500A1197}" sourceName="[Range].[Order_date]">
  <pivotTables>
    <pivotTable tabId="3" name="Month"/>
  </pivotTables>
  <state minimalRefreshVersion="6" lastRefreshVersion="6" pivotCacheId="80976640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EC37F06-421F-4C2F-AAB1-6CB592FD97CC}" cache="Timeline_Order_date" caption="Order_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0BA883F-E6CC-4B84-88F3-8B47712137DA}" cache="Timeline_Order_date" caption="Order_date" level="2" selectionLevel="2" scrollPosition="2026-01-01T00:00:00" style="TimeSlicerStyleLight5"/>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DED5-99A4-4B28-A3C5-1295041113FD}">
  <dimension ref="A2:AE37"/>
  <sheetViews>
    <sheetView tabSelected="1" topLeftCell="I1" zoomScale="81" zoomScaleNormal="10" workbookViewId="0">
      <selection activeCell="S26" sqref="S26"/>
    </sheetView>
  </sheetViews>
  <sheetFormatPr defaultRowHeight="15" x14ac:dyDescent="0.25"/>
  <cols>
    <col min="1" max="1" width="13.85546875" bestFit="1" customWidth="1"/>
    <col min="2" max="2" width="19.5703125" bestFit="1" customWidth="1"/>
    <col min="5" max="5" width="14.42578125" bestFit="1" customWidth="1"/>
    <col min="6" max="6" width="19.5703125" bestFit="1" customWidth="1"/>
    <col min="9" max="9" width="19.7109375" bestFit="1" customWidth="1"/>
    <col min="10" max="10" width="19.5703125" bestFit="1" customWidth="1"/>
    <col min="13" max="13" width="17.28515625" bestFit="1" customWidth="1"/>
    <col min="14" max="14" width="19.5703125" bestFit="1" customWidth="1"/>
    <col min="17" max="17" width="13.85546875" bestFit="1" customWidth="1"/>
    <col min="18" max="18" width="19.5703125" bestFit="1" customWidth="1"/>
    <col min="20" max="20" width="14.42578125" bestFit="1" customWidth="1"/>
    <col min="21" max="21" width="19.5703125" bestFit="1" customWidth="1"/>
    <col min="23" max="23" width="14.140625" bestFit="1" customWidth="1"/>
    <col min="24" max="24" width="19.5703125" bestFit="1" customWidth="1"/>
    <col min="27" max="27" width="19.5703125" bestFit="1" customWidth="1"/>
    <col min="29" max="29" width="19.42578125" bestFit="1" customWidth="1"/>
    <col min="31" max="31" width="17.140625" bestFit="1" customWidth="1"/>
  </cols>
  <sheetData>
    <row r="2" spans="1:31" x14ac:dyDescent="0.25">
      <c r="AA2" s="13">
        <f>AA4</f>
        <v>10366526.25</v>
      </c>
      <c r="AC2" s="11">
        <f>AC4</f>
        <v>5.21</v>
      </c>
      <c r="AE2" s="11">
        <f>AE4</f>
        <v>2.7749999999999999</v>
      </c>
    </row>
    <row r="3" spans="1:31" x14ac:dyDescent="0.25">
      <c r="A3" s="6" t="s">
        <v>531</v>
      </c>
      <c r="B3" t="s">
        <v>542</v>
      </c>
      <c r="E3" s="6" t="s">
        <v>531</v>
      </c>
      <c r="F3" t="s">
        <v>542</v>
      </c>
      <c r="I3" s="6" t="s">
        <v>531</v>
      </c>
      <c r="J3" t="s">
        <v>542</v>
      </c>
      <c r="M3" s="6" t="s">
        <v>531</v>
      </c>
      <c r="N3" t="s">
        <v>542</v>
      </c>
      <c r="Q3" s="6" t="s">
        <v>531</v>
      </c>
      <c r="R3" t="s">
        <v>542</v>
      </c>
      <c r="T3" s="6" t="s">
        <v>531</v>
      </c>
      <c r="U3" t="s">
        <v>542</v>
      </c>
      <c r="W3" s="6" t="s">
        <v>531</v>
      </c>
      <c r="X3" t="s">
        <v>542</v>
      </c>
      <c r="AA3" t="s">
        <v>542</v>
      </c>
      <c r="AC3" t="s">
        <v>543</v>
      </c>
      <c r="AE3" t="s">
        <v>544</v>
      </c>
    </row>
    <row r="4" spans="1:31" x14ac:dyDescent="0.25">
      <c r="A4" s="7" t="s">
        <v>533</v>
      </c>
      <c r="B4" s="10">
        <v>0.1708377866693773</v>
      </c>
      <c r="E4" s="7" t="s">
        <v>55</v>
      </c>
      <c r="F4" s="10">
        <v>4.3261868940909685E-2</v>
      </c>
      <c r="I4" s="7" t="s">
        <v>218</v>
      </c>
      <c r="J4" s="10">
        <v>5.8455323932643299E-2</v>
      </c>
      <c r="M4" s="7" t="s">
        <v>48</v>
      </c>
      <c r="N4" s="10">
        <v>0.23509862814460147</v>
      </c>
      <c r="Q4" s="7" t="s">
        <v>133</v>
      </c>
      <c r="R4" s="10">
        <v>0.21513147183705822</v>
      </c>
      <c r="T4" s="7" t="s">
        <v>174</v>
      </c>
      <c r="U4" s="10">
        <v>8.1753354938931447E-2</v>
      </c>
      <c r="W4" s="7" t="s">
        <v>51</v>
      </c>
      <c r="X4" s="10">
        <v>0.10311225517805445</v>
      </c>
      <c r="AA4" s="14">
        <v>10366526.25</v>
      </c>
      <c r="AC4" s="11">
        <v>5.21</v>
      </c>
      <c r="AE4" s="9">
        <v>2.7749999999999999</v>
      </c>
    </row>
    <row r="5" spans="1:31" x14ac:dyDescent="0.25">
      <c r="A5" s="7" t="s">
        <v>534</v>
      </c>
      <c r="B5" s="10">
        <v>0.1218694786983248</v>
      </c>
      <c r="E5" s="7" t="s">
        <v>45</v>
      </c>
      <c r="F5" s="10">
        <v>1.2354476023248386E-2</v>
      </c>
      <c r="I5" s="7" t="s">
        <v>170</v>
      </c>
      <c r="J5" s="10">
        <v>7.990593763267613E-3</v>
      </c>
      <c r="M5" s="7" t="s">
        <v>34</v>
      </c>
      <c r="N5" s="10">
        <v>0.13352585201817244</v>
      </c>
      <c r="Q5" s="7" t="s">
        <v>60</v>
      </c>
      <c r="R5" s="10">
        <v>0.24578529861919754</v>
      </c>
      <c r="T5" s="7" t="s">
        <v>49</v>
      </c>
      <c r="U5" s="10">
        <v>7.4600216248909806E-2</v>
      </c>
      <c r="W5" s="7" t="s">
        <v>39</v>
      </c>
      <c r="X5" s="10">
        <v>0.83002070245083304</v>
      </c>
    </row>
    <row r="6" spans="1:31" x14ac:dyDescent="0.25">
      <c r="A6" s="7" t="s">
        <v>535</v>
      </c>
      <c r="B6" s="10">
        <v>0.17844558585861875</v>
      </c>
      <c r="E6" s="7" t="s">
        <v>125</v>
      </c>
      <c r="F6" s="10">
        <v>3.6244412153010275E-2</v>
      </c>
      <c r="I6" s="7" t="s">
        <v>235</v>
      </c>
      <c r="J6" s="10">
        <v>1.5117359105708144E-2</v>
      </c>
      <c r="M6" s="7" t="s">
        <v>88</v>
      </c>
      <c r="N6" s="10">
        <v>0.28481768422667142</v>
      </c>
      <c r="Q6" s="7" t="s">
        <v>89</v>
      </c>
      <c r="R6" s="10">
        <v>0.32674722161630565</v>
      </c>
      <c r="T6" s="7" t="s">
        <v>256</v>
      </c>
      <c r="U6" s="10">
        <v>4.807917213348107E-2</v>
      </c>
      <c r="W6" s="7" t="s">
        <v>122</v>
      </c>
      <c r="X6" s="10">
        <v>6.6867042371112503E-2</v>
      </c>
    </row>
    <row r="7" spans="1:31" x14ac:dyDescent="0.25">
      <c r="A7" s="7" t="s">
        <v>536</v>
      </c>
      <c r="B7" s="10">
        <v>6.4546834094979494E-2</v>
      </c>
      <c r="E7" s="7" t="s">
        <v>177</v>
      </c>
      <c r="F7" s="10">
        <v>1.1564220946240308E-2</v>
      </c>
      <c r="I7" s="7" t="s">
        <v>47</v>
      </c>
      <c r="J7" s="10">
        <v>4.1955616521011556E-3</v>
      </c>
      <c r="M7" s="7" t="s">
        <v>59</v>
      </c>
      <c r="N7" s="10">
        <v>0.24191662563918168</v>
      </c>
      <c r="Q7" s="7" t="s">
        <v>35</v>
      </c>
      <c r="R7" s="10">
        <v>0.21233600792743854</v>
      </c>
      <c r="T7" s="7" t="s">
        <v>37</v>
      </c>
      <c r="U7" s="10">
        <v>6.6652250072679844E-2</v>
      </c>
      <c r="W7" s="7" t="s">
        <v>532</v>
      </c>
      <c r="X7" s="10">
        <v>1</v>
      </c>
    </row>
    <row r="8" spans="1:31" x14ac:dyDescent="0.25">
      <c r="A8" s="7" t="s">
        <v>537</v>
      </c>
      <c r="B8" s="10">
        <v>0.15350568856177835</v>
      </c>
      <c r="E8" s="7" t="s">
        <v>99</v>
      </c>
      <c r="F8" s="10">
        <v>0.35390428399291418</v>
      </c>
      <c r="I8" s="7" t="s">
        <v>110</v>
      </c>
      <c r="J8" s="10">
        <v>5.9764417227033989E-2</v>
      </c>
      <c r="M8" s="7" t="s">
        <v>72</v>
      </c>
      <c r="N8" s="10">
        <v>0.10464120997137301</v>
      </c>
      <c r="Q8" s="7" t="s">
        <v>532</v>
      </c>
      <c r="R8" s="10">
        <v>1</v>
      </c>
      <c r="T8" s="7" t="s">
        <v>62</v>
      </c>
      <c r="U8" s="10">
        <v>0.37154199074159483</v>
      </c>
    </row>
    <row r="9" spans="1:31" x14ac:dyDescent="0.25">
      <c r="A9" s="7" t="s">
        <v>538</v>
      </c>
      <c r="B9" s="10">
        <v>0.12193233485517871</v>
      </c>
      <c r="E9" s="7" t="s">
        <v>86</v>
      </c>
      <c r="F9" s="10">
        <v>1.982627980129795E-2</v>
      </c>
      <c r="I9" s="7" t="s">
        <v>87</v>
      </c>
      <c r="J9" s="10">
        <v>7.225371179665898E-3</v>
      </c>
      <c r="M9" s="7" t="s">
        <v>532</v>
      </c>
      <c r="N9" s="10">
        <v>1</v>
      </c>
      <c r="T9" s="7" t="s">
        <v>166</v>
      </c>
      <c r="U9" s="10">
        <v>6.5440822088305622E-2</v>
      </c>
    </row>
    <row r="10" spans="1:31" x14ac:dyDescent="0.25">
      <c r="A10" s="7" t="s">
        <v>539</v>
      </c>
      <c r="B10" s="10">
        <v>9.5278589585397519E-2</v>
      </c>
      <c r="E10" s="7" t="s">
        <v>104</v>
      </c>
      <c r="F10" s="10">
        <v>5.7697413345188797E-2</v>
      </c>
      <c r="I10" s="7" t="s">
        <v>271</v>
      </c>
      <c r="J10" s="10">
        <v>9.600303669708066E-3</v>
      </c>
      <c r="T10" s="7" t="s">
        <v>135</v>
      </c>
      <c r="U10" s="10">
        <v>4.9951795568935156E-2</v>
      </c>
    </row>
    <row r="11" spans="1:31" x14ac:dyDescent="0.25">
      <c r="A11" s="7" t="s">
        <v>540</v>
      </c>
      <c r="B11" s="10">
        <v>7.7052879695356E-2</v>
      </c>
      <c r="E11" s="7" t="s">
        <v>78</v>
      </c>
      <c r="F11" s="10">
        <v>1.284836856512084E-2</v>
      </c>
      <c r="I11" s="7" t="s">
        <v>107</v>
      </c>
      <c r="J11" s="10">
        <v>2.7617901416108412E-2</v>
      </c>
      <c r="T11" s="7" t="s">
        <v>145</v>
      </c>
      <c r="U11" s="10">
        <v>8.6647395505316929E-2</v>
      </c>
    </row>
    <row r="12" spans="1:31" x14ac:dyDescent="0.25">
      <c r="A12" s="7" t="s">
        <v>541</v>
      </c>
      <c r="B12" s="10">
        <v>1.6530821980989052E-2</v>
      </c>
      <c r="E12" s="7" t="s">
        <v>142</v>
      </c>
      <c r="F12" s="10">
        <v>0.25538471964029413</v>
      </c>
      <c r="I12" s="7" t="s">
        <v>101</v>
      </c>
      <c r="J12" s="10">
        <v>6.4349906990299674E-2</v>
      </c>
      <c r="T12" s="7" t="s">
        <v>121</v>
      </c>
      <c r="U12" s="10">
        <v>6.5561026288820712E-2</v>
      </c>
    </row>
    <row r="13" spans="1:31" x14ac:dyDescent="0.25">
      <c r="A13" s="7" t="s">
        <v>532</v>
      </c>
      <c r="B13" s="10">
        <v>1</v>
      </c>
      <c r="E13" s="7" t="s">
        <v>68</v>
      </c>
      <c r="F13" s="10">
        <v>0.12055915066052142</v>
      </c>
      <c r="I13" s="7" t="s">
        <v>225</v>
      </c>
      <c r="J13" s="10">
        <v>3.9545464904408065E-2</v>
      </c>
      <c r="T13" s="7" t="s">
        <v>74</v>
      </c>
      <c r="U13" s="10">
        <v>4.5922359961226164E-2</v>
      </c>
    </row>
    <row r="14" spans="1:31" x14ac:dyDescent="0.25">
      <c r="E14" s="7" t="s">
        <v>198</v>
      </c>
      <c r="F14" s="10">
        <v>6.6669816227012402E-2</v>
      </c>
      <c r="I14" s="7" t="s">
        <v>181</v>
      </c>
      <c r="J14" s="10">
        <v>1.180386727907046E-2</v>
      </c>
      <c r="T14" s="7" t="s">
        <v>81</v>
      </c>
      <c r="U14" s="10">
        <v>4.3849616451798405E-2</v>
      </c>
    </row>
    <row r="15" spans="1:31" x14ac:dyDescent="0.25">
      <c r="E15" s="7" t="s">
        <v>30</v>
      </c>
      <c r="F15" s="10">
        <v>9.6849897042415728E-3</v>
      </c>
      <c r="I15" s="7" t="s">
        <v>119</v>
      </c>
      <c r="J15" s="10">
        <v>0.14461434465571338</v>
      </c>
    </row>
    <row r="16" spans="1:31" x14ac:dyDescent="0.25">
      <c r="I16" s="7" t="s">
        <v>207</v>
      </c>
      <c r="J16" s="10">
        <v>2.4810500045760266E-2</v>
      </c>
    </row>
    <row r="17" spans="5:21" x14ac:dyDescent="0.25">
      <c r="I17" s="7" t="s">
        <v>215</v>
      </c>
      <c r="J17" s="10">
        <v>8.3928982478580997E-3</v>
      </c>
    </row>
    <row r="18" spans="5:21" x14ac:dyDescent="0.25">
      <c r="I18" s="7" t="s">
        <v>280</v>
      </c>
      <c r="J18" s="10">
        <v>7.4936384789456355E-4</v>
      </c>
      <c r="T18" s="8" t="s">
        <v>531</v>
      </c>
      <c r="U18" s="8" t="s">
        <v>542</v>
      </c>
    </row>
    <row r="19" spans="5:21" x14ac:dyDescent="0.25">
      <c r="I19" s="7" t="s">
        <v>157</v>
      </c>
      <c r="J19" s="10">
        <v>8.6484708414257858E-2</v>
      </c>
      <c r="T19" t="str">
        <f>IF(T4=0, "",T4)</f>
        <v>Assam</v>
      </c>
      <c r="U19" s="12">
        <f>IF(U4=0,"",U4)</f>
        <v>8.1753354938931447E-2</v>
      </c>
    </row>
    <row r="20" spans="5:21" x14ac:dyDescent="0.25">
      <c r="E20" t="s">
        <v>531</v>
      </c>
      <c r="F20" t="s">
        <v>542</v>
      </c>
      <c r="I20" s="7" t="s">
        <v>269</v>
      </c>
      <c r="J20" s="10">
        <v>4.2371281315185015E-3</v>
      </c>
      <c r="T20" t="str">
        <f t="shared" ref="T20:T28" si="0">IF(T5=0, "",T5)</f>
        <v>Delhi</v>
      </c>
      <c r="U20" s="12">
        <f t="shared" ref="U20:U30" si="1">IF(U5=0,"",U5)</f>
        <v>7.4600216248909806E-2</v>
      </c>
    </row>
    <row r="21" spans="5:21" x14ac:dyDescent="0.25">
      <c r="E21" t="str">
        <f>IF(E4=0,"",E4)</f>
        <v>Air Fryer</v>
      </c>
      <c r="F21" s="10">
        <f>IF(F4=0,"",F4)</f>
        <v>4.3261868940909685E-2</v>
      </c>
      <c r="I21" s="7" t="s">
        <v>204</v>
      </c>
      <c r="J21" s="10">
        <v>4.2503775071229865E-3</v>
      </c>
      <c r="T21" t="str">
        <f t="shared" si="0"/>
        <v>Karnataka</v>
      </c>
      <c r="U21" s="12">
        <f t="shared" si="1"/>
        <v>4.807917213348107E-2</v>
      </c>
    </row>
    <row r="22" spans="5:21" x14ac:dyDescent="0.25">
      <c r="E22" t="str">
        <f t="shared" ref="E22:E32" si="2">IF(E5=0,"",E5)</f>
        <v>Backpack</v>
      </c>
      <c r="F22" s="10">
        <f t="shared" ref="F22:F31" si="3">IF(F5=0,"",F5)</f>
        <v>1.2354476023248386E-2</v>
      </c>
      <c r="I22" s="7" t="s">
        <v>200</v>
      </c>
      <c r="J22" s="10">
        <v>1.8564135695889449E-2</v>
      </c>
      <c r="T22" t="str">
        <f t="shared" si="0"/>
        <v>Kerala</v>
      </c>
      <c r="U22" s="12">
        <f t="shared" si="1"/>
        <v>6.6652250072679844E-2</v>
      </c>
    </row>
    <row r="23" spans="5:21" x14ac:dyDescent="0.25">
      <c r="E23" t="str">
        <f t="shared" si="2"/>
        <v>Headphones</v>
      </c>
      <c r="F23" s="10">
        <f t="shared" si="3"/>
        <v>3.6244412153010275E-2</v>
      </c>
      <c r="I23" s="7" t="s">
        <v>71</v>
      </c>
      <c r="J23" s="10">
        <v>5.4338052730055063E-2</v>
      </c>
      <c r="T23" t="str">
        <f t="shared" si="0"/>
        <v>Maharashtra</v>
      </c>
      <c r="U23" s="12">
        <f t="shared" si="1"/>
        <v>0.37154199074159483</v>
      </c>
    </row>
    <row r="24" spans="5:21" x14ac:dyDescent="0.25">
      <c r="E24" t="str">
        <f t="shared" si="2"/>
        <v>Jeans</v>
      </c>
      <c r="F24" s="10">
        <f t="shared" si="3"/>
        <v>1.1564220946240308E-2</v>
      </c>
      <c r="I24" s="7" t="s">
        <v>403</v>
      </c>
      <c r="J24" s="10">
        <v>8.6399149377545836E-2</v>
      </c>
      <c r="T24" t="str">
        <f t="shared" si="0"/>
        <v>Odisha</v>
      </c>
      <c r="U24" s="12">
        <f t="shared" si="1"/>
        <v>6.5440822088305622E-2</v>
      </c>
    </row>
    <row r="25" spans="5:21" x14ac:dyDescent="0.25">
      <c r="E25" t="str">
        <f t="shared" si="2"/>
        <v>Laptop</v>
      </c>
      <c r="F25" s="10">
        <f t="shared" si="3"/>
        <v>0.35390428399291418</v>
      </c>
      <c r="I25" s="7" t="s">
        <v>178</v>
      </c>
      <c r="J25" s="10">
        <v>3.2014388619331382E-3</v>
      </c>
      <c r="T25" t="str">
        <f t="shared" si="0"/>
        <v>Rajasthan</v>
      </c>
      <c r="U25" s="12">
        <f t="shared" si="1"/>
        <v>4.9951795568935156E-2</v>
      </c>
    </row>
    <row r="26" spans="5:21" x14ac:dyDescent="0.25">
      <c r="E26" t="str">
        <f t="shared" si="2"/>
        <v>Mixer Grinder</v>
      </c>
      <c r="F26" s="10">
        <f t="shared" si="3"/>
        <v>1.982627980129795E-2</v>
      </c>
      <c r="I26" s="7" t="s">
        <v>245</v>
      </c>
      <c r="J26" s="10">
        <v>1.4114433945508023E-2</v>
      </c>
      <c r="T26" t="str">
        <f t="shared" si="0"/>
        <v>Tamil Nadu</v>
      </c>
      <c r="U26" s="12">
        <f t="shared" si="1"/>
        <v>8.6647395505316929E-2</v>
      </c>
    </row>
    <row r="27" spans="5:21" x14ac:dyDescent="0.25">
      <c r="E27" t="str">
        <f t="shared" si="2"/>
        <v>Office Chair</v>
      </c>
      <c r="F27" s="10">
        <f t="shared" si="3"/>
        <v>5.7697413345188797E-2</v>
      </c>
      <c r="I27" s="7" t="s">
        <v>58</v>
      </c>
      <c r="J27" s="10">
        <v>2.6630984511325576E-2</v>
      </c>
      <c r="T27" t="str">
        <f t="shared" si="0"/>
        <v>Telangana</v>
      </c>
      <c r="U27" s="12">
        <f t="shared" si="1"/>
        <v>6.5561026288820712E-2</v>
      </c>
    </row>
    <row r="28" spans="5:21" x14ac:dyDescent="0.25">
      <c r="E28" t="str">
        <f t="shared" si="2"/>
        <v>Shoes</v>
      </c>
      <c r="F28" s="10">
        <f t="shared" si="3"/>
        <v>1.284836856512084E-2</v>
      </c>
      <c r="I28" s="7" t="s">
        <v>33</v>
      </c>
      <c r="J28" s="10">
        <v>6.5313875031185109E-3</v>
      </c>
      <c r="T28" t="str">
        <f t="shared" si="0"/>
        <v>Uttar Pradesh</v>
      </c>
      <c r="U28" s="12">
        <f t="shared" si="1"/>
        <v>4.5922359961226164E-2</v>
      </c>
    </row>
    <row r="29" spans="5:21" x14ac:dyDescent="0.25">
      <c r="E29" t="str">
        <f t="shared" si="2"/>
        <v>Smartphone</v>
      </c>
      <c r="F29" s="10">
        <f t="shared" si="3"/>
        <v>0.25538471964029413</v>
      </c>
      <c r="I29" s="7" t="s">
        <v>94</v>
      </c>
      <c r="J29" s="10">
        <v>8.658857155742021E-2</v>
      </c>
      <c r="T29" t="str">
        <f>IF(T14=0, "",T14)</f>
        <v>West Bengal</v>
      </c>
      <c r="U29" s="12">
        <f t="shared" si="1"/>
        <v>4.3849616451798405E-2</v>
      </c>
    </row>
    <row r="30" spans="5:21" x14ac:dyDescent="0.25">
      <c r="E30" t="str">
        <f t="shared" si="2"/>
        <v>Smartwatch</v>
      </c>
      <c r="F30" s="10">
        <f t="shared" si="3"/>
        <v>0.12055915066052142</v>
      </c>
      <c r="I30" s="7" t="s">
        <v>468</v>
      </c>
      <c r="J30" s="10">
        <v>2.331349906146237E-3</v>
      </c>
      <c r="U30" t="str">
        <f t="shared" si="1"/>
        <v/>
      </c>
    </row>
    <row r="31" spans="5:21" x14ac:dyDescent="0.25">
      <c r="E31" t="str">
        <f t="shared" si="2"/>
        <v>Table</v>
      </c>
      <c r="F31" s="10">
        <f t="shared" si="3"/>
        <v>6.6669816227012402E-2</v>
      </c>
      <c r="I31" s="7" t="s">
        <v>260</v>
      </c>
      <c r="J31" s="10">
        <v>5.8936232375816347E-3</v>
      </c>
    </row>
    <row r="32" spans="5:21" x14ac:dyDescent="0.25">
      <c r="E32" t="str">
        <f t="shared" si="2"/>
        <v>T-Shirt</v>
      </c>
      <c r="F32" s="10">
        <f>IF(F15=0,"",F15)</f>
        <v>9.6849897042415728E-3</v>
      </c>
      <c r="I32" s="7" t="s">
        <v>164</v>
      </c>
      <c r="J32" s="10">
        <v>3.4594520030275331E-3</v>
      </c>
    </row>
    <row r="33" spans="9:10" x14ac:dyDescent="0.25">
      <c r="I33" s="7" t="s">
        <v>248</v>
      </c>
      <c r="J33" s="10">
        <v>6.4099972736768984E-2</v>
      </c>
    </row>
    <row r="34" spans="9:10" x14ac:dyDescent="0.25">
      <c r="I34" s="7" t="s">
        <v>160</v>
      </c>
      <c r="J34" s="10">
        <v>4.1570825135372615E-2</v>
      </c>
    </row>
    <row r="35" spans="9:10" x14ac:dyDescent="0.25">
      <c r="I35" s="7" t="s">
        <v>190</v>
      </c>
      <c r="J35" s="10">
        <v>2.2652911335655952E-3</v>
      </c>
    </row>
    <row r="36" spans="9:10" x14ac:dyDescent="0.25">
      <c r="I36" s="7" t="s">
        <v>294</v>
      </c>
      <c r="J36" s="10">
        <v>4.8059396946011686E-3</v>
      </c>
    </row>
    <row r="37" spans="9:10" x14ac:dyDescent="0.25">
      <c r="I37" s="7" t="s">
        <v>532</v>
      </c>
      <c r="J37" s="10">
        <v>1</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0516-C9DE-43C0-A8BD-A0CBB9BB6B65}">
  <dimension ref="A1:Z201"/>
  <sheetViews>
    <sheetView topLeftCell="A14" workbookViewId="0">
      <selection activeCell="R17" sqref="R17"/>
    </sheetView>
  </sheetViews>
  <sheetFormatPr defaultRowHeight="15" x14ac:dyDescent="0.25"/>
  <cols>
    <col min="1" max="1" width="9.85546875" bestFit="1" customWidth="1"/>
    <col min="2" max="2" width="11.140625" bestFit="1" customWidth="1"/>
    <col min="3" max="3" width="12.42578125" bestFit="1" customWidth="1"/>
    <col min="4" max="4" width="16" bestFit="1" customWidth="1"/>
    <col min="5" max="5" width="7.7109375" bestFit="1" customWidth="1"/>
    <col min="6" max="6" width="4.42578125" bestFit="1" customWidth="1"/>
    <col min="7" max="7" width="13.42578125" bestFit="1" customWidth="1"/>
    <col min="8" max="8" width="16.5703125" bestFit="1" customWidth="1"/>
    <col min="9" max="10" width="18.140625" bestFit="1" customWidth="1"/>
    <col min="11" max="11" width="8.7109375" bestFit="1" customWidth="1"/>
    <col min="12" max="12" width="9.28515625" bestFit="1" customWidth="1"/>
    <col min="13" max="13" width="8.7109375" bestFit="1" customWidth="1"/>
    <col min="14" max="14" width="16" bestFit="1" customWidth="1"/>
    <col min="16" max="16" width="12.42578125" bestFit="1" customWidth="1"/>
    <col min="17" max="17" width="12.5703125" bestFit="1" customWidth="1"/>
    <col min="18" max="18" width="16.140625" bestFit="1" customWidth="1"/>
    <col min="19" max="19" width="13.5703125" bestFit="1" customWidth="1"/>
    <col min="20" max="21" width="13.140625" bestFit="1" customWidth="1"/>
    <col min="22" max="22" width="7.42578125" bestFit="1" customWidth="1"/>
    <col min="23" max="23" width="12.5703125" bestFit="1" customWidth="1"/>
    <col min="24" max="24" width="13.140625" bestFit="1" customWidth="1"/>
    <col min="25" max="25" width="6.5703125" bestFit="1" customWidth="1"/>
    <col min="26" max="26" width="10.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t="s">
        <v>26</v>
      </c>
      <c r="B2" s="3">
        <v>46186</v>
      </c>
      <c r="C2" s="2" t="s">
        <v>27</v>
      </c>
      <c r="D2" s="2" t="s">
        <v>28</v>
      </c>
      <c r="E2" s="2" t="s">
        <v>29</v>
      </c>
      <c r="F2" s="2">
        <v>65</v>
      </c>
      <c r="G2" s="2" t="s">
        <v>30</v>
      </c>
      <c r="H2" s="2" t="s">
        <v>31</v>
      </c>
      <c r="I2" s="2" t="s">
        <v>32</v>
      </c>
      <c r="J2" s="2" t="s">
        <v>33</v>
      </c>
      <c r="K2" s="2">
        <v>2</v>
      </c>
      <c r="L2" s="4">
        <v>900</v>
      </c>
      <c r="M2" s="5">
        <v>0.25</v>
      </c>
      <c r="N2" s="4">
        <v>450</v>
      </c>
      <c r="O2" s="4">
        <v>67.5</v>
      </c>
      <c r="P2" s="4">
        <v>200</v>
      </c>
      <c r="Q2" s="4">
        <v>1617.5</v>
      </c>
      <c r="R2" s="2" t="s">
        <v>34</v>
      </c>
      <c r="S2" s="2" t="s">
        <v>35</v>
      </c>
      <c r="T2" s="2" t="s">
        <v>36</v>
      </c>
      <c r="U2" s="2" t="s">
        <v>37</v>
      </c>
      <c r="V2" s="2" t="s">
        <v>38</v>
      </c>
      <c r="W2" s="2">
        <v>9</v>
      </c>
      <c r="X2" s="2" t="s">
        <v>39</v>
      </c>
      <c r="Y2" s="2">
        <v>3</v>
      </c>
      <c r="Z2" s="2" t="s">
        <v>40</v>
      </c>
    </row>
    <row r="3" spans="1:26" x14ac:dyDescent="0.25">
      <c r="A3" s="2" t="s">
        <v>41</v>
      </c>
      <c r="B3" s="3">
        <v>46166</v>
      </c>
      <c r="C3" s="2" t="s">
        <v>42</v>
      </c>
      <c r="D3" s="2" t="s">
        <v>43</v>
      </c>
      <c r="E3" s="2" t="s">
        <v>44</v>
      </c>
      <c r="F3" s="2">
        <v>32</v>
      </c>
      <c r="G3" s="2" t="s">
        <v>45</v>
      </c>
      <c r="H3" s="2" t="s">
        <v>31</v>
      </c>
      <c r="I3" s="2" t="s">
        <v>46</v>
      </c>
      <c r="J3" s="2" t="s">
        <v>47</v>
      </c>
      <c r="K3" s="2">
        <v>3</v>
      </c>
      <c r="L3" s="4">
        <v>800</v>
      </c>
      <c r="M3" s="5">
        <v>0.05</v>
      </c>
      <c r="N3" s="4">
        <v>120</v>
      </c>
      <c r="O3" s="4">
        <v>410.4</v>
      </c>
      <c r="P3" s="4">
        <v>100</v>
      </c>
      <c r="Q3" s="4">
        <v>2790.4</v>
      </c>
      <c r="R3" s="2" t="s">
        <v>48</v>
      </c>
      <c r="S3" s="2" t="s">
        <v>35</v>
      </c>
      <c r="T3" s="2" t="s">
        <v>49</v>
      </c>
      <c r="U3" s="2" t="s">
        <v>49</v>
      </c>
      <c r="V3" s="2" t="s">
        <v>50</v>
      </c>
      <c r="W3" s="2">
        <v>5</v>
      </c>
      <c r="X3" s="2" t="s">
        <v>51</v>
      </c>
      <c r="Y3" s="2">
        <v>4</v>
      </c>
      <c r="Z3" s="2" t="s">
        <v>40</v>
      </c>
    </row>
    <row r="4" spans="1:26" x14ac:dyDescent="0.25">
      <c r="A4" s="2" t="s">
        <v>52</v>
      </c>
      <c r="B4" s="3">
        <v>46114</v>
      </c>
      <c r="C4" s="2" t="s">
        <v>53</v>
      </c>
      <c r="D4" s="2" t="s">
        <v>54</v>
      </c>
      <c r="E4" s="2" t="s">
        <v>44</v>
      </c>
      <c r="F4" s="2">
        <v>20</v>
      </c>
      <c r="G4" s="2" t="s">
        <v>55</v>
      </c>
      <c r="H4" s="2" t="s">
        <v>56</v>
      </c>
      <c r="I4" s="2" t="s">
        <v>57</v>
      </c>
      <c r="J4" s="2" t="s">
        <v>58</v>
      </c>
      <c r="K4" s="2">
        <v>5</v>
      </c>
      <c r="L4" s="4">
        <v>5000</v>
      </c>
      <c r="M4" s="5">
        <v>0.15</v>
      </c>
      <c r="N4" s="4">
        <v>3750</v>
      </c>
      <c r="O4" s="4">
        <v>1062.5</v>
      </c>
      <c r="P4" s="4">
        <v>150</v>
      </c>
      <c r="Q4" s="4">
        <v>22462.5</v>
      </c>
      <c r="R4" s="2" t="s">
        <v>59</v>
      </c>
      <c r="S4" s="2" t="s">
        <v>60</v>
      </c>
      <c r="T4" s="2" t="s">
        <v>61</v>
      </c>
      <c r="U4" s="2" t="s">
        <v>62</v>
      </c>
      <c r="V4" s="2" t="s">
        <v>63</v>
      </c>
      <c r="W4" s="2">
        <v>10</v>
      </c>
      <c r="X4" s="2" t="s">
        <v>39</v>
      </c>
      <c r="Y4" s="2">
        <v>0</v>
      </c>
      <c r="Z4" s="2" t="s">
        <v>64</v>
      </c>
    </row>
    <row r="5" spans="1:26" x14ac:dyDescent="0.25">
      <c r="A5" s="2" t="s">
        <v>65</v>
      </c>
      <c r="B5" s="3">
        <v>46203</v>
      </c>
      <c r="C5" s="2" t="s">
        <v>66</v>
      </c>
      <c r="D5" s="2" t="s">
        <v>67</v>
      </c>
      <c r="E5" s="2" t="s">
        <v>29</v>
      </c>
      <c r="F5" s="2">
        <v>60</v>
      </c>
      <c r="G5" s="2" t="s">
        <v>68</v>
      </c>
      <c r="H5" s="2" t="s">
        <v>69</v>
      </c>
      <c r="I5" s="2" t="s">
        <v>70</v>
      </c>
      <c r="J5" s="2" t="s">
        <v>71</v>
      </c>
      <c r="K5" s="2">
        <v>1</v>
      </c>
      <c r="L5" s="4">
        <v>13700</v>
      </c>
      <c r="M5" s="5">
        <v>0</v>
      </c>
      <c r="N5" s="4">
        <v>0</v>
      </c>
      <c r="O5" s="4">
        <v>1644</v>
      </c>
      <c r="P5" s="4">
        <v>75</v>
      </c>
      <c r="Q5" s="4">
        <v>15419</v>
      </c>
      <c r="R5" s="2" t="s">
        <v>72</v>
      </c>
      <c r="S5" s="2" t="s">
        <v>60</v>
      </c>
      <c r="T5" s="2" t="s">
        <v>73</v>
      </c>
      <c r="U5" s="2" t="s">
        <v>74</v>
      </c>
      <c r="V5" s="2" t="s">
        <v>50</v>
      </c>
      <c r="W5" s="2">
        <v>6</v>
      </c>
      <c r="X5" s="2" t="s">
        <v>39</v>
      </c>
      <c r="Y5" s="2">
        <v>5</v>
      </c>
      <c r="Z5" s="2" t="s">
        <v>40</v>
      </c>
    </row>
    <row r="6" spans="1:26" x14ac:dyDescent="0.25">
      <c r="A6" s="2" t="s">
        <v>75</v>
      </c>
      <c r="B6" s="3">
        <v>46159</v>
      </c>
      <c r="C6" s="2" t="s">
        <v>76</v>
      </c>
      <c r="D6" s="2" t="s">
        <v>77</v>
      </c>
      <c r="E6" s="2" t="s">
        <v>29</v>
      </c>
      <c r="F6" s="2">
        <v>47</v>
      </c>
      <c r="G6" s="2" t="s">
        <v>78</v>
      </c>
      <c r="H6" s="2" t="s">
        <v>31</v>
      </c>
      <c r="I6" s="2" t="s">
        <v>79</v>
      </c>
      <c r="J6" s="2" t="s">
        <v>33</v>
      </c>
      <c r="K6" s="2">
        <v>5</v>
      </c>
      <c r="L6" s="4">
        <v>4300</v>
      </c>
      <c r="M6" s="5">
        <v>0.25</v>
      </c>
      <c r="N6" s="4">
        <v>5375</v>
      </c>
      <c r="O6" s="4">
        <v>1935</v>
      </c>
      <c r="P6" s="4">
        <v>250</v>
      </c>
      <c r="Q6" s="4">
        <v>18310</v>
      </c>
      <c r="R6" s="2" t="s">
        <v>72</v>
      </c>
      <c r="S6" s="2" t="s">
        <v>60</v>
      </c>
      <c r="T6" s="2" t="s">
        <v>80</v>
      </c>
      <c r="U6" s="2" t="s">
        <v>81</v>
      </c>
      <c r="V6" s="2" t="s">
        <v>82</v>
      </c>
      <c r="W6" s="2">
        <v>1</v>
      </c>
      <c r="X6" s="2" t="s">
        <v>39</v>
      </c>
      <c r="Y6" s="2">
        <v>4</v>
      </c>
      <c r="Z6" s="2" t="s">
        <v>40</v>
      </c>
    </row>
    <row r="7" spans="1:26" x14ac:dyDescent="0.25">
      <c r="A7" s="2" t="s">
        <v>83</v>
      </c>
      <c r="B7" s="3">
        <v>46256</v>
      </c>
      <c r="C7" s="2" t="s">
        <v>84</v>
      </c>
      <c r="D7" s="2" t="s">
        <v>85</v>
      </c>
      <c r="E7" s="2" t="s">
        <v>44</v>
      </c>
      <c r="F7" s="2">
        <v>31</v>
      </c>
      <c r="G7" s="2" t="s">
        <v>86</v>
      </c>
      <c r="H7" s="2" t="s">
        <v>56</v>
      </c>
      <c r="I7" s="2" t="s">
        <v>57</v>
      </c>
      <c r="J7" s="2" t="s">
        <v>87</v>
      </c>
      <c r="K7" s="2">
        <v>4</v>
      </c>
      <c r="L7" s="4">
        <v>5900</v>
      </c>
      <c r="M7" s="5">
        <v>0.15</v>
      </c>
      <c r="N7" s="4">
        <v>3540</v>
      </c>
      <c r="O7" s="4">
        <v>1003</v>
      </c>
      <c r="P7" s="4">
        <v>75</v>
      </c>
      <c r="Q7" s="4">
        <v>21138</v>
      </c>
      <c r="R7" s="2" t="s">
        <v>88</v>
      </c>
      <c r="S7" s="2" t="s">
        <v>89</v>
      </c>
      <c r="T7" s="2" t="s">
        <v>90</v>
      </c>
      <c r="U7" s="2" t="s">
        <v>62</v>
      </c>
      <c r="V7" s="2" t="s">
        <v>63</v>
      </c>
      <c r="W7" s="2">
        <v>4</v>
      </c>
      <c r="X7" s="2" t="s">
        <v>39</v>
      </c>
      <c r="Y7" s="2">
        <v>0</v>
      </c>
      <c r="Z7" s="2" t="s">
        <v>91</v>
      </c>
    </row>
    <row r="8" spans="1:26" x14ac:dyDescent="0.25">
      <c r="A8" s="2" t="s">
        <v>92</v>
      </c>
      <c r="B8" s="3">
        <v>46252</v>
      </c>
      <c r="C8" s="2" t="s">
        <v>93</v>
      </c>
      <c r="D8" s="2" t="s">
        <v>85</v>
      </c>
      <c r="E8" s="2" t="s">
        <v>44</v>
      </c>
      <c r="F8" s="2">
        <v>41</v>
      </c>
      <c r="G8" s="2" t="s">
        <v>68</v>
      </c>
      <c r="H8" s="2" t="s">
        <v>69</v>
      </c>
      <c r="I8" s="2" t="s">
        <v>70</v>
      </c>
      <c r="J8" s="2" t="s">
        <v>94</v>
      </c>
      <c r="K8" s="2">
        <v>5</v>
      </c>
      <c r="L8" s="4">
        <v>27000</v>
      </c>
      <c r="M8" s="5">
        <v>0</v>
      </c>
      <c r="N8" s="4">
        <v>0</v>
      </c>
      <c r="O8" s="4">
        <v>6750</v>
      </c>
      <c r="P8" s="4">
        <v>250</v>
      </c>
      <c r="Q8" s="4">
        <v>142000</v>
      </c>
      <c r="R8" s="2" t="s">
        <v>48</v>
      </c>
      <c r="S8" s="2" t="s">
        <v>89</v>
      </c>
      <c r="T8" s="2" t="s">
        <v>95</v>
      </c>
      <c r="U8" s="2" t="s">
        <v>62</v>
      </c>
      <c r="V8" s="2" t="s">
        <v>63</v>
      </c>
      <c r="W8" s="2">
        <v>3</v>
      </c>
      <c r="X8" s="2" t="s">
        <v>39</v>
      </c>
      <c r="Y8" s="2">
        <v>4</v>
      </c>
      <c r="Z8" s="2" t="s">
        <v>40</v>
      </c>
    </row>
    <row r="9" spans="1:26" x14ac:dyDescent="0.25">
      <c r="A9" s="2" t="s">
        <v>96</v>
      </c>
      <c r="B9" s="3">
        <v>46175</v>
      </c>
      <c r="C9" s="2" t="s">
        <v>97</v>
      </c>
      <c r="D9" s="2" t="s">
        <v>98</v>
      </c>
      <c r="E9" s="2" t="s">
        <v>44</v>
      </c>
      <c r="F9" s="2">
        <v>53</v>
      </c>
      <c r="G9" s="2" t="s">
        <v>99</v>
      </c>
      <c r="H9" s="2" t="s">
        <v>69</v>
      </c>
      <c r="I9" s="2" t="s">
        <v>100</v>
      </c>
      <c r="J9" s="2" t="s">
        <v>101</v>
      </c>
      <c r="K9" s="2">
        <v>5</v>
      </c>
      <c r="L9" s="4">
        <v>83400</v>
      </c>
      <c r="M9" s="5">
        <v>0.1</v>
      </c>
      <c r="N9" s="4">
        <v>41700</v>
      </c>
      <c r="O9" s="4">
        <v>67554</v>
      </c>
      <c r="P9" s="4">
        <v>75</v>
      </c>
      <c r="Q9" s="4">
        <v>442929</v>
      </c>
      <c r="R9" s="2" t="s">
        <v>88</v>
      </c>
      <c r="S9" s="2" t="s">
        <v>60</v>
      </c>
      <c r="T9" s="2" t="s">
        <v>95</v>
      </c>
      <c r="U9" s="2" t="s">
        <v>62</v>
      </c>
      <c r="V9" s="2" t="s">
        <v>63</v>
      </c>
      <c r="W9" s="2">
        <v>5</v>
      </c>
      <c r="X9" s="2" t="s">
        <v>39</v>
      </c>
      <c r="Y9" s="2">
        <v>5</v>
      </c>
      <c r="Z9" s="2" t="s">
        <v>40</v>
      </c>
    </row>
    <row r="10" spans="1:26" x14ac:dyDescent="0.25">
      <c r="A10" s="2" t="s">
        <v>102</v>
      </c>
      <c r="B10" s="3">
        <v>46152</v>
      </c>
      <c r="C10" s="2" t="s">
        <v>103</v>
      </c>
      <c r="D10" s="2" t="s">
        <v>28</v>
      </c>
      <c r="E10" s="2" t="s">
        <v>44</v>
      </c>
      <c r="F10" s="2">
        <v>58</v>
      </c>
      <c r="G10" s="2" t="s">
        <v>104</v>
      </c>
      <c r="H10" s="2" t="s">
        <v>105</v>
      </c>
      <c r="I10" s="2" t="s">
        <v>106</v>
      </c>
      <c r="J10" s="2" t="s">
        <v>107</v>
      </c>
      <c r="K10" s="2">
        <v>2</v>
      </c>
      <c r="L10" s="4">
        <v>8900</v>
      </c>
      <c r="M10" s="5">
        <v>0.1</v>
      </c>
      <c r="N10" s="4">
        <v>1780</v>
      </c>
      <c r="O10" s="4">
        <v>801</v>
      </c>
      <c r="P10" s="4">
        <v>150</v>
      </c>
      <c r="Q10" s="4">
        <v>16971</v>
      </c>
      <c r="R10" s="2" t="s">
        <v>88</v>
      </c>
      <c r="S10" s="2" t="s">
        <v>89</v>
      </c>
      <c r="T10" s="2" t="s">
        <v>80</v>
      </c>
      <c r="U10" s="2" t="s">
        <v>81</v>
      </c>
      <c r="V10" s="2" t="s">
        <v>82</v>
      </c>
      <c r="W10" s="2">
        <v>9</v>
      </c>
      <c r="X10" s="2" t="s">
        <v>39</v>
      </c>
      <c r="Y10" s="2">
        <v>0</v>
      </c>
      <c r="Z10" s="2" t="s">
        <v>64</v>
      </c>
    </row>
    <row r="11" spans="1:26" x14ac:dyDescent="0.25">
      <c r="A11" s="2" t="s">
        <v>108</v>
      </c>
      <c r="B11" s="3">
        <v>46027</v>
      </c>
      <c r="C11" s="2" t="s">
        <v>109</v>
      </c>
      <c r="D11" s="2" t="s">
        <v>28</v>
      </c>
      <c r="E11" s="2" t="s">
        <v>44</v>
      </c>
      <c r="F11" s="2">
        <v>37</v>
      </c>
      <c r="G11" s="2" t="s">
        <v>68</v>
      </c>
      <c r="H11" s="2" t="s">
        <v>69</v>
      </c>
      <c r="I11" s="2" t="s">
        <v>70</v>
      </c>
      <c r="J11" s="2" t="s">
        <v>110</v>
      </c>
      <c r="K11" s="2">
        <v>2</v>
      </c>
      <c r="L11" s="4">
        <v>30800</v>
      </c>
      <c r="M11" s="5">
        <v>0</v>
      </c>
      <c r="N11" s="4">
        <v>0</v>
      </c>
      <c r="O11" s="4">
        <v>3080</v>
      </c>
      <c r="P11" s="4">
        <v>200</v>
      </c>
      <c r="Q11" s="4">
        <v>64880</v>
      </c>
      <c r="R11" s="2" t="s">
        <v>34</v>
      </c>
      <c r="S11" s="2" t="s">
        <v>60</v>
      </c>
      <c r="T11" s="2" t="s">
        <v>73</v>
      </c>
      <c r="U11" s="2" t="s">
        <v>74</v>
      </c>
      <c r="V11" s="2" t="s">
        <v>50</v>
      </c>
      <c r="W11" s="2">
        <v>2</v>
      </c>
      <c r="X11" s="2" t="s">
        <v>39</v>
      </c>
      <c r="Y11" s="2">
        <v>2</v>
      </c>
      <c r="Z11" s="2" t="s">
        <v>111</v>
      </c>
    </row>
    <row r="12" spans="1:26" x14ac:dyDescent="0.25">
      <c r="A12" s="2" t="s">
        <v>112</v>
      </c>
      <c r="B12" s="3">
        <v>46191</v>
      </c>
      <c r="C12" s="2" t="s">
        <v>113</v>
      </c>
      <c r="D12" s="2" t="s">
        <v>114</v>
      </c>
      <c r="E12" s="2" t="s">
        <v>29</v>
      </c>
      <c r="F12" s="2">
        <v>34</v>
      </c>
      <c r="G12" s="2" t="s">
        <v>104</v>
      </c>
      <c r="H12" s="2" t="s">
        <v>105</v>
      </c>
      <c r="I12" s="2" t="s">
        <v>106</v>
      </c>
      <c r="J12" s="2" t="s">
        <v>107</v>
      </c>
      <c r="K12" s="2">
        <v>4</v>
      </c>
      <c r="L12" s="4">
        <v>10400</v>
      </c>
      <c r="M12" s="5">
        <v>0.2</v>
      </c>
      <c r="N12" s="4">
        <v>8320</v>
      </c>
      <c r="O12" s="4">
        <v>5990.4</v>
      </c>
      <c r="P12" s="4">
        <v>200</v>
      </c>
      <c r="Q12" s="4">
        <v>39470.400000000001</v>
      </c>
      <c r="R12" s="2" t="s">
        <v>48</v>
      </c>
      <c r="S12" s="2" t="s">
        <v>35</v>
      </c>
      <c r="T12" s="2" t="s">
        <v>115</v>
      </c>
      <c r="U12" s="2" t="s">
        <v>62</v>
      </c>
      <c r="V12" s="2" t="s">
        <v>116</v>
      </c>
      <c r="W12" s="2">
        <v>5</v>
      </c>
      <c r="X12" s="2" t="s">
        <v>39</v>
      </c>
      <c r="Y12" s="2">
        <v>4</v>
      </c>
      <c r="Z12" s="2" t="s">
        <v>40</v>
      </c>
    </row>
    <row r="13" spans="1:26" x14ac:dyDescent="0.25">
      <c r="A13" s="2" t="s">
        <v>117</v>
      </c>
      <c r="B13" s="3">
        <v>46086</v>
      </c>
      <c r="C13" s="2" t="s">
        <v>118</v>
      </c>
      <c r="D13" s="2" t="s">
        <v>77</v>
      </c>
      <c r="E13" s="2" t="s">
        <v>29</v>
      </c>
      <c r="F13" s="2">
        <v>39</v>
      </c>
      <c r="G13" s="2" t="s">
        <v>99</v>
      </c>
      <c r="H13" s="2" t="s">
        <v>69</v>
      </c>
      <c r="I13" s="2" t="s">
        <v>100</v>
      </c>
      <c r="J13" s="2" t="s">
        <v>119</v>
      </c>
      <c r="K13" s="2">
        <v>5</v>
      </c>
      <c r="L13" s="4">
        <v>56200</v>
      </c>
      <c r="M13" s="5">
        <v>0</v>
      </c>
      <c r="N13" s="4">
        <v>0</v>
      </c>
      <c r="O13" s="4">
        <v>14050</v>
      </c>
      <c r="P13" s="4">
        <v>200</v>
      </c>
      <c r="Q13" s="4">
        <v>295250</v>
      </c>
      <c r="R13" s="2" t="s">
        <v>59</v>
      </c>
      <c r="S13" s="2" t="s">
        <v>60</v>
      </c>
      <c r="T13" s="2" t="s">
        <v>120</v>
      </c>
      <c r="U13" s="2" t="s">
        <v>121</v>
      </c>
      <c r="V13" s="2" t="s">
        <v>38</v>
      </c>
      <c r="W13" s="2">
        <v>1</v>
      </c>
      <c r="X13" s="2" t="s">
        <v>122</v>
      </c>
      <c r="Y13" s="2">
        <v>5</v>
      </c>
      <c r="Z13" s="2" t="s">
        <v>40</v>
      </c>
    </row>
    <row r="14" spans="1:26" x14ac:dyDescent="0.25">
      <c r="A14" s="2" t="s">
        <v>123</v>
      </c>
      <c r="B14" s="3">
        <v>46094</v>
      </c>
      <c r="C14" s="2" t="s">
        <v>124</v>
      </c>
      <c r="D14" s="2" t="s">
        <v>114</v>
      </c>
      <c r="E14" s="2" t="s">
        <v>29</v>
      </c>
      <c r="F14" s="2">
        <v>52</v>
      </c>
      <c r="G14" s="2" t="s">
        <v>125</v>
      </c>
      <c r="H14" s="2" t="s">
        <v>69</v>
      </c>
      <c r="I14" s="2" t="s">
        <v>126</v>
      </c>
      <c r="J14" s="2" t="s">
        <v>71</v>
      </c>
      <c r="K14" s="2">
        <v>2</v>
      </c>
      <c r="L14" s="4">
        <v>11000</v>
      </c>
      <c r="M14" s="5">
        <v>0.15</v>
      </c>
      <c r="N14" s="4">
        <v>3300</v>
      </c>
      <c r="O14" s="4">
        <v>2244</v>
      </c>
      <c r="P14" s="4">
        <v>50</v>
      </c>
      <c r="Q14" s="4">
        <v>20994</v>
      </c>
      <c r="R14" s="2" t="s">
        <v>48</v>
      </c>
      <c r="S14" s="2" t="s">
        <v>89</v>
      </c>
      <c r="T14" s="2" t="s">
        <v>95</v>
      </c>
      <c r="U14" s="2" t="s">
        <v>62</v>
      </c>
      <c r="V14" s="2" t="s">
        <v>63</v>
      </c>
      <c r="W14" s="2">
        <v>2</v>
      </c>
      <c r="X14" s="2" t="s">
        <v>39</v>
      </c>
      <c r="Y14" s="2">
        <v>0</v>
      </c>
      <c r="Z14" s="2" t="s">
        <v>91</v>
      </c>
    </row>
    <row r="15" spans="1:26" x14ac:dyDescent="0.25">
      <c r="A15" s="2" t="s">
        <v>127</v>
      </c>
      <c r="B15" s="3">
        <v>46142</v>
      </c>
      <c r="C15" s="2" t="s">
        <v>128</v>
      </c>
      <c r="D15" s="2" t="s">
        <v>129</v>
      </c>
      <c r="E15" s="2" t="s">
        <v>29</v>
      </c>
      <c r="F15" s="2">
        <v>21</v>
      </c>
      <c r="G15" s="2" t="s">
        <v>78</v>
      </c>
      <c r="H15" s="2" t="s">
        <v>31</v>
      </c>
      <c r="I15" s="2" t="s">
        <v>79</v>
      </c>
      <c r="J15" s="2" t="s">
        <v>33</v>
      </c>
      <c r="K15" s="2">
        <v>1</v>
      </c>
      <c r="L15" s="4">
        <v>4600</v>
      </c>
      <c r="M15" s="5">
        <v>0.05</v>
      </c>
      <c r="N15" s="4">
        <v>230</v>
      </c>
      <c r="O15" s="4">
        <v>218.5</v>
      </c>
      <c r="P15" s="4">
        <v>150</v>
      </c>
      <c r="Q15" s="4">
        <v>4738.5</v>
      </c>
      <c r="R15" s="2" t="s">
        <v>48</v>
      </c>
      <c r="S15" s="2" t="s">
        <v>35</v>
      </c>
      <c r="T15" s="2" t="s">
        <v>73</v>
      </c>
      <c r="U15" s="2" t="s">
        <v>74</v>
      </c>
      <c r="V15" s="2" t="s">
        <v>50</v>
      </c>
      <c r="W15" s="2">
        <v>3</v>
      </c>
      <c r="X15" s="2" t="s">
        <v>39</v>
      </c>
      <c r="Y15" s="2">
        <v>4</v>
      </c>
      <c r="Z15" s="2" t="s">
        <v>40</v>
      </c>
    </row>
    <row r="16" spans="1:26" x14ac:dyDescent="0.25">
      <c r="A16" s="2" t="s">
        <v>130</v>
      </c>
      <c r="B16" s="3">
        <v>46035</v>
      </c>
      <c r="C16" s="2" t="s">
        <v>131</v>
      </c>
      <c r="D16" s="2" t="s">
        <v>132</v>
      </c>
      <c r="E16" s="2" t="s">
        <v>29</v>
      </c>
      <c r="F16" s="2">
        <v>23</v>
      </c>
      <c r="G16" s="2" t="s">
        <v>68</v>
      </c>
      <c r="H16" s="2" t="s">
        <v>69</v>
      </c>
      <c r="I16" s="2" t="s">
        <v>70</v>
      </c>
      <c r="J16" s="2" t="s">
        <v>94</v>
      </c>
      <c r="K16" s="2">
        <v>4</v>
      </c>
      <c r="L16" s="4">
        <v>26600</v>
      </c>
      <c r="M16" s="5">
        <v>0.15</v>
      </c>
      <c r="N16" s="4">
        <v>15960</v>
      </c>
      <c r="O16" s="4">
        <v>4522</v>
      </c>
      <c r="P16" s="4">
        <v>250</v>
      </c>
      <c r="Q16" s="4">
        <v>95212</v>
      </c>
      <c r="R16" s="2" t="s">
        <v>48</v>
      </c>
      <c r="S16" s="2" t="s">
        <v>133</v>
      </c>
      <c r="T16" s="2" t="s">
        <v>134</v>
      </c>
      <c r="U16" s="2" t="s">
        <v>135</v>
      </c>
      <c r="V16" s="2" t="s">
        <v>50</v>
      </c>
      <c r="W16" s="2">
        <v>1</v>
      </c>
      <c r="X16" s="2" t="s">
        <v>39</v>
      </c>
      <c r="Y16" s="2">
        <v>4</v>
      </c>
      <c r="Z16" s="2" t="s">
        <v>40</v>
      </c>
    </row>
    <row r="17" spans="1:26" x14ac:dyDescent="0.25">
      <c r="A17" s="2" t="s">
        <v>136</v>
      </c>
      <c r="B17" s="3">
        <v>46131</v>
      </c>
      <c r="C17" s="2" t="s">
        <v>137</v>
      </c>
      <c r="D17" s="2" t="s">
        <v>132</v>
      </c>
      <c r="E17" s="2" t="s">
        <v>44</v>
      </c>
      <c r="F17" s="2">
        <v>27</v>
      </c>
      <c r="G17" s="2" t="s">
        <v>68</v>
      </c>
      <c r="H17" s="2" t="s">
        <v>69</v>
      </c>
      <c r="I17" s="2" t="s">
        <v>70</v>
      </c>
      <c r="J17" s="2" t="s">
        <v>71</v>
      </c>
      <c r="K17" s="2">
        <v>2</v>
      </c>
      <c r="L17" s="4">
        <v>4700</v>
      </c>
      <c r="M17" s="5">
        <v>0.2</v>
      </c>
      <c r="N17" s="4">
        <v>1880</v>
      </c>
      <c r="O17" s="4">
        <v>1353.6</v>
      </c>
      <c r="P17" s="4">
        <v>150</v>
      </c>
      <c r="Q17" s="4">
        <v>9023.6</v>
      </c>
      <c r="R17" s="2" t="s">
        <v>59</v>
      </c>
      <c r="S17" s="2" t="s">
        <v>60</v>
      </c>
      <c r="T17" s="2" t="s">
        <v>138</v>
      </c>
      <c r="U17" s="2" t="s">
        <v>62</v>
      </c>
      <c r="V17" s="2" t="s">
        <v>63</v>
      </c>
      <c r="W17" s="2">
        <v>6</v>
      </c>
      <c r="X17" s="2" t="s">
        <v>39</v>
      </c>
      <c r="Y17" s="2">
        <v>5</v>
      </c>
      <c r="Z17" s="2" t="s">
        <v>40</v>
      </c>
    </row>
    <row r="18" spans="1:26" x14ac:dyDescent="0.25">
      <c r="A18" s="2" t="s">
        <v>139</v>
      </c>
      <c r="B18" s="3">
        <v>46037</v>
      </c>
      <c r="C18" s="2" t="s">
        <v>140</v>
      </c>
      <c r="D18" s="2" t="s">
        <v>141</v>
      </c>
      <c r="E18" s="2" t="s">
        <v>29</v>
      </c>
      <c r="F18" s="2">
        <v>29</v>
      </c>
      <c r="G18" s="2" t="s">
        <v>142</v>
      </c>
      <c r="H18" s="2" t="s">
        <v>69</v>
      </c>
      <c r="I18" s="2" t="s">
        <v>143</v>
      </c>
      <c r="J18" s="2" t="s">
        <v>94</v>
      </c>
      <c r="K18" s="2">
        <v>2</v>
      </c>
      <c r="L18" s="4">
        <v>53300</v>
      </c>
      <c r="M18" s="5">
        <v>0</v>
      </c>
      <c r="N18" s="4">
        <v>0</v>
      </c>
      <c r="O18" s="4">
        <v>19188</v>
      </c>
      <c r="P18" s="4">
        <v>50</v>
      </c>
      <c r="Q18" s="4">
        <v>125838</v>
      </c>
      <c r="R18" s="2" t="s">
        <v>59</v>
      </c>
      <c r="S18" s="2" t="s">
        <v>133</v>
      </c>
      <c r="T18" s="2" t="s">
        <v>144</v>
      </c>
      <c r="U18" s="2" t="s">
        <v>145</v>
      </c>
      <c r="V18" s="2" t="s">
        <v>38</v>
      </c>
      <c r="W18" s="2">
        <v>10</v>
      </c>
      <c r="X18" s="2" t="s">
        <v>39</v>
      </c>
      <c r="Y18" s="2">
        <v>5</v>
      </c>
      <c r="Z18" s="2" t="s">
        <v>40</v>
      </c>
    </row>
    <row r="19" spans="1:26" x14ac:dyDescent="0.25">
      <c r="A19" s="2" t="s">
        <v>146</v>
      </c>
      <c r="B19" s="3">
        <v>46262</v>
      </c>
      <c r="C19" s="2" t="s">
        <v>147</v>
      </c>
      <c r="D19" s="2" t="s">
        <v>148</v>
      </c>
      <c r="E19" s="2" t="s">
        <v>29</v>
      </c>
      <c r="F19" s="2">
        <v>60</v>
      </c>
      <c r="G19" s="2" t="s">
        <v>55</v>
      </c>
      <c r="H19" s="2" t="s">
        <v>56</v>
      </c>
      <c r="I19" s="2" t="s">
        <v>57</v>
      </c>
      <c r="J19" s="2" t="s">
        <v>58</v>
      </c>
      <c r="K19" s="2">
        <v>2</v>
      </c>
      <c r="L19" s="4">
        <v>6800</v>
      </c>
      <c r="M19" s="5">
        <v>0.15</v>
      </c>
      <c r="N19" s="4">
        <v>2040</v>
      </c>
      <c r="O19" s="4">
        <v>578</v>
      </c>
      <c r="P19" s="4">
        <v>200</v>
      </c>
      <c r="Q19" s="4">
        <v>12338</v>
      </c>
      <c r="R19" s="2" t="s">
        <v>48</v>
      </c>
      <c r="S19" s="2" t="s">
        <v>35</v>
      </c>
      <c r="T19" s="2" t="s">
        <v>120</v>
      </c>
      <c r="U19" s="2" t="s">
        <v>121</v>
      </c>
      <c r="V19" s="2" t="s">
        <v>38</v>
      </c>
      <c r="W19" s="2">
        <v>5</v>
      </c>
      <c r="X19" s="2" t="s">
        <v>51</v>
      </c>
      <c r="Y19" s="2">
        <v>5</v>
      </c>
      <c r="Z19" s="2" t="s">
        <v>40</v>
      </c>
    </row>
    <row r="20" spans="1:26" x14ac:dyDescent="0.25">
      <c r="A20" s="2" t="s">
        <v>149</v>
      </c>
      <c r="B20" s="3">
        <v>46041</v>
      </c>
      <c r="C20" s="2" t="s">
        <v>150</v>
      </c>
      <c r="D20" s="2" t="s">
        <v>132</v>
      </c>
      <c r="E20" s="2" t="s">
        <v>29</v>
      </c>
      <c r="F20" s="2">
        <v>50</v>
      </c>
      <c r="G20" s="2" t="s">
        <v>30</v>
      </c>
      <c r="H20" s="2" t="s">
        <v>31</v>
      </c>
      <c r="I20" s="2" t="s">
        <v>32</v>
      </c>
      <c r="J20" s="2" t="s">
        <v>33</v>
      </c>
      <c r="K20" s="2">
        <v>3</v>
      </c>
      <c r="L20" s="4">
        <v>700</v>
      </c>
      <c r="M20" s="5">
        <v>0.05</v>
      </c>
      <c r="N20" s="4">
        <v>105</v>
      </c>
      <c r="O20" s="4">
        <v>239.4</v>
      </c>
      <c r="P20" s="4">
        <v>75</v>
      </c>
      <c r="Q20" s="4">
        <v>2309.4</v>
      </c>
      <c r="R20" s="2" t="s">
        <v>88</v>
      </c>
      <c r="S20" s="2" t="s">
        <v>35</v>
      </c>
      <c r="T20" s="2" t="s">
        <v>90</v>
      </c>
      <c r="U20" s="2" t="s">
        <v>62</v>
      </c>
      <c r="V20" s="2" t="s">
        <v>63</v>
      </c>
      <c r="W20" s="2">
        <v>8</v>
      </c>
      <c r="X20" s="2" t="s">
        <v>39</v>
      </c>
      <c r="Y20" s="2">
        <v>0</v>
      </c>
      <c r="Z20" s="2" t="s">
        <v>64</v>
      </c>
    </row>
    <row r="21" spans="1:26" x14ac:dyDescent="0.25">
      <c r="A21" s="2" t="s">
        <v>151</v>
      </c>
      <c r="B21" s="3">
        <v>46193</v>
      </c>
      <c r="C21" s="2" t="s">
        <v>152</v>
      </c>
      <c r="D21" s="2" t="s">
        <v>132</v>
      </c>
      <c r="E21" s="2" t="s">
        <v>44</v>
      </c>
      <c r="F21" s="2">
        <v>60</v>
      </c>
      <c r="G21" s="2" t="s">
        <v>142</v>
      </c>
      <c r="H21" s="2" t="s">
        <v>69</v>
      </c>
      <c r="I21" s="2" t="s">
        <v>143</v>
      </c>
      <c r="J21" s="2" t="s">
        <v>110</v>
      </c>
      <c r="K21" s="2">
        <v>3</v>
      </c>
      <c r="L21" s="4">
        <v>23800</v>
      </c>
      <c r="M21" s="5">
        <v>0</v>
      </c>
      <c r="N21" s="4">
        <v>0</v>
      </c>
      <c r="O21" s="4">
        <v>12852</v>
      </c>
      <c r="P21" s="4">
        <v>150</v>
      </c>
      <c r="Q21" s="4">
        <v>84402</v>
      </c>
      <c r="R21" s="2" t="s">
        <v>88</v>
      </c>
      <c r="S21" s="2" t="s">
        <v>89</v>
      </c>
      <c r="T21" s="2" t="s">
        <v>90</v>
      </c>
      <c r="U21" s="2" t="s">
        <v>62</v>
      </c>
      <c r="V21" s="2" t="s">
        <v>63</v>
      </c>
      <c r="W21" s="2">
        <v>5</v>
      </c>
      <c r="X21" s="2" t="s">
        <v>39</v>
      </c>
      <c r="Y21" s="2">
        <v>4</v>
      </c>
      <c r="Z21" s="2" t="s">
        <v>40</v>
      </c>
    </row>
    <row r="22" spans="1:26" x14ac:dyDescent="0.25">
      <c r="A22" s="2" t="s">
        <v>153</v>
      </c>
      <c r="B22" s="3">
        <v>46087</v>
      </c>
      <c r="C22" s="2" t="s">
        <v>154</v>
      </c>
      <c r="D22" s="2" t="s">
        <v>129</v>
      </c>
      <c r="E22" s="2" t="s">
        <v>29</v>
      </c>
      <c r="F22" s="2">
        <v>58</v>
      </c>
      <c r="G22" s="2" t="s">
        <v>78</v>
      </c>
      <c r="H22" s="2" t="s">
        <v>31</v>
      </c>
      <c r="I22" s="2" t="s">
        <v>79</v>
      </c>
      <c r="J22" s="2" t="s">
        <v>33</v>
      </c>
      <c r="K22" s="2">
        <v>1</v>
      </c>
      <c r="L22" s="4">
        <v>1500</v>
      </c>
      <c r="M22" s="5">
        <v>0.1</v>
      </c>
      <c r="N22" s="4">
        <v>150</v>
      </c>
      <c r="O22" s="4">
        <v>67.5</v>
      </c>
      <c r="P22" s="4">
        <v>200</v>
      </c>
      <c r="Q22" s="4">
        <v>1617.5</v>
      </c>
      <c r="R22" s="2" t="s">
        <v>48</v>
      </c>
      <c r="S22" s="2" t="s">
        <v>35</v>
      </c>
      <c r="T22" s="2" t="s">
        <v>61</v>
      </c>
      <c r="U22" s="2" t="s">
        <v>62</v>
      </c>
      <c r="V22" s="2" t="s">
        <v>63</v>
      </c>
      <c r="W22" s="2">
        <v>3</v>
      </c>
      <c r="X22" s="2" t="s">
        <v>39</v>
      </c>
      <c r="Y22" s="2">
        <v>0</v>
      </c>
      <c r="Z22" s="2" t="s">
        <v>91</v>
      </c>
    </row>
    <row r="23" spans="1:26" x14ac:dyDescent="0.25">
      <c r="A23" s="2" t="s">
        <v>155</v>
      </c>
      <c r="B23" s="3">
        <v>46051</v>
      </c>
      <c r="C23" s="2" t="s">
        <v>156</v>
      </c>
      <c r="D23" s="2" t="s">
        <v>67</v>
      </c>
      <c r="E23" s="2" t="s">
        <v>29</v>
      </c>
      <c r="F23" s="2">
        <v>52</v>
      </c>
      <c r="G23" s="2" t="s">
        <v>99</v>
      </c>
      <c r="H23" s="2" t="s">
        <v>69</v>
      </c>
      <c r="I23" s="2" t="s">
        <v>100</v>
      </c>
      <c r="J23" s="2" t="s">
        <v>157</v>
      </c>
      <c r="K23" s="2">
        <v>5</v>
      </c>
      <c r="L23" s="4">
        <v>73200</v>
      </c>
      <c r="M23" s="5">
        <v>0.05</v>
      </c>
      <c r="N23" s="4">
        <v>18300</v>
      </c>
      <c r="O23" s="4">
        <v>41724</v>
      </c>
      <c r="P23" s="4">
        <v>50</v>
      </c>
      <c r="Q23" s="4">
        <v>389474</v>
      </c>
      <c r="R23" s="2" t="s">
        <v>88</v>
      </c>
      <c r="S23" s="2" t="s">
        <v>60</v>
      </c>
      <c r="T23" s="2" t="s">
        <v>138</v>
      </c>
      <c r="U23" s="2" t="s">
        <v>62</v>
      </c>
      <c r="V23" s="2" t="s">
        <v>63</v>
      </c>
      <c r="W23" s="2">
        <v>5</v>
      </c>
      <c r="X23" s="2" t="s">
        <v>51</v>
      </c>
      <c r="Y23" s="2">
        <v>5</v>
      </c>
      <c r="Z23" s="2" t="s">
        <v>40</v>
      </c>
    </row>
    <row r="24" spans="1:26" x14ac:dyDescent="0.25">
      <c r="A24" s="2" t="s">
        <v>158</v>
      </c>
      <c r="B24" s="3">
        <v>46197</v>
      </c>
      <c r="C24" s="2" t="s">
        <v>159</v>
      </c>
      <c r="D24" s="2" t="s">
        <v>77</v>
      </c>
      <c r="E24" s="2" t="s">
        <v>29</v>
      </c>
      <c r="F24" s="2">
        <v>40</v>
      </c>
      <c r="G24" s="2" t="s">
        <v>104</v>
      </c>
      <c r="H24" s="2" t="s">
        <v>105</v>
      </c>
      <c r="I24" s="2" t="s">
        <v>106</v>
      </c>
      <c r="J24" s="2" t="s">
        <v>160</v>
      </c>
      <c r="K24" s="2">
        <v>5</v>
      </c>
      <c r="L24" s="4">
        <v>8900</v>
      </c>
      <c r="M24" s="5">
        <v>0.05</v>
      </c>
      <c r="N24" s="4">
        <v>2225</v>
      </c>
      <c r="O24" s="4">
        <v>2113.75</v>
      </c>
      <c r="P24" s="4">
        <v>250</v>
      </c>
      <c r="Q24" s="4">
        <v>44638.75</v>
      </c>
      <c r="R24" s="2" t="s">
        <v>34</v>
      </c>
      <c r="S24" s="2" t="s">
        <v>133</v>
      </c>
      <c r="T24" s="2" t="s">
        <v>80</v>
      </c>
      <c r="U24" s="2" t="s">
        <v>81</v>
      </c>
      <c r="V24" s="2" t="s">
        <v>82</v>
      </c>
      <c r="W24" s="2">
        <v>3</v>
      </c>
      <c r="X24" s="2" t="s">
        <v>39</v>
      </c>
      <c r="Y24" s="2">
        <v>0</v>
      </c>
      <c r="Z24" s="2" t="s">
        <v>64</v>
      </c>
    </row>
    <row r="25" spans="1:26" x14ac:dyDescent="0.25">
      <c r="A25" s="2" t="s">
        <v>161</v>
      </c>
      <c r="B25" s="3">
        <v>46223</v>
      </c>
      <c r="C25" s="2" t="s">
        <v>162</v>
      </c>
      <c r="D25" s="2" t="s">
        <v>163</v>
      </c>
      <c r="E25" s="2" t="s">
        <v>29</v>
      </c>
      <c r="F25" s="2">
        <v>35</v>
      </c>
      <c r="G25" s="2" t="s">
        <v>125</v>
      </c>
      <c r="H25" s="2" t="s">
        <v>69</v>
      </c>
      <c r="I25" s="2" t="s">
        <v>126</v>
      </c>
      <c r="J25" s="2" t="s">
        <v>164</v>
      </c>
      <c r="K25" s="2">
        <v>4</v>
      </c>
      <c r="L25" s="4">
        <v>1400</v>
      </c>
      <c r="M25" s="5">
        <v>0.15</v>
      </c>
      <c r="N25" s="4">
        <v>840</v>
      </c>
      <c r="O25" s="4">
        <v>238</v>
      </c>
      <c r="P25" s="4">
        <v>50</v>
      </c>
      <c r="Q25" s="4">
        <v>5048</v>
      </c>
      <c r="R25" s="2" t="s">
        <v>72</v>
      </c>
      <c r="S25" s="2" t="s">
        <v>60</v>
      </c>
      <c r="T25" s="2" t="s">
        <v>165</v>
      </c>
      <c r="U25" s="2" t="s">
        <v>166</v>
      </c>
      <c r="V25" s="2" t="s">
        <v>82</v>
      </c>
      <c r="W25" s="2">
        <v>8</v>
      </c>
      <c r="X25" s="2" t="s">
        <v>122</v>
      </c>
      <c r="Y25" s="2">
        <v>5</v>
      </c>
      <c r="Z25" s="2" t="s">
        <v>40</v>
      </c>
    </row>
    <row r="26" spans="1:26" x14ac:dyDescent="0.25">
      <c r="A26" s="2" t="s">
        <v>167</v>
      </c>
      <c r="B26" s="3">
        <v>46125</v>
      </c>
      <c r="C26" s="2" t="s">
        <v>168</v>
      </c>
      <c r="D26" s="2" t="s">
        <v>169</v>
      </c>
      <c r="E26" s="2" t="s">
        <v>44</v>
      </c>
      <c r="F26" s="2">
        <v>22</v>
      </c>
      <c r="G26" s="2" t="s">
        <v>30</v>
      </c>
      <c r="H26" s="2" t="s">
        <v>31</v>
      </c>
      <c r="I26" s="2" t="s">
        <v>32</v>
      </c>
      <c r="J26" s="2" t="s">
        <v>170</v>
      </c>
      <c r="K26" s="2">
        <v>5</v>
      </c>
      <c r="L26" s="4">
        <v>1700</v>
      </c>
      <c r="M26" s="5">
        <v>0.25</v>
      </c>
      <c r="N26" s="4">
        <v>2125</v>
      </c>
      <c r="O26" s="4">
        <v>1147.5</v>
      </c>
      <c r="P26" s="4">
        <v>75</v>
      </c>
      <c r="Q26" s="4">
        <v>7597.5</v>
      </c>
      <c r="R26" s="2" t="s">
        <v>34</v>
      </c>
      <c r="S26" s="2" t="s">
        <v>133</v>
      </c>
      <c r="T26" s="2" t="s">
        <v>138</v>
      </c>
      <c r="U26" s="2" t="s">
        <v>62</v>
      </c>
      <c r="V26" s="2" t="s">
        <v>63</v>
      </c>
      <c r="W26" s="2">
        <v>2</v>
      </c>
      <c r="X26" s="2" t="s">
        <v>39</v>
      </c>
      <c r="Y26" s="2">
        <v>0</v>
      </c>
      <c r="Z26" s="2" t="s">
        <v>64</v>
      </c>
    </row>
    <row r="27" spans="1:26" x14ac:dyDescent="0.25">
      <c r="A27" s="2" t="s">
        <v>171</v>
      </c>
      <c r="B27" s="3">
        <v>46032</v>
      </c>
      <c r="C27" s="2" t="s">
        <v>172</v>
      </c>
      <c r="D27" s="2" t="s">
        <v>28</v>
      </c>
      <c r="E27" s="2" t="s">
        <v>44</v>
      </c>
      <c r="F27" s="2">
        <v>40</v>
      </c>
      <c r="G27" s="2" t="s">
        <v>55</v>
      </c>
      <c r="H27" s="2" t="s">
        <v>56</v>
      </c>
      <c r="I27" s="2" t="s">
        <v>57</v>
      </c>
      <c r="J27" s="2" t="s">
        <v>58</v>
      </c>
      <c r="K27" s="2">
        <v>4</v>
      </c>
      <c r="L27" s="4">
        <v>11200</v>
      </c>
      <c r="M27" s="5">
        <v>0.2</v>
      </c>
      <c r="N27" s="4">
        <v>8960</v>
      </c>
      <c r="O27" s="4">
        <v>1792</v>
      </c>
      <c r="P27" s="4">
        <v>100</v>
      </c>
      <c r="Q27" s="4">
        <v>37732</v>
      </c>
      <c r="R27" s="2" t="s">
        <v>59</v>
      </c>
      <c r="S27" s="2" t="s">
        <v>60</v>
      </c>
      <c r="T27" s="2" t="s">
        <v>173</v>
      </c>
      <c r="U27" s="2" t="s">
        <v>174</v>
      </c>
      <c r="V27" s="2" t="s">
        <v>82</v>
      </c>
      <c r="W27" s="2">
        <v>10</v>
      </c>
      <c r="X27" s="2" t="s">
        <v>39</v>
      </c>
      <c r="Y27" s="2">
        <v>4</v>
      </c>
      <c r="Z27" s="2" t="s">
        <v>40</v>
      </c>
    </row>
    <row r="28" spans="1:26" x14ac:dyDescent="0.25">
      <c r="A28" s="2" t="s">
        <v>175</v>
      </c>
      <c r="B28" s="3">
        <v>46116</v>
      </c>
      <c r="C28" s="2" t="s">
        <v>176</v>
      </c>
      <c r="D28" s="2" t="s">
        <v>163</v>
      </c>
      <c r="E28" s="2" t="s">
        <v>29</v>
      </c>
      <c r="F28" s="2">
        <v>60</v>
      </c>
      <c r="G28" s="2" t="s">
        <v>177</v>
      </c>
      <c r="H28" s="2" t="s">
        <v>31</v>
      </c>
      <c r="I28" s="2" t="s">
        <v>32</v>
      </c>
      <c r="J28" s="2" t="s">
        <v>178</v>
      </c>
      <c r="K28" s="2">
        <v>1</v>
      </c>
      <c r="L28" s="4">
        <v>3100</v>
      </c>
      <c r="M28" s="5">
        <v>0.2</v>
      </c>
      <c r="N28" s="4">
        <v>620</v>
      </c>
      <c r="O28" s="4">
        <v>297.60000000000002</v>
      </c>
      <c r="P28" s="4">
        <v>200</v>
      </c>
      <c r="Q28" s="4">
        <v>2977.6</v>
      </c>
      <c r="R28" s="2" t="s">
        <v>48</v>
      </c>
      <c r="S28" s="2" t="s">
        <v>60</v>
      </c>
      <c r="T28" s="2" t="s">
        <v>134</v>
      </c>
      <c r="U28" s="2" t="s">
        <v>135</v>
      </c>
      <c r="V28" s="2" t="s">
        <v>50</v>
      </c>
      <c r="W28" s="2">
        <v>6</v>
      </c>
      <c r="X28" s="2" t="s">
        <v>39</v>
      </c>
      <c r="Y28" s="2">
        <v>4</v>
      </c>
      <c r="Z28" s="2" t="s">
        <v>40</v>
      </c>
    </row>
    <row r="29" spans="1:26" x14ac:dyDescent="0.25">
      <c r="A29" s="2" t="s">
        <v>179</v>
      </c>
      <c r="B29" s="3">
        <v>46180</v>
      </c>
      <c r="C29" s="2" t="s">
        <v>180</v>
      </c>
      <c r="D29" s="2" t="s">
        <v>85</v>
      </c>
      <c r="E29" s="2" t="s">
        <v>44</v>
      </c>
      <c r="F29" s="2">
        <v>43</v>
      </c>
      <c r="G29" s="2" t="s">
        <v>104</v>
      </c>
      <c r="H29" s="2" t="s">
        <v>105</v>
      </c>
      <c r="I29" s="2" t="s">
        <v>106</v>
      </c>
      <c r="J29" s="2" t="s">
        <v>181</v>
      </c>
      <c r="K29" s="2">
        <v>3</v>
      </c>
      <c r="L29" s="4">
        <v>12300</v>
      </c>
      <c r="M29" s="5">
        <v>0.05</v>
      </c>
      <c r="N29" s="4">
        <v>1845</v>
      </c>
      <c r="O29" s="4">
        <v>4206.6000000000004</v>
      </c>
      <c r="P29" s="4">
        <v>250</v>
      </c>
      <c r="Q29" s="4">
        <v>39511.599999999999</v>
      </c>
      <c r="R29" s="2" t="s">
        <v>48</v>
      </c>
      <c r="S29" s="2" t="s">
        <v>89</v>
      </c>
      <c r="T29" s="2" t="s">
        <v>144</v>
      </c>
      <c r="U29" s="2" t="s">
        <v>145</v>
      </c>
      <c r="V29" s="2" t="s">
        <v>38</v>
      </c>
      <c r="W29" s="2">
        <v>10</v>
      </c>
      <c r="X29" s="2" t="s">
        <v>39</v>
      </c>
      <c r="Y29" s="2">
        <v>0</v>
      </c>
      <c r="Z29" s="2" t="s">
        <v>91</v>
      </c>
    </row>
    <row r="30" spans="1:26" x14ac:dyDescent="0.25">
      <c r="A30" s="2" t="s">
        <v>182</v>
      </c>
      <c r="B30" s="3">
        <v>46195</v>
      </c>
      <c r="C30" s="2" t="s">
        <v>183</v>
      </c>
      <c r="D30" s="2" t="s">
        <v>43</v>
      </c>
      <c r="E30" s="2" t="s">
        <v>44</v>
      </c>
      <c r="F30" s="2">
        <v>65</v>
      </c>
      <c r="G30" s="2" t="s">
        <v>125</v>
      </c>
      <c r="H30" s="2" t="s">
        <v>69</v>
      </c>
      <c r="I30" s="2" t="s">
        <v>126</v>
      </c>
      <c r="J30" s="2" t="s">
        <v>164</v>
      </c>
      <c r="K30" s="2">
        <v>3</v>
      </c>
      <c r="L30" s="4">
        <v>7500</v>
      </c>
      <c r="M30" s="5">
        <v>0.25</v>
      </c>
      <c r="N30" s="4">
        <v>5625</v>
      </c>
      <c r="O30" s="4">
        <v>3037.5</v>
      </c>
      <c r="P30" s="4">
        <v>150</v>
      </c>
      <c r="Q30" s="4">
        <v>20062.5</v>
      </c>
      <c r="R30" s="2" t="s">
        <v>34</v>
      </c>
      <c r="S30" s="2" t="s">
        <v>133</v>
      </c>
      <c r="T30" s="2" t="s">
        <v>49</v>
      </c>
      <c r="U30" s="2" t="s">
        <v>49</v>
      </c>
      <c r="V30" s="2" t="s">
        <v>50</v>
      </c>
      <c r="W30" s="2">
        <v>2</v>
      </c>
      <c r="X30" s="2" t="s">
        <v>39</v>
      </c>
      <c r="Y30" s="2">
        <v>0</v>
      </c>
      <c r="Z30" s="2" t="s">
        <v>64</v>
      </c>
    </row>
    <row r="31" spans="1:26" x14ac:dyDescent="0.25">
      <c r="A31" s="2" t="s">
        <v>184</v>
      </c>
      <c r="B31" s="3">
        <v>46080</v>
      </c>
      <c r="C31" s="2" t="s">
        <v>185</v>
      </c>
      <c r="D31" s="2" t="s">
        <v>43</v>
      </c>
      <c r="E31" s="2" t="s">
        <v>29</v>
      </c>
      <c r="F31" s="2">
        <v>19</v>
      </c>
      <c r="G31" s="2" t="s">
        <v>99</v>
      </c>
      <c r="H31" s="2" t="s">
        <v>69</v>
      </c>
      <c r="I31" s="2" t="s">
        <v>100</v>
      </c>
      <c r="J31" s="2" t="s">
        <v>119</v>
      </c>
      <c r="K31" s="2">
        <v>4</v>
      </c>
      <c r="L31" s="4">
        <v>76200</v>
      </c>
      <c r="M31" s="5">
        <v>0</v>
      </c>
      <c r="N31" s="4">
        <v>0</v>
      </c>
      <c r="O31" s="4">
        <v>36576</v>
      </c>
      <c r="P31" s="4">
        <v>100</v>
      </c>
      <c r="Q31" s="4">
        <v>341476</v>
      </c>
      <c r="R31" s="2" t="s">
        <v>34</v>
      </c>
      <c r="S31" s="2" t="s">
        <v>35</v>
      </c>
      <c r="T31" s="2" t="s">
        <v>173</v>
      </c>
      <c r="U31" s="2" t="s">
        <v>174</v>
      </c>
      <c r="V31" s="2" t="s">
        <v>82</v>
      </c>
      <c r="W31" s="2">
        <v>10</v>
      </c>
      <c r="X31" s="2" t="s">
        <v>39</v>
      </c>
      <c r="Y31" s="2">
        <v>5</v>
      </c>
      <c r="Z31" s="2" t="s">
        <v>40</v>
      </c>
    </row>
    <row r="32" spans="1:26" x14ac:dyDescent="0.25">
      <c r="A32" s="2" t="s">
        <v>186</v>
      </c>
      <c r="B32" s="3">
        <v>46251</v>
      </c>
      <c r="C32" s="2" t="s">
        <v>187</v>
      </c>
      <c r="D32" s="2" t="s">
        <v>28</v>
      </c>
      <c r="E32" s="2" t="s">
        <v>44</v>
      </c>
      <c r="F32" s="2">
        <v>32</v>
      </c>
      <c r="G32" s="2" t="s">
        <v>125</v>
      </c>
      <c r="H32" s="2" t="s">
        <v>69</v>
      </c>
      <c r="I32" s="2" t="s">
        <v>126</v>
      </c>
      <c r="J32" s="2" t="s">
        <v>71</v>
      </c>
      <c r="K32" s="2">
        <v>1</v>
      </c>
      <c r="L32" s="4">
        <v>8100</v>
      </c>
      <c r="M32" s="5">
        <v>0.05</v>
      </c>
      <c r="N32" s="4">
        <v>405</v>
      </c>
      <c r="O32" s="4">
        <v>384.75</v>
      </c>
      <c r="P32" s="4">
        <v>100</v>
      </c>
      <c r="Q32" s="4">
        <v>8179.75</v>
      </c>
      <c r="R32" s="2" t="s">
        <v>59</v>
      </c>
      <c r="S32" s="2" t="s">
        <v>133</v>
      </c>
      <c r="T32" s="2" t="s">
        <v>90</v>
      </c>
      <c r="U32" s="2" t="s">
        <v>62</v>
      </c>
      <c r="V32" s="2" t="s">
        <v>63</v>
      </c>
      <c r="W32" s="2">
        <v>8</v>
      </c>
      <c r="X32" s="2" t="s">
        <v>39</v>
      </c>
      <c r="Y32" s="2">
        <v>0</v>
      </c>
      <c r="Z32" s="2" t="s">
        <v>91</v>
      </c>
    </row>
    <row r="33" spans="1:26" x14ac:dyDescent="0.25">
      <c r="A33" s="2" t="s">
        <v>188</v>
      </c>
      <c r="B33" s="3">
        <v>46266</v>
      </c>
      <c r="C33" s="2" t="s">
        <v>189</v>
      </c>
      <c r="D33" s="2" t="s">
        <v>98</v>
      </c>
      <c r="E33" s="2" t="s">
        <v>44</v>
      </c>
      <c r="F33" s="2">
        <v>53</v>
      </c>
      <c r="G33" s="2" t="s">
        <v>45</v>
      </c>
      <c r="H33" s="2" t="s">
        <v>31</v>
      </c>
      <c r="I33" s="2" t="s">
        <v>46</v>
      </c>
      <c r="J33" s="2" t="s">
        <v>190</v>
      </c>
      <c r="K33" s="2">
        <v>4</v>
      </c>
      <c r="L33" s="4">
        <v>3600</v>
      </c>
      <c r="M33" s="5">
        <v>0.1</v>
      </c>
      <c r="N33" s="4">
        <v>1440</v>
      </c>
      <c r="O33" s="4">
        <v>648</v>
      </c>
      <c r="P33" s="4">
        <v>250</v>
      </c>
      <c r="Q33" s="4">
        <v>13858</v>
      </c>
      <c r="R33" s="2" t="s">
        <v>48</v>
      </c>
      <c r="S33" s="2" t="s">
        <v>60</v>
      </c>
      <c r="T33" s="2" t="s">
        <v>120</v>
      </c>
      <c r="U33" s="2" t="s">
        <v>121</v>
      </c>
      <c r="V33" s="2" t="s">
        <v>38</v>
      </c>
      <c r="W33" s="2">
        <v>5</v>
      </c>
      <c r="X33" s="2" t="s">
        <v>39</v>
      </c>
      <c r="Y33" s="2">
        <v>0</v>
      </c>
      <c r="Z33" s="2" t="s">
        <v>91</v>
      </c>
    </row>
    <row r="34" spans="1:26" x14ac:dyDescent="0.25">
      <c r="A34" s="2" t="s">
        <v>191</v>
      </c>
      <c r="B34" s="3">
        <v>46093</v>
      </c>
      <c r="C34" s="2" t="s">
        <v>93</v>
      </c>
      <c r="D34" s="2" t="s">
        <v>98</v>
      </c>
      <c r="E34" s="2" t="s">
        <v>29</v>
      </c>
      <c r="F34" s="2">
        <v>63</v>
      </c>
      <c r="G34" s="2" t="s">
        <v>30</v>
      </c>
      <c r="H34" s="2" t="s">
        <v>31</v>
      </c>
      <c r="I34" s="2" t="s">
        <v>32</v>
      </c>
      <c r="J34" s="2" t="s">
        <v>33</v>
      </c>
      <c r="K34" s="2">
        <v>3</v>
      </c>
      <c r="L34" s="4">
        <v>1500</v>
      </c>
      <c r="M34" s="5">
        <v>0.1</v>
      </c>
      <c r="N34" s="4">
        <v>450</v>
      </c>
      <c r="O34" s="4">
        <v>729</v>
      </c>
      <c r="P34" s="4">
        <v>0</v>
      </c>
      <c r="Q34" s="4">
        <v>4779</v>
      </c>
      <c r="R34" s="2" t="s">
        <v>48</v>
      </c>
      <c r="S34" s="2" t="s">
        <v>89</v>
      </c>
      <c r="T34" s="2" t="s">
        <v>90</v>
      </c>
      <c r="U34" s="2" t="s">
        <v>62</v>
      </c>
      <c r="V34" s="2" t="s">
        <v>63</v>
      </c>
      <c r="W34" s="2">
        <v>3</v>
      </c>
      <c r="X34" s="2" t="s">
        <v>39</v>
      </c>
      <c r="Y34" s="2">
        <v>5</v>
      </c>
      <c r="Z34" s="2" t="s">
        <v>40</v>
      </c>
    </row>
    <row r="35" spans="1:26" x14ac:dyDescent="0.25">
      <c r="A35" s="2" t="s">
        <v>192</v>
      </c>
      <c r="B35" s="3">
        <v>46107</v>
      </c>
      <c r="C35" s="2" t="s">
        <v>193</v>
      </c>
      <c r="D35" s="2" t="s">
        <v>132</v>
      </c>
      <c r="E35" s="2" t="s">
        <v>44</v>
      </c>
      <c r="F35" s="2">
        <v>44</v>
      </c>
      <c r="G35" s="2" t="s">
        <v>99</v>
      </c>
      <c r="H35" s="2" t="s">
        <v>69</v>
      </c>
      <c r="I35" s="2" t="s">
        <v>100</v>
      </c>
      <c r="J35" s="2" t="s">
        <v>119</v>
      </c>
      <c r="K35" s="2">
        <v>4</v>
      </c>
      <c r="L35" s="4">
        <v>64900</v>
      </c>
      <c r="M35" s="5">
        <v>0.2</v>
      </c>
      <c r="N35" s="4">
        <v>51920</v>
      </c>
      <c r="O35" s="4">
        <v>37382.400000000001</v>
      </c>
      <c r="P35" s="4">
        <v>0</v>
      </c>
      <c r="Q35" s="4">
        <v>245062.39999999999</v>
      </c>
      <c r="R35" s="2" t="s">
        <v>48</v>
      </c>
      <c r="S35" s="2" t="s">
        <v>89</v>
      </c>
      <c r="T35" s="2" t="s">
        <v>165</v>
      </c>
      <c r="U35" s="2" t="s">
        <v>166</v>
      </c>
      <c r="V35" s="2" t="s">
        <v>82</v>
      </c>
      <c r="W35" s="2">
        <v>10</v>
      </c>
      <c r="X35" s="2" t="s">
        <v>39</v>
      </c>
      <c r="Y35" s="2">
        <v>4</v>
      </c>
      <c r="Z35" s="2" t="s">
        <v>40</v>
      </c>
    </row>
    <row r="36" spans="1:26" x14ac:dyDescent="0.25">
      <c r="A36" s="2" t="s">
        <v>194</v>
      </c>
      <c r="B36" s="3">
        <v>46160</v>
      </c>
      <c r="C36" s="2" t="s">
        <v>195</v>
      </c>
      <c r="D36" s="2" t="s">
        <v>132</v>
      </c>
      <c r="E36" s="2" t="s">
        <v>29</v>
      </c>
      <c r="F36" s="2">
        <v>49</v>
      </c>
      <c r="G36" s="2" t="s">
        <v>68</v>
      </c>
      <c r="H36" s="2" t="s">
        <v>69</v>
      </c>
      <c r="I36" s="2" t="s">
        <v>70</v>
      </c>
      <c r="J36" s="2" t="s">
        <v>71</v>
      </c>
      <c r="K36" s="2">
        <v>4</v>
      </c>
      <c r="L36" s="4">
        <v>26600</v>
      </c>
      <c r="M36" s="5">
        <v>0</v>
      </c>
      <c r="N36" s="4">
        <v>0</v>
      </c>
      <c r="O36" s="4">
        <v>12768</v>
      </c>
      <c r="P36" s="4">
        <v>75</v>
      </c>
      <c r="Q36" s="4">
        <v>119243</v>
      </c>
      <c r="R36" s="2" t="s">
        <v>48</v>
      </c>
      <c r="S36" s="2" t="s">
        <v>60</v>
      </c>
      <c r="T36" s="2" t="s">
        <v>120</v>
      </c>
      <c r="U36" s="2" t="s">
        <v>121</v>
      </c>
      <c r="V36" s="2" t="s">
        <v>38</v>
      </c>
      <c r="W36" s="2">
        <v>7</v>
      </c>
      <c r="X36" s="2" t="s">
        <v>39</v>
      </c>
      <c r="Y36" s="2">
        <v>0</v>
      </c>
      <c r="Z36" s="2" t="s">
        <v>91</v>
      </c>
    </row>
    <row r="37" spans="1:26" x14ac:dyDescent="0.25">
      <c r="A37" s="2" t="s">
        <v>196</v>
      </c>
      <c r="B37" s="3">
        <v>46182</v>
      </c>
      <c r="C37" s="2" t="s">
        <v>197</v>
      </c>
      <c r="D37" s="2" t="s">
        <v>132</v>
      </c>
      <c r="E37" s="2" t="s">
        <v>29</v>
      </c>
      <c r="F37" s="2">
        <v>43</v>
      </c>
      <c r="G37" s="2" t="s">
        <v>198</v>
      </c>
      <c r="H37" s="2" t="s">
        <v>105</v>
      </c>
      <c r="I37" s="2" t="s">
        <v>199</v>
      </c>
      <c r="J37" s="2" t="s">
        <v>200</v>
      </c>
      <c r="K37" s="2">
        <v>1</v>
      </c>
      <c r="L37" s="4">
        <v>6100</v>
      </c>
      <c r="M37" s="5">
        <v>0.25</v>
      </c>
      <c r="N37" s="4">
        <v>1525</v>
      </c>
      <c r="O37" s="4">
        <v>549</v>
      </c>
      <c r="P37" s="4">
        <v>50</v>
      </c>
      <c r="Q37" s="4">
        <v>5174</v>
      </c>
      <c r="R37" s="2" t="s">
        <v>88</v>
      </c>
      <c r="S37" s="2" t="s">
        <v>133</v>
      </c>
      <c r="T37" s="2" t="s">
        <v>165</v>
      </c>
      <c r="U37" s="2" t="s">
        <v>166</v>
      </c>
      <c r="V37" s="2" t="s">
        <v>82</v>
      </c>
      <c r="W37" s="2">
        <v>8</v>
      </c>
      <c r="X37" s="2" t="s">
        <v>39</v>
      </c>
      <c r="Y37" s="2">
        <v>4</v>
      </c>
      <c r="Z37" s="2" t="s">
        <v>40</v>
      </c>
    </row>
    <row r="38" spans="1:26" x14ac:dyDescent="0.25">
      <c r="A38" s="2" t="s">
        <v>201</v>
      </c>
      <c r="B38" s="3">
        <v>46217</v>
      </c>
      <c r="C38" s="2" t="s">
        <v>202</v>
      </c>
      <c r="D38" s="2" t="s">
        <v>203</v>
      </c>
      <c r="E38" s="2" t="s">
        <v>44</v>
      </c>
      <c r="F38" s="2">
        <v>44</v>
      </c>
      <c r="G38" s="2" t="s">
        <v>30</v>
      </c>
      <c r="H38" s="2" t="s">
        <v>31</v>
      </c>
      <c r="I38" s="2" t="s">
        <v>32</v>
      </c>
      <c r="J38" s="2" t="s">
        <v>204</v>
      </c>
      <c r="K38" s="2">
        <v>4</v>
      </c>
      <c r="L38" s="4">
        <v>500</v>
      </c>
      <c r="M38" s="5">
        <v>0.25</v>
      </c>
      <c r="N38" s="4">
        <v>500</v>
      </c>
      <c r="O38" s="4">
        <v>270</v>
      </c>
      <c r="P38" s="4">
        <v>0</v>
      </c>
      <c r="Q38" s="4">
        <v>1770</v>
      </c>
      <c r="R38" s="2" t="s">
        <v>72</v>
      </c>
      <c r="S38" s="2" t="s">
        <v>35</v>
      </c>
      <c r="T38" s="2" t="s">
        <v>49</v>
      </c>
      <c r="U38" s="2" t="s">
        <v>49</v>
      </c>
      <c r="V38" s="2" t="s">
        <v>50</v>
      </c>
      <c r="W38" s="2">
        <v>4</v>
      </c>
      <c r="X38" s="2" t="s">
        <v>39</v>
      </c>
      <c r="Y38" s="2">
        <v>0</v>
      </c>
      <c r="Z38" s="2" t="s">
        <v>91</v>
      </c>
    </row>
    <row r="39" spans="1:26" x14ac:dyDescent="0.25">
      <c r="A39" s="2" t="s">
        <v>205</v>
      </c>
      <c r="B39" s="3">
        <v>46266</v>
      </c>
      <c r="C39" s="2" t="s">
        <v>206</v>
      </c>
      <c r="D39" s="2" t="s">
        <v>77</v>
      </c>
      <c r="E39" s="2" t="s">
        <v>29</v>
      </c>
      <c r="F39" s="2">
        <v>19</v>
      </c>
      <c r="G39" s="2" t="s">
        <v>198</v>
      </c>
      <c r="H39" s="2" t="s">
        <v>105</v>
      </c>
      <c r="I39" s="2" t="s">
        <v>199</v>
      </c>
      <c r="J39" s="2" t="s">
        <v>207</v>
      </c>
      <c r="K39" s="2">
        <v>2</v>
      </c>
      <c r="L39" s="4">
        <v>7200</v>
      </c>
      <c r="M39" s="5">
        <v>0.15</v>
      </c>
      <c r="N39" s="4">
        <v>2160</v>
      </c>
      <c r="O39" s="4">
        <v>2203.1999999999998</v>
      </c>
      <c r="P39" s="4">
        <v>0</v>
      </c>
      <c r="Q39" s="4">
        <v>14443.2</v>
      </c>
      <c r="R39" s="2" t="s">
        <v>59</v>
      </c>
      <c r="S39" s="2" t="s">
        <v>35</v>
      </c>
      <c r="T39" s="2" t="s">
        <v>144</v>
      </c>
      <c r="U39" s="2" t="s">
        <v>145</v>
      </c>
      <c r="V39" s="2" t="s">
        <v>38</v>
      </c>
      <c r="W39" s="2">
        <v>4</v>
      </c>
      <c r="X39" s="2" t="s">
        <v>39</v>
      </c>
      <c r="Y39" s="2">
        <v>4</v>
      </c>
      <c r="Z39" s="2" t="s">
        <v>40</v>
      </c>
    </row>
    <row r="40" spans="1:26" x14ac:dyDescent="0.25">
      <c r="A40" s="2" t="s">
        <v>208</v>
      </c>
      <c r="B40" s="3">
        <v>46222</v>
      </c>
      <c r="C40" s="2" t="s">
        <v>209</v>
      </c>
      <c r="D40" s="2" t="s">
        <v>210</v>
      </c>
      <c r="E40" s="2" t="s">
        <v>44</v>
      </c>
      <c r="F40" s="2">
        <v>24</v>
      </c>
      <c r="G40" s="2" t="s">
        <v>198</v>
      </c>
      <c r="H40" s="2" t="s">
        <v>105</v>
      </c>
      <c r="I40" s="2" t="s">
        <v>199</v>
      </c>
      <c r="J40" s="2" t="s">
        <v>207</v>
      </c>
      <c r="K40" s="2">
        <v>3</v>
      </c>
      <c r="L40" s="4">
        <v>18700</v>
      </c>
      <c r="M40" s="5">
        <v>0.25</v>
      </c>
      <c r="N40" s="4">
        <v>14025</v>
      </c>
      <c r="O40" s="4">
        <v>5049</v>
      </c>
      <c r="P40" s="4">
        <v>100</v>
      </c>
      <c r="Q40" s="4">
        <v>47224</v>
      </c>
      <c r="R40" s="2" t="s">
        <v>88</v>
      </c>
      <c r="S40" s="2" t="s">
        <v>35</v>
      </c>
      <c r="T40" s="2" t="s">
        <v>36</v>
      </c>
      <c r="U40" s="2" t="s">
        <v>37</v>
      </c>
      <c r="V40" s="2" t="s">
        <v>38</v>
      </c>
      <c r="W40" s="2">
        <v>4</v>
      </c>
      <c r="X40" s="2" t="s">
        <v>39</v>
      </c>
      <c r="Y40" s="2">
        <v>5</v>
      </c>
      <c r="Z40" s="2" t="s">
        <v>40</v>
      </c>
    </row>
    <row r="41" spans="1:26" x14ac:dyDescent="0.25">
      <c r="A41" s="2" t="s">
        <v>211</v>
      </c>
      <c r="B41" s="3">
        <v>46226</v>
      </c>
      <c r="C41" s="2" t="s">
        <v>212</v>
      </c>
      <c r="D41" s="2" t="s">
        <v>85</v>
      </c>
      <c r="E41" s="2" t="s">
        <v>29</v>
      </c>
      <c r="F41" s="2">
        <v>40</v>
      </c>
      <c r="G41" s="2" t="s">
        <v>104</v>
      </c>
      <c r="H41" s="2" t="s">
        <v>105</v>
      </c>
      <c r="I41" s="2" t="s">
        <v>106</v>
      </c>
      <c r="J41" s="2" t="s">
        <v>160</v>
      </c>
      <c r="K41" s="2">
        <v>3</v>
      </c>
      <c r="L41" s="4">
        <v>6700</v>
      </c>
      <c r="M41" s="5">
        <v>0.2</v>
      </c>
      <c r="N41" s="4">
        <v>4020</v>
      </c>
      <c r="O41" s="4">
        <v>2894.4</v>
      </c>
      <c r="P41" s="4">
        <v>75</v>
      </c>
      <c r="Q41" s="4">
        <v>19049.400000000001</v>
      </c>
      <c r="R41" s="2" t="s">
        <v>48</v>
      </c>
      <c r="S41" s="2" t="s">
        <v>133</v>
      </c>
      <c r="T41" s="2" t="s">
        <v>138</v>
      </c>
      <c r="U41" s="2" t="s">
        <v>62</v>
      </c>
      <c r="V41" s="2" t="s">
        <v>63</v>
      </c>
      <c r="W41" s="2">
        <v>7</v>
      </c>
      <c r="X41" s="2" t="s">
        <v>39</v>
      </c>
      <c r="Y41" s="2">
        <v>0</v>
      </c>
      <c r="Z41" s="2" t="s">
        <v>64</v>
      </c>
    </row>
    <row r="42" spans="1:26" x14ac:dyDescent="0.25">
      <c r="A42" s="2" t="s">
        <v>213</v>
      </c>
      <c r="B42" s="3">
        <v>46185</v>
      </c>
      <c r="C42" s="2" t="s">
        <v>214</v>
      </c>
      <c r="D42" s="2" t="s">
        <v>98</v>
      </c>
      <c r="E42" s="2" t="s">
        <v>29</v>
      </c>
      <c r="F42" s="2">
        <v>45</v>
      </c>
      <c r="G42" s="2" t="s">
        <v>125</v>
      </c>
      <c r="H42" s="2" t="s">
        <v>69</v>
      </c>
      <c r="I42" s="2" t="s">
        <v>126</v>
      </c>
      <c r="J42" s="2" t="s">
        <v>215</v>
      </c>
      <c r="K42" s="2">
        <v>5</v>
      </c>
      <c r="L42" s="4">
        <v>11300</v>
      </c>
      <c r="M42" s="5">
        <v>0.2</v>
      </c>
      <c r="N42" s="4">
        <v>11300</v>
      </c>
      <c r="O42" s="4">
        <v>5424</v>
      </c>
      <c r="P42" s="4">
        <v>100</v>
      </c>
      <c r="Q42" s="4">
        <v>50724</v>
      </c>
      <c r="R42" s="2" t="s">
        <v>88</v>
      </c>
      <c r="S42" s="2" t="s">
        <v>89</v>
      </c>
      <c r="T42" s="2" t="s">
        <v>134</v>
      </c>
      <c r="U42" s="2" t="s">
        <v>135</v>
      </c>
      <c r="V42" s="2" t="s">
        <v>50</v>
      </c>
      <c r="W42" s="2">
        <v>10</v>
      </c>
      <c r="X42" s="2" t="s">
        <v>122</v>
      </c>
      <c r="Y42" s="2">
        <v>5</v>
      </c>
      <c r="Z42" s="2" t="s">
        <v>40</v>
      </c>
    </row>
    <row r="43" spans="1:26" x14ac:dyDescent="0.25">
      <c r="A43" s="2" t="s">
        <v>216</v>
      </c>
      <c r="B43" s="3">
        <v>46085</v>
      </c>
      <c r="C43" s="2" t="s">
        <v>217</v>
      </c>
      <c r="D43" s="2" t="s">
        <v>98</v>
      </c>
      <c r="E43" s="2" t="s">
        <v>44</v>
      </c>
      <c r="F43" s="2">
        <v>39</v>
      </c>
      <c r="G43" s="2" t="s">
        <v>99</v>
      </c>
      <c r="H43" s="2" t="s">
        <v>69</v>
      </c>
      <c r="I43" s="2" t="s">
        <v>100</v>
      </c>
      <c r="J43" s="2" t="s">
        <v>218</v>
      </c>
      <c r="K43" s="2">
        <v>3</v>
      </c>
      <c r="L43" s="4">
        <v>54300</v>
      </c>
      <c r="M43" s="5">
        <v>0.15</v>
      </c>
      <c r="N43" s="4">
        <v>24435</v>
      </c>
      <c r="O43" s="4">
        <v>6923.25</v>
      </c>
      <c r="P43" s="4">
        <v>75</v>
      </c>
      <c r="Q43" s="4">
        <v>145463.25</v>
      </c>
      <c r="R43" s="2" t="s">
        <v>59</v>
      </c>
      <c r="S43" s="2" t="s">
        <v>35</v>
      </c>
      <c r="T43" s="2" t="s">
        <v>80</v>
      </c>
      <c r="U43" s="2" t="s">
        <v>81</v>
      </c>
      <c r="V43" s="2" t="s">
        <v>82</v>
      </c>
      <c r="W43" s="2">
        <v>5</v>
      </c>
      <c r="X43" s="2" t="s">
        <v>122</v>
      </c>
      <c r="Y43" s="2">
        <v>5</v>
      </c>
      <c r="Z43" s="2" t="s">
        <v>40</v>
      </c>
    </row>
    <row r="44" spans="1:26" x14ac:dyDescent="0.25">
      <c r="A44" s="2" t="s">
        <v>219</v>
      </c>
      <c r="B44" s="3">
        <v>46155</v>
      </c>
      <c r="C44" s="2" t="s">
        <v>220</v>
      </c>
      <c r="D44" s="2" t="s">
        <v>43</v>
      </c>
      <c r="E44" s="2" t="s">
        <v>29</v>
      </c>
      <c r="F44" s="2">
        <v>33</v>
      </c>
      <c r="G44" s="2" t="s">
        <v>55</v>
      </c>
      <c r="H44" s="2" t="s">
        <v>56</v>
      </c>
      <c r="I44" s="2" t="s">
        <v>57</v>
      </c>
      <c r="J44" s="2" t="s">
        <v>58</v>
      </c>
      <c r="K44" s="2">
        <v>4</v>
      </c>
      <c r="L44" s="4">
        <v>10600</v>
      </c>
      <c r="M44" s="5">
        <v>0.05</v>
      </c>
      <c r="N44" s="4">
        <v>2120</v>
      </c>
      <c r="O44" s="4">
        <v>7250.4</v>
      </c>
      <c r="P44" s="4">
        <v>100</v>
      </c>
      <c r="Q44" s="4">
        <v>47630.400000000001</v>
      </c>
      <c r="R44" s="2" t="s">
        <v>34</v>
      </c>
      <c r="S44" s="2" t="s">
        <v>133</v>
      </c>
      <c r="T44" s="2" t="s">
        <v>120</v>
      </c>
      <c r="U44" s="2" t="s">
        <v>121</v>
      </c>
      <c r="V44" s="2" t="s">
        <v>38</v>
      </c>
      <c r="W44" s="2">
        <v>8</v>
      </c>
      <c r="X44" s="2" t="s">
        <v>39</v>
      </c>
      <c r="Y44" s="2">
        <v>4</v>
      </c>
      <c r="Z44" s="2" t="s">
        <v>40</v>
      </c>
    </row>
    <row r="45" spans="1:26" x14ac:dyDescent="0.25">
      <c r="A45" s="2" t="s">
        <v>221</v>
      </c>
      <c r="B45" s="3">
        <v>46192</v>
      </c>
      <c r="C45" s="2" t="s">
        <v>222</v>
      </c>
      <c r="D45" s="2" t="s">
        <v>85</v>
      </c>
      <c r="E45" s="2" t="s">
        <v>44</v>
      </c>
      <c r="F45" s="2">
        <v>48</v>
      </c>
      <c r="G45" s="2" t="s">
        <v>104</v>
      </c>
      <c r="H45" s="2" t="s">
        <v>105</v>
      </c>
      <c r="I45" s="2" t="s">
        <v>106</v>
      </c>
      <c r="J45" s="2" t="s">
        <v>107</v>
      </c>
      <c r="K45" s="2">
        <v>3</v>
      </c>
      <c r="L45" s="4">
        <v>15800</v>
      </c>
      <c r="M45" s="5">
        <v>0.25</v>
      </c>
      <c r="N45" s="4">
        <v>11850</v>
      </c>
      <c r="O45" s="4">
        <v>6399</v>
      </c>
      <c r="P45" s="4">
        <v>75</v>
      </c>
      <c r="Q45" s="4">
        <v>42024</v>
      </c>
      <c r="R45" s="2" t="s">
        <v>88</v>
      </c>
      <c r="S45" s="2" t="s">
        <v>35</v>
      </c>
      <c r="T45" s="2" t="s">
        <v>49</v>
      </c>
      <c r="U45" s="2" t="s">
        <v>49</v>
      </c>
      <c r="V45" s="2" t="s">
        <v>50</v>
      </c>
      <c r="W45" s="2">
        <v>8</v>
      </c>
      <c r="X45" s="2" t="s">
        <v>39</v>
      </c>
      <c r="Y45" s="2">
        <v>4</v>
      </c>
      <c r="Z45" s="2" t="s">
        <v>40</v>
      </c>
    </row>
    <row r="46" spans="1:26" x14ac:dyDescent="0.25">
      <c r="A46" s="2" t="s">
        <v>223</v>
      </c>
      <c r="B46" s="3">
        <v>46213</v>
      </c>
      <c r="C46" s="2" t="s">
        <v>224</v>
      </c>
      <c r="D46" s="2" t="s">
        <v>132</v>
      </c>
      <c r="E46" s="2" t="s">
        <v>29</v>
      </c>
      <c r="F46" s="2">
        <v>30</v>
      </c>
      <c r="G46" s="2" t="s">
        <v>68</v>
      </c>
      <c r="H46" s="2" t="s">
        <v>69</v>
      </c>
      <c r="I46" s="2" t="s">
        <v>70</v>
      </c>
      <c r="J46" s="2" t="s">
        <v>225</v>
      </c>
      <c r="K46" s="2">
        <v>3</v>
      </c>
      <c r="L46" s="4">
        <v>31900</v>
      </c>
      <c r="M46" s="5">
        <v>0.2</v>
      </c>
      <c r="N46" s="4">
        <v>19140</v>
      </c>
      <c r="O46" s="4">
        <v>13780.8</v>
      </c>
      <c r="P46" s="4">
        <v>75</v>
      </c>
      <c r="Q46" s="4">
        <v>90415.8</v>
      </c>
      <c r="R46" s="2" t="s">
        <v>59</v>
      </c>
      <c r="S46" s="2" t="s">
        <v>60</v>
      </c>
      <c r="T46" s="2" t="s">
        <v>95</v>
      </c>
      <c r="U46" s="2" t="s">
        <v>62</v>
      </c>
      <c r="V46" s="2" t="s">
        <v>63</v>
      </c>
      <c r="W46" s="2">
        <v>4</v>
      </c>
      <c r="X46" s="2" t="s">
        <v>39</v>
      </c>
      <c r="Y46" s="2">
        <v>4</v>
      </c>
      <c r="Z46" s="2" t="s">
        <v>40</v>
      </c>
    </row>
    <row r="47" spans="1:26" x14ac:dyDescent="0.25">
      <c r="A47" s="2" t="s">
        <v>226</v>
      </c>
      <c r="B47" s="3">
        <v>46093</v>
      </c>
      <c r="C47" s="2" t="s">
        <v>227</v>
      </c>
      <c r="D47" s="2" t="s">
        <v>129</v>
      </c>
      <c r="E47" s="2" t="s">
        <v>29</v>
      </c>
      <c r="F47" s="2">
        <v>53</v>
      </c>
      <c r="G47" s="2" t="s">
        <v>30</v>
      </c>
      <c r="H47" s="2" t="s">
        <v>31</v>
      </c>
      <c r="I47" s="2" t="s">
        <v>32</v>
      </c>
      <c r="J47" s="2" t="s">
        <v>33</v>
      </c>
      <c r="K47" s="2">
        <v>4</v>
      </c>
      <c r="L47" s="4">
        <v>800</v>
      </c>
      <c r="M47" s="5">
        <v>0</v>
      </c>
      <c r="N47" s="4">
        <v>0</v>
      </c>
      <c r="O47" s="4">
        <v>576</v>
      </c>
      <c r="P47" s="4">
        <v>75</v>
      </c>
      <c r="Q47" s="4">
        <v>3851</v>
      </c>
      <c r="R47" s="2" t="s">
        <v>48</v>
      </c>
      <c r="S47" s="2" t="s">
        <v>35</v>
      </c>
      <c r="T47" s="2" t="s">
        <v>73</v>
      </c>
      <c r="U47" s="2" t="s">
        <v>74</v>
      </c>
      <c r="V47" s="2" t="s">
        <v>50</v>
      </c>
      <c r="W47" s="2">
        <v>8</v>
      </c>
      <c r="X47" s="2" t="s">
        <v>39</v>
      </c>
      <c r="Y47" s="2">
        <v>3</v>
      </c>
      <c r="Z47" s="2" t="s">
        <v>40</v>
      </c>
    </row>
    <row r="48" spans="1:26" x14ac:dyDescent="0.25">
      <c r="A48" s="2" t="s">
        <v>228</v>
      </c>
      <c r="B48" s="3">
        <v>46233</v>
      </c>
      <c r="C48" s="2" t="s">
        <v>229</v>
      </c>
      <c r="D48" s="2" t="s">
        <v>67</v>
      </c>
      <c r="E48" s="2" t="s">
        <v>44</v>
      </c>
      <c r="F48" s="2">
        <v>49</v>
      </c>
      <c r="G48" s="2" t="s">
        <v>142</v>
      </c>
      <c r="H48" s="2" t="s">
        <v>69</v>
      </c>
      <c r="I48" s="2" t="s">
        <v>143</v>
      </c>
      <c r="J48" s="2" t="s">
        <v>94</v>
      </c>
      <c r="K48" s="2">
        <v>2</v>
      </c>
      <c r="L48" s="4">
        <v>27200</v>
      </c>
      <c r="M48" s="5">
        <v>0.2</v>
      </c>
      <c r="N48" s="4">
        <v>10880</v>
      </c>
      <c r="O48" s="4">
        <v>5222.3999999999996</v>
      </c>
      <c r="P48" s="4">
        <v>0</v>
      </c>
      <c r="Q48" s="4">
        <v>48742.400000000001</v>
      </c>
      <c r="R48" s="2" t="s">
        <v>34</v>
      </c>
      <c r="S48" s="2" t="s">
        <v>89</v>
      </c>
      <c r="T48" s="2" t="s">
        <v>115</v>
      </c>
      <c r="U48" s="2" t="s">
        <v>62</v>
      </c>
      <c r="V48" s="2" t="s">
        <v>116</v>
      </c>
      <c r="W48" s="2">
        <v>2</v>
      </c>
      <c r="X48" s="2" t="s">
        <v>39</v>
      </c>
      <c r="Y48" s="2">
        <v>5</v>
      </c>
      <c r="Z48" s="2" t="s">
        <v>40</v>
      </c>
    </row>
    <row r="49" spans="1:26" x14ac:dyDescent="0.25">
      <c r="A49" s="2" t="s">
        <v>230</v>
      </c>
      <c r="B49" s="3">
        <v>46138</v>
      </c>
      <c r="C49" s="2" t="s">
        <v>231</v>
      </c>
      <c r="D49" s="2" t="s">
        <v>98</v>
      </c>
      <c r="E49" s="2" t="s">
        <v>44</v>
      </c>
      <c r="F49" s="2">
        <v>55</v>
      </c>
      <c r="G49" s="2" t="s">
        <v>78</v>
      </c>
      <c r="H49" s="2" t="s">
        <v>31</v>
      </c>
      <c r="I49" s="2" t="s">
        <v>79</v>
      </c>
      <c r="J49" s="2" t="s">
        <v>33</v>
      </c>
      <c r="K49" s="2">
        <v>5</v>
      </c>
      <c r="L49" s="4">
        <v>2200</v>
      </c>
      <c r="M49" s="5">
        <v>0.2</v>
      </c>
      <c r="N49" s="4">
        <v>2200</v>
      </c>
      <c r="O49" s="4">
        <v>1584</v>
      </c>
      <c r="P49" s="4">
        <v>0</v>
      </c>
      <c r="Q49" s="4">
        <v>10384</v>
      </c>
      <c r="R49" s="2" t="s">
        <v>34</v>
      </c>
      <c r="S49" s="2" t="s">
        <v>35</v>
      </c>
      <c r="T49" s="2" t="s">
        <v>80</v>
      </c>
      <c r="U49" s="2" t="s">
        <v>81</v>
      </c>
      <c r="V49" s="2" t="s">
        <v>82</v>
      </c>
      <c r="W49" s="2">
        <v>4</v>
      </c>
      <c r="X49" s="2" t="s">
        <v>39</v>
      </c>
      <c r="Y49" s="2">
        <v>3</v>
      </c>
      <c r="Z49" s="2" t="s">
        <v>40</v>
      </c>
    </row>
    <row r="50" spans="1:26" x14ac:dyDescent="0.25">
      <c r="A50" s="2" t="s">
        <v>232</v>
      </c>
      <c r="B50" s="3">
        <v>46063</v>
      </c>
      <c r="C50" s="2" t="s">
        <v>233</v>
      </c>
      <c r="D50" s="2" t="s">
        <v>234</v>
      </c>
      <c r="E50" s="2" t="s">
        <v>44</v>
      </c>
      <c r="F50" s="2">
        <v>46</v>
      </c>
      <c r="G50" s="2" t="s">
        <v>55</v>
      </c>
      <c r="H50" s="2" t="s">
        <v>56</v>
      </c>
      <c r="I50" s="2" t="s">
        <v>57</v>
      </c>
      <c r="J50" s="2" t="s">
        <v>235</v>
      </c>
      <c r="K50" s="2">
        <v>4</v>
      </c>
      <c r="L50" s="4">
        <v>7200</v>
      </c>
      <c r="M50" s="5">
        <v>0</v>
      </c>
      <c r="N50" s="4">
        <v>0</v>
      </c>
      <c r="O50" s="4">
        <v>1440</v>
      </c>
      <c r="P50" s="4">
        <v>75</v>
      </c>
      <c r="Q50" s="4">
        <v>30315</v>
      </c>
      <c r="R50" s="2" t="s">
        <v>72</v>
      </c>
      <c r="S50" s="2" t="s">
        <v>60</v>
      </c>
      <c r="T50" s="2" t="s">
        <v>36</v>
      </c>
      <c r="U50" s="2" t="s">
        <v>37</v>
      </c>
      <c r="V50" s="2" t="s">
        <v>38</v>
      </c>
      <c r="W50" s="2">
        <v>5</v>
      </c>
      <c r="X50" s="2" t="s">
        <v>39</v>
      </c>
      <c r="Y50" s="2">
        <v>0</v>
      </c>
      <c r="Z50" s="2" t="s">
        <v>91</v>
      </c>
    </row>
    <row r="51" spans="1:26" x14ac:dyDescent="0.25">
      <c r="A51" s="2" t="s">
        <v>236</v>
      </c>
      <c r="B51" s="3">
        <v>46259</v>
      </c>
      <c r="C51" s="2" t="s">
        <v>237</v>
      </c>
      <c r="D51" s="2" t="s">
        <v>148</v>
      </c>
      <c r="E51" s="2" t="s">
        <v>29</v>
      </c>
      <c r="F51" s="2">
        <v>45</v>
      </c>
      <c r="G51" s="2" t="s">
        <v>142</v>
      </c>
      <c r="H51" s="2" t="s">
        <v>69</v>
      </c>
      <c r="I51" s="2" t="s">
        <v>143</v>
      </c>
      <c r="J51" s="2" t="s">
        <v>110</v>
      </c>
      <c r="K51" s="2">
        <v>2</v>
      </c>
      <c r="L51" s="4">
        <v>39200</v>
      </c>
      <c r="M51" s="5">
        <v>0.05</v>
      </c>
      <c r="N51" s="4">
        <v>3920</v>
      </c>
      <c r="O51" s="4">
        <v>3724</v>
      </c>
      <c r="P51" s="4">
        <v>0</v>
      </c>
      <c r="Q51" s="4">
        <v>78204</v>
      </c>
      <c r="R51" s="2" t="s">
        <v>72</v>
      </c>
      <c r="S51" s="2" t="s">
        <v>89</v>
      </c>
      <c r="T51" s="2" t="s">
        <v>90</v>
      </c>
      <c r="U51" s="2" t="s">
        <v>62</v>
      </c>
      <c r="V51" s="2" t="s">
        <v>63</v>
      </c>
      <c r="W51" s="2">
        <v>5</v>
      </c>
      <c r="X51" s="2" t="s">
        <v>122</v>
      </c>
      <c r="Y51" s="2">
        <v>5</v>
      </c>
      <c r="Z51" s="2" t="s">
        <v>40</v>
      </c>
    </row>
    <row r="52" spans="1:26" x14ac:dyDescent="0.25">
      <c r="A52" s="2" t="s">
        <v>238</v>
      </c>
      <c r="B52" s="3">
        <v>46199</v>
      </c>
      <c r="C52" s="2" t="s">
        <v>239</v>
      </c>
      <c r="D52" s="2" t="s">
        <v>240</v>
      </c>
      <c r="E52" s="2" t="s">
        <v>44</v>
      </c>
      <c r="F52" s="2">
        <v>35</v>
      </c>
      <c r="G52" s="2" t="s">
        <v>104</v>
      </c>
      <c r="H52" s="2" t="s">
        <v>105</v>
      </c>
      <c r="I52" s="2" t="s">
        <v>106</v>
      </c>
      <c r="J52" s="2" t="s">
        <v>107</v>
      </c>
      <c r="K52" s="2">
        <v>4</v>
      </c>
      <c r="L52" s="4">
        <v>16200</v>
      </c>
      <c r="M52" s="5">
        <v>0</v>
      </c>
      <c r="N52" s="4">
        <v>0</v>
      </c>
      <c r="O52" s="4">
        <v>11664</v>
      </c>
      <c r="P52" s="4">
        <v>0</v>
      </c>
      <c r="Q52" s="4">
        <v>76464</v>
      </c>
      <c r="R52" s="2" t="s">
        <v>88</v>
      </c>
      <c r="S52" s="2" t="s">
        <v>35</v>
      </c>
      <c r="T52" s="2" t="s">
        <v>173</v>
      </c>
      <c r="U52" s="2" t="s">
        <v>174</v>
      </c>
      <c r="V52" s="2" t="s">
        <v>82</v>
      </c>
      <c r="W52" s="2">
        <v>7</v>
      </c>
      <c r="X52" s="2" t="s">
        <v>39</v>
      </c>
      <c r="Y52" s="2">
        <v>0</v>
      </c>
      <c r="Z52" s="2" t="s">
        <v>91</v>
      </c>
    </row>
    <row r="53" spans="1:26" x14ac:dyDescent="0.25">
      <c r="A53" s="2" t="s">
        <v>241</v>
      </c>
      <c r="B53" s="3">
        <v>46046</v>
      </c>
      <c r="C53" s="2" t="s">
        <v>242</v>
      </c>
      <c r="D53" s="2" t="s">
        <v>77</v>
      </c>
      <c r="E53" s="2" t="s">
        <v>29</v>
      </c>
      <c r="F53" s="2">
        <v>61</v>
      </c>
      <c r="G53" s="2" t="s">
        <v>30</v>
      </c>
      <c r="H53" s="2" t="s">
        <v>31</v>
      </c>
      <c r="I53" s="2" t="s">
        <v>32</v>
      </c>
      <c r="J53" s="2" t="s">
        <v>204</v>
      </c>
      <c r="K53" s="2">
        <v>2</v>
      </c>
      <c r="L53" s="4">
        <v>2000</v>
      </c>
      <c r="M53" s="5">
        <v>0.2</v>
      </c>
      <c r="N53" s="4">
        <v>800</v>
      </c>
      <c r="O53" s="4">
        <v>576</v>
      </c>
      <c r="P53" s="4">
        <v>100</v>
      </c>
      <c r="Q53" s="4">
        <v>3876</v>
      </c>
      <c r="R53" s="2" t="s">
        <v>72</v>
      </c>
      <c r="S53" s="2" t="s">
        <v>89</v>
      </c>
      <c r="T53" s="2" t="s">
        <v>173</v>
      </c>
      <c r="U53" s="2" t="s">
        <v>174</v>
      </c>
      <c r="V53" s="2" t="s">
        <v>82</v>
      </c>
      <c r="W53" s="2">
        <v>5</v>
      </c>
      <c r="X53" s="2" t="s">
        <v>39</v>
      </c>
      <c r="Y53" s="2">
        <v>5</v>
      </c>
      <c r="Z53" s="2" t="s">
        <v>40</v>
      </c>
    </row>
    <row r="54" spans="1:26" x14ac:dyDescent="0.25">
      <c r="A54" s="2" t="s">
        <v>243</v>
      </c>
      <c r="B54" s="3">
        <v>46112</v>
      </c>
      <c r="C54" s="2" t="s">
        <v>244</v>
      </c>
      <c r="D54" s="2" t="s">
        <v>163</v>
      </c>
      <c r="E54" s="2" t="s">
        <v>44</v>
      </c>
      <c r="F54" s="2">
        <v>38</v>
      </c>
      <c r="G54" s="2" t="s">
        <v>86</v>
      </c>
      <c r="H54" s="2" t="s">
        <v>56</v>
      </c>
      <c r="I54" s="2" t="s">
        <v>57</v>
      </c>
      <c r="J54" s="2" t="s">
        <v>245</v>
      </c>
      <c r="K54" s="2">
        <v>2</v>
      </c>
      <c r="L54" s="4">
        <v>3900</v>
      </c>
      <c r="M54" s="5">
        <v>0.15</v>
      </c>
      <c r="N54" s="4">
        <v>1170</v>
      </c>
      <c r="O54" s="4">
        <v>1193.4000000000001</v>
      </c>
      <c r="P54" s="4">
        <v>100</v>
      </c>
      <c r="Q54" s="4">
        <v>7923.4</v>
      </c>
      <c r="R54" s="2" t="s">
        <v>72</v>
      </c>
      <c r="S54" s="2" t="s">
        <v>89</v>
      </c>
      <c r="T54" s="2" t="s">
        <v>61</v>
      </c>
      <c r="U54" s="2" t="s">
        <v>62</v>
      </c>
      <c r="V54" s="2" t="s">
        <v>63</v>
      </c>
      <c r="W54" s="2">
        <v>7</v>
      </c>
      <c r="X54" s="2" t="s">
        <v>39</v>
      </c>
      <c r="Y54" s="2">
        <v>0</v>
      </c>
      <c r="Z54" s="2" t="s">
        <v>64</v>
      </c>
    </row>
    <row r="55" spans="1:26" x14ac:dyDescent="0.25">
      <c r="A55" s="2" t="s">
        <v>246</v>
      </c>
      <c r="B55" s="3">
        <v>46045</v>
      </c>
      <c r="C55" s="2" t="s">
        <v>247</v>
      </c>
      <c r="D55" s="2" t="s">
        <v>169</v>
      </c>
      <c r="E55" s="2" t="s">
        <v>44</v>
      </c>
      <c r="F55" s="2">
        <v>38</v>
      </c>
      <c r="G55" s="2" t="s">
        <v>142</v>
      </c>
      <c r="H55" s="2" t="s">
        <v>69</v>
      </c>
      <c r="I55" s="2" t="s">
        <v>143</v>
      </c>
      <c r="J55" s="2" t="s">
        <v>248</v>
      </c>
      <c r="K55" s="2">
        <v>5</v>
      </c>
      <c r="L55" s="4">
        <v>12100</v>
      </c>
      <c r="M55" s="5">
        <v>0.25</v>
      </c>
      <c r="N55" s="4">
        <v>15125</v>
      </c>
      <c r="O55" s="4">
        <v>8167.5</v>
      </c>
      <c r="P55" s="4">
        <v>100</v>
      </c>
      <c r="Q55" s="4">
        <v>53642.5</v>
      </c>
      <c r="R55" s="2" t="s">
        <v>48</v>
      </c>
      <c r="S55" s="2" t="s">
        <v>35</v>
      </c>
      <c r="T55" s="2" t="s">
        <v>134</v>
      </c>
      <c r="U55" s="2" t="s">
        <v>135</v>
      </c>
      <c r="V55" s="2" t="s">
        <v>50</v>
      </c>
      <c r="W55" s="2">
        <v>1</v>
      </c>
      <c r="X55" s="2" t="s">
        <v>39</v>
      </c>
      <c r="Y55" s="2">
        <v>5</v>
      </c>
      <c r="Z55" s="2" t="s">
        <v>40</v>
      </c>
    </row>
    <row r="56" spans="1:26" x14ac:dyDescent="0.25">
      <c r="A56" s="2" t="s">
        <v>249</v>
      </c>
      <c r="B56" s="3">
        <v>46075</v>
      </c>
      <c r="C56" s="2" t="s">
        <v>250</v>
      </c>
      <c r="D56" s="2" t="s">
        <v>148</v>
      </c>
      <c r="E56" s="2" t="s">
        <v>29</v>
      </c>
      <c r="F56" s="2">
        <v>36</v>
      </c>
      <c r="G56" s="2" t="s">
        <v>45</v>
      </c>
      <c r="H56" s="2" t="s">
        <v>31</v>
      </c>
      <c r="I56" s="2" t="s">
        <v>46</v>
      </c>
      <c r="J56" s="2" t="s">
        <v>47</v>
      </c>
      <c r="K56" s="2">
        <v>4</v>
      </c>
      <c r="L56" s="4">
        <v>1500</v>
      </c>
      <c r="M56" s="5">
        <v>0</v>
      </c>
      <c r="N56" s="4">
        <v>0</v>
      </c>
      <c r="O56" s="4">
        <v>1080</v>
      </c>
      <c r="P56" s="4">
        <v>150</v>
      </c>
      <c r="Q56" s="4">
        <v>7230</v>
      </c>
      <c r="R56" s="2" t="s">
        <v>59</v>
      </c>
      <c r="S56" s="2" t="s">
        <v>35</v>
      </c>
      <c r="T56" s="2" t="s">
        <v>80</v>
      </c>
      <c r="U56" s="2" t="s">
        <v>81</v>
      </c>
      <c r="V56" s="2" t="s">
        <v>82</v>
      </c>
      <c r="W56" s="2">
        <v>4</v>
      </c>
      <c r="X56" s="2" t="s">
        <v>39</v>
      </c>
      <c r="Y56" s="2">
        <v>0</v>
      </c>
      <c r="Z56" s="2" t="s">
        <v>91</v>
      </c>
    </row>
    <row r="57" spans="1:26" x14ac:dyDescent="0.25">
      <c r="A57" s="2" t="s">
        <v>251</v>
      </c>
      <c r="B57" s="3">
        <v>46164</v>
      </c>
      <c r="C57" s="2" t="s">
        <v>252</v>
      </c>
      <c r="D57" s="2" t="s">
        <v>163</v>
      </c>
      <c r="E57" s="2" t="s">
        <v>29</v>
      </c>
      <c r="F57" s="2">
        <v>32</v>
      </c>
      <c r="G57" s="2" t="s">
        <v>142</v>
      </c>
      <c r="H57" s="2" t="s">
        <v>69</v>
      </c>
      <c r="I57" s="2" t="s">
        <v>143</v>
      </c>
      <c r="J57" s="2" t="s">
        <v>248</v>
      </c>
      <c r="K57" s="2">
        <v>1</v>
      </c>
      <c r="L57" s="4">
        <v>78300</v>
      </c>
      <c r="M57" s="5">
        <v>0.05</v>
      </c>
      <c r="N57" s="4">
        <v>3915</v>
      </c>
      <c r="O57" s="4">
        <v>8926.2000000000007</v>
      </c>
      <c r="P57" s="4">
        <v>200</v>
      </c>
      <c r="Q57" s="4">
        <v>83511.199999999997</v>
      </c>
      <c r="R57" s="2" t="s">
        <v>48</v>
      </c>
      <c r="S57" s="2" t="s">
        <v>89</v>
      </c>
      <c r="T57" s="2" t="s">
        <v>61</v>
      </c>
      <c r="U57" s="2" t="s">
        <v>62</v>
      </c>
      <c r="V57" s="2" t="s">
        <v>63</v>
      </c>
      <c r="W57" s="2">
        <v>9</v>
      </c>
      <c r="X57" s="2" t="s">
        <v>39</v>
      </c>
      <c r="Y57" s="2">
        <v>0</v>
      </c>
      <c r="Z57" s="2" t="s">
        <v>91</v>
      </c>
    </row>
    <row r="58" spans="1:26" x14ac:dyDescent="0.25">
      <c r="A58" s="2" t="s">
        <v>253</v>
      </c>
      <c r="B58" s="3">
        <v>46085</v>
      </c>
      <c r="C58" s="2" t="s">
        <v>254</v>
      </c>
      <c r="D58" s="2" t="s">
        <v>98</v>
      </c>
      <c r="E58" s="2" t="s">
        <v>29</v>
      </c>
      <c r="F58" s="2">
        <v>42</v>
      </c>
      <c r="G58" s="2" t="s">
        <v>68</v>
      </c>
      <c r="H58" s="2" t="s">
        <v>69</v>
      </c>
      <c r="I58" s="2" t="s">
        <v>70</v>
      </c>
      <c r="J58" s="2" t="s">
        <v>94</v>
      </c>
      <c r="K58" s="2">
        <v>1</v>
      </c>
      <c r="L58" s="4">
        <v>15900</v>
      </c>
      <c r="M58" s="5">
        <v>0.15</v>
      </c>
      <c r="N58" s="4">
        <v>2385</v>
      </c>
      <c r="O58" s="4">
        <v>1621.8</v>
      </c>
      <c r="P58" s="4">
        <v>250</v>
      </c>
      <c r="Q58" s="4">
        <v>15386.8</v>
      </c>
      <c r="R58" s="2" t="s">
        <v>88</v>
      </c>
      <c r="S58" s="2" t="s">
        <v>89</v>
      </c>
      <c r="T58" s="2" t="s">
        <v>255</v>
      </c>
      <c r="U58" s="2" t="s">
        <v>256</v>
      </c>
      <c r="V58" s="2" t="s">
        <v>38</v>
      </c>
      <c r="W58" s="2">
        <v>5</v>
      </c>
      <c r="X58" s="2" t="s">
        <v>39</v>
      </c>
      <c r="Y58" s="2">
        <v>0</v>
      </c>
      <c r="Z58" s="2" t="s">
        <v>64</v>
      </c>
    </row>
    <row r="59" spans="1:26" x14ac:dyDescent="0.25">
      <c r="A59" s="2" t="s">
        <v>257</v>
      </c>
      <c r="B59" s="3">
        <v>46244</v>
      </c>
      <c r="C59" s="2" t="s">
        <v>258</v>
      </c>
      <c r="D59" s="2" t="s">
        <v>259</v>
      </c>
      <c r="E59" s="2" t="s">
        <v>44</v>
      </c>
      <c r="F59" s="2">
        <v>52</v>
      </c>
      <c r="G59" s="2" t="s">
        <v>45</v>
      </c>
      <c r="H59" s="2" t="s">
        <v>31</v>
      </c>
      <c r="I59" s="2" t="s">
        <v>46</v>
      </c>
      <c r="J59" s="2" t="s">
        <v>260</v>
      </c>
      <c r="K59" s="2">
        <v>3</v>
      </c>
      <c r="L59" s="4">
        <v>4300</v>
      </c>
      <c r="M59" s="5">
        <v>0.2</v>
      </c>
      <c r="N59" s="4">
        <v>2580</v>
      </c>
      <c r="O59" s="4">
        <v>1238.4000000000001</v>
      </c>
      <c r="P59" s="4">
        <v>100</v>
      </c>
      <c r="Q59" s="4">
        <v>11658.4</v>
      </c>
      <c r="R59" s="2" t="s">
        <v>34</v>
      </c>
      <c r="S59" s="2" t="s">
        <v>89</v>
      </c>
      <c r="T59" s="2" t="s">
        <v>173</v>
      </c>
      <c r="U59" s="2" t="s">
        <v>174</v>
      </c>
      <c r="V59" s="2" t="s">
        <v>82</v>
      </c>
      <c r="W59" s="2">
        <v>6</v>
      </c>
      <c r="X59" s="2" t="s">
        <v>39</v>
      </c>
      <c r="Y59" s="2">
        <v>0</v>
      </c>
      <c r="Z59" s="2" t="s">
        <v>64</v>
      </c>
    </row>
    <row r="60" spans="1:26" x14ac:dyDescent="0.25">
      <c r="A60" s="2" t="s">
        <v>261</v>
      </c>
      <c r="B60" s="3">
        <v>46082</v>
      </c>
      <c r="C60" s="2" t="s">
        <v>262</v>
      </c>
      <c r="D60" s="2" t="s">
        <v>163</v>
      </c>
      <c r="E60" s="2" t="s">
        <v>29</v>
      </c>
      <c r="F60" s="2">
        <v>38</v>
      </c>
      <c r="G60" s="2" t="s">
        <v>55</v>
      </c>
      <c r="H60" s="2" t="s">
        <v>56</v>
      </c>
      <c r="I60" s="2" t="s">
        <v>57</v>
      </c>
      <c r="J60" s="2" t="s">
        <v>58</v>
      </c>
      <c r="K60" s="2">
        <v>4</v>
      </c>
      <c r="L60" s="4">
        <v>8400</v>
      </c>
      <c r="M60" s="5">
        <v>0.25</v>
      </c>
      <c r="N60" s="4">
        <v>8400</v>
      </c>
      <c r="O60" s="4">
        <v>4536</v>
      </c>
      <c r="P60" s="4">
        <v>50</v>
      </c>
      <c r="Q60" s="4">
        <v>29786</v>
      </c>
      <c r="R60" s="2" t="s">
        <v>48</v>
      </c>
      <c r="S60" s="2" t="s">
        <v>35</v>
      </c>
      <c r="T60" s="2" t="s">
        <v>73</v>
      </c>
      <c r="U60" s="2" t="s">
        <v>74</v>
      </c>
      <c r="V60" s="2" t="s">
        <v>50</v>
      </c>
      <c r="W60" s="2">
        <v>1</v>
      </c>
      <c r="X60" s="2" t="s">
        <v>51</v>
      </c>
      <c r="Y60" s="2">
        <v>4</v>
      </c>
      <c r="Z60" s="2" t="s">
        <v>40</v>
      </c>
    </row>
    <row r="61" spans="1:26" x14ac:dyDescent="0.25">
      <c r="A61" s="2" t="s">
        <v>263</v>
      </c>
      <c r="B61" s="3">
        <v>46157</v>
      </c>
      <c r="C61" s="2" t="s">
        <v>264</v>
      </c>
      <c r="D61" s="2" t="s">
        <v>98</v>
      </c>
      <c r="E61" s="2" t="s">
        <v>29</v>
      </c>
      <c r="F61" s="2">
        <v>64</v>
      </c>
      <c r="G61" s="2" t="s">
        <v>125</v>
      </c>
      <c r="H61" s="2" t="s">
        <v>69</v>
      </c>
      <c r="I61" s="2" t="s">
        <v>126</v>
      </c>
      <c r="J61" s="2" t="s">
        <v>71</v>
      </c>
      <c r="K61" s="2">
        <v>2</v>
      </c>
      <c r="L61" s="4">
        <v>1900</v>
      </c>
      <c r="M61" s="5">
        <v>0.15</v>
      </c>
      <c r="N61" s="4">
        <v>570</v>
      </c>
      <c r="O61" s="4">
        <v>387.6</v>
      </c>
      <c r="P61" s="4">
        <v>75</v>
      </c>
      <c r="Q61" s="4">
        <v>3692.6</v>
      </c>
      <c r="R61" s="2" t="s">
        <v>59</v>
      </c>
      <c r="S61" s="2" t="s">
        <v>89</v>
      </c>
      <c r="T61" s="2" t="s">
        <v>144</v>
      </c>
      <c r="U61" s="2" t="s">
        <v>145</v>
      </c>
      <c r="V61" s="2" t="s">
        <v>38</v>
      </c>
      <c r="W61" s="2">
        <v>7</v>
      </c>
      <c r="X61" s="2" t="s">
        <v>122</v>
      </c>
      <c r="Y61" s="2">
        <v>5</v>
      </c>
      <c r="Z61" s="2" t="s">
        <v>40</v>
      </c>
    </row>
    <row r="62" spans="1:26" x14ac:dyDescent="0.25">
      <c r="A62" s="2" t="s">
        <v>265</v>
      </c>
      <c r="B62" s="3">
        <v>46267</v>
      </c>
      <c r="C62" s="2" t="s">
        <v>266</v>
      </c>
      <c r="D62" s="2" t="s">
        <v>169</v>
      </c>
      <c r="E62" s="2" t="s">
        <v>44</v>
      </c>
      <c r="F62" s="2">
        <v>52</v>
      </c>
      <c r="G62" s="2" t="s">
        <v>99</v>
      </c>
      <c r="H62" s="2" t="s">
        <v>69</v>
      </c>
      <c r="I62" s="2" t="s">
        <v>100</v>
      </c>
      <c r="J62" s="2" t="s">
        <v>101</v>
      </c>
      <c r="K62" s="2">
        <v>2</v>
      </c>
      <c r="L62" s="4">
        <v>77300</v>
      </c>
      <c r="M62" s="5">
        <v>0.25</v>
      </c>
      <c r="N62" s="4">
        <v>38650</v>
      </c>
      <c r="O62" s="4">
        <v>13914</v>
      </c>
      <c r="P62" s="4">
        <v>50</v>
      </c>
      <c r="Q62" s="4">
        <v>129914</v>
      </c>
      <c r="R62" s="2" t="s">
        <v>72</v>
      </c>
      <c r="S62" s="2" t="s">
        <v>89</v>
      </c>
      <c r="T62" s="2" t="s">
        <v>36</v>
      </c>
      <c r="U62" s="2" t="s">
        <v>37</v>
      </c>
      <c r="V62" s="2" t="s">
        <v>38</v>
      </c>
      <c r="W62" s="2">
        <v>2</v>
      </c>
      <c r="X62" s="2" t="s">
        <v>39</v>
      </c>
      <c r="Y62" s="2">
        <v>5</v>
      </c>
      <c r="Z62" s="2" t="s">
        <v>40</v>
      </c>
    </row>
    <row r="63" spans="1:26" x14ac:dyDescent="0.25">
      <c r="A63" s="2" t="s">
        <v>267</v>
      </c>
      <c r="B63" s="3">
        <v>46065</v>
      </c>
      <c r="C63" s="2" t="s">
        <v>268</v>
      </c>
      <c r="D63" s="2" t="s">
        <v>240</v>
      </c>
      <c r="E63" s="2" t="s">
        <v>29</v>
      </c>
      <c r="F63" s="2">
        <v>20</v>
      </c>
      <c r="G63" s="2" t="s">
        <v>177</v>
      </c>
      <c r="H63" s="2" t="s">
        <v>31</v>
      </c>
      <c r="I63" s="2" t="s">
        <v>32</v>
      </c>
      <c r="J63" s="2" t="s">
        <v>269</v>
      </c>
      <c r="K63" s="2">
        <v>3</v>
      </c>
      <c r="L63" s="4">
        <v>3400</v>
      </c>
      <c r="M63" s="5">
        <v>0.1</v>
      </c>
      <c r="N63" s="4">
        <v>1020</v>
      </c>
      <c r="O63" s="4">
        <v>1101.5999999999999</v>
      </c>
      <c r="P63" s="4">
        <v>50</v>
      </c>
      <c r="Q63" s="4">
        <v>10331.6</v>
      </c>
      <c r="R63" s="2" t="s">
        <v>72</v>
      </c>
      <c r="S63" s="2" t="s">
        <v>89</v>
      </c>
      <c r="T63" s="2" t="s">
        <v>115</v>
      </c>
      <c r="U63" s="2" t="s">
        <v>62</v>
      </c>
      <c r="V63" s="2" t="s">
        <v>116</v>
      </c>
      <c r="W63" s="2">
        <v>9</v>
      </c>
      <c r="X63" s="2" t="s">
        <v>39</v>
      </c>
      <c r="Y63" s="2">
        <v>4</v>
      </c>
      <c r="Z63" s="2" t="s">
        <v>40</v>
      </c>
    </row>
    <row r="64" spans="1:26" x14ac:dyDescent="0.25">
      <c r="A64" s="2" t="s">
        <v>270</v>
      </c>
      <c r="B64" s="3">
        <v>46181</v>
      </c>
      <c r="C64" s="2" t="s">
        <v>180</v>
      </c>
      <c r="D64" s="2" t="s">
        <v>77</v>
      </c>
      <c r="E64" s="2" t="s">
        <v>44</v>
      </c>
      <c r="F64" s="2">
        <v>55</v>
      </c>
      <c r="G64" s="2" t="s">
        <v>125</v>
      </c>
      <c r="H64" s="2" t="s">
        <v>69</v>
      </c>
      <c r="I64" s="2" t="s">
        <v>126</v>
      </c>
      <c r="J64" s="2" t="s">
        <v>271</v>
      </c>
      <c r="K64" s="2">
        <v>4</v>
      </c>
      <c r="L64" s="4">
        <v>9100</v>
      </c>
      <c r="M64" s="5">
        <v>0.1</v>
      </c>
      <c r="N64" s="4">
        <v>3640</v>
      </c>
      <c r="O64" s="4">
        <v>3931.2</v>
      </c>
      <c r="P64" s="4">
        <v>75</v>
      </c>
      <c r="Q64" s="4">
        <v>36766.199999999997</v>
      </c>
      <c r="R64" s="2" t="s">
        <v>88</v>
      </c>
      <c r="S64" s="2" t="s">
        <v>60</v>
      </c>
      <c r="T64" s="2" t="s">
        <v>120</v>
      </c>
      <c r="U64" s="2" t="s">
        <v>121</v>
      </c>
      <c r="V64" s="2" t="s">
        <v>38</v>
      </c>
      <c r="W64" s="2">
        <v>1</v>
      </c>
      <c r="X64" s="2" t="s">
        <v>39</v>
      </c>
      <c r="Y64" s="2">
        <v>0</v>
      </c>
      <c r="Z64" s="2" t="s">
        <v>64</v>
      </c>
    </row>
    <row r="65" spans="1:26" x14ac:dyDescent="0.25">
      <c r="A65" s="2" t="s">
        <v>272</v>
      </c>
      <c r="B65" s="3">
        <v>46041</v>
      </c>
      <c r="C65" s="2" t="s">
        <v>273</v>
      </c>
      <c r="D65" s="2" t="s">
        <v>98</v>
      </c>
      <c r="E65" s="2" t="s">
        <v>44</v>
      </c>
      <c r="F65" s="2">
        <v>55</v>
      </c>
      <c r="G65" s="2" t="s">
        <v>30</v>
      </c>
      <c r="H65" s="2" t="s">
        <v>31</v>
      </c>
      <c r="I65" s="2" t="s">
        <v>32</v>
      </c>
      <c r="J65" s="2" t="s">
        <v>269</v>
      </c>
      <c r="K65" s="2">
        <v>3</v>
      </c>
      <c r="L65" s="4">
        <v>1900</v>
      </c>
      <c r="M65" s="5">
        <v>0.1</v>
      </c>
      <c r="N65" s="4">
        <v>570</v>
      </c>
      <c r="O65" s="4">
        <v>256.5</v>
      </c>
      <c r="P65" s="4">
        <v>100</v>
      </c>
      <c r="Q65" s="4">
        <v>5486.5</v>
      </c>
      <c r="R65" s="2" t="s">
        <v>88</v>
      </c>
      <c r="S65" s="2" t="s">
        <v>35</v>
      </c>
      <c r="T65" s="2" t="s">
        <v>165</v>
      </c>
      <c r="U65" s="2" t="s">
        <v>166</v>
      </c>
      <c r="V65" s="2" t="s">
        <v>82</v>
      </c>
      <c r="W65" s="2">
        <v>8</v>
      </c>
      <c r="X65" s="2" t="s">
        <v>39</v>
      </c>
      <c r="Y65" s="2">
        <v>4</v>
      </c>
      <c r="Z65" s="2" t="s">
        <v>40</v>
      </c>
    </row>
    <row r="66" spans="1:26" x14ac:dyDescent="0.25">
      <c r="A66" s="2" t="s">
        <v>274</v>
      </c>
      <c r="B66" s="3">
        <v>46235</v>
      </c>
      <c r="C66" s="2" t="s">
        <v>275</v>
      </c>
      <c r="D66" s="2" t="s">
        <v>203</v>
      </c>
      <c r="E66" s="2" t="s">
        <v>44</v>
      </c>
      <c r="F66" s="2">
        <v>18</v>
      </c>
      <c r="G66" s="2" t="s">
        <v>198</v>
      </c>
      <c r="H66" s="2" t="s">
        <v>105</v>
      </c>
      <c r="I66" s="2" t="s">
        <v>199</v>
      </c>
      <c r="J66" s="2" t="s">
        <v>200</v>
      </c>
      <c r="K66" s="2">
        <v>1</v>
      </c>
      <c r="L66" s="4">
        <v>19500</v>
      </c>
      <c r="M66" s="5">
        <v>0.25</v>
      </c>
      <c r="N66" s="4">
        <v>4875</v>
      </c>
      <c r="O66" s="4">
        <v>1755</v>
      </c>
      <c r="P66" s="4">
        <v>250</v>
      </c>
      <c r="Q66" s="4">
        <v>16630</v>
      </c>
      <c r="R66" s="2" t="s">
        <v>59</v>
      </c>
      <c r="S66" s="2" t="s">
        <v>133</v>
      </c>
      <c r="T66" s="2" t="s">
        <v>173</v>
      </c>
      <c r="U66" s="2" t="s">
        <v>174</v>
      </c>
      <c r="V66" s="2" t="s">
        <v>82</v>
      </c>
      <c r="W66" s="2">
        <v>5</v>
      </c>
      <c r="X66" s="2" t="s">
        <v>39</v>
      </c>
      <c r="Y66" s="2">
        <v>0</v>
      </c>
      <c r="Z66" s="2" t="s">
        <v>91</v>
      </c>
    </row>
    <row r="67" spans="1:26" x14ac:dyDescent="0.25">
      <c r="A67" s="2" t="s">
        <v>276</v>
      </c>
      <c r="B67" s="3">
        <v>46079</v>
      </c>
      <c r="C67" s="2" t="s">
        <v>277</v>
      </c>
      <c r="D67" s="2" t="s">
        <v>43</v>
      </c>
      <c r="E67" s="2" t="s">
        <v>44</v>
      </c>
      <c r="F67" s="2">
        <v>61</v>
      </c>
      <c r="G67" s="2" t="s">
        <v>55</v>
      </c>
      <c r="H67" s="2" t="s">
        <v>56</v>
      </c>
      <c r="I67" s="2" t="s">
        <v>57</v>
      </c>
      <c r="J67" s="2" t="s">
        <v>235</v>
      </c>
      <c r="K67" s="2">
        <v>2</v>
      </c>
      <c r="L67" s="4">
        <v>11500</v>
      </c>
      <c r="M67" s="5">
        <v>0</v>
      </c>
      <c r="N67" s="4">
        <v>0</v>
      </c>
      <c r="O67" s="4">
        <v>4140</v>
      </c>
      <c r="P67" s="4">
        <v>200</v>
      </c>
      <c r="Q67" s="4">
        <v>27340</v>
      </c>
      <c r="R67" s="2" t="s">
        <v>59</v>
      </c>
      <c r="S67" s="2" t="s">
        <v>133</v>
      </c>
      <c r="T67" s="2" t="s">
        <v>138</v>
      </c>
      <c r="U67" s="2" t="s">
        <v>62</v>
      </c>
      <c r="V67" s="2" t="s">
        <v>63</v>
      </c>
      <c r="W67" s="2">
        <v>5</v>
      </c>
      <c r="X67" s="2" t="s">
        <v>39</v>
      </c>
      <c r="Y67" s="2">
        <v>0</v>
      </c>
      <c r="Z67" s="2" t="s">
        <v>91</v>
      </c>
    </row>
    <row r="68" spans="1:26" x14ac:dyDescent="0.25">
      <c r="A68" s="2" t="s">
        <v>278</v>
      </c>
      <c r="B68" s="3">
        <v>46210</v>
      </c>
      <c r="C68" s="2" t="s">
        <v>279</v>
      </c>
      <c r="D68" s="2" t="s">
        <v>259</v>
      </c>
      <c r="E68" s="2" t="s">
        <v>29</v>
      </c>
      <c r="F68" s="2">
        <v>36</v>
      </c>
      <c r="G68" s="2" t="s">
        <v>177</v>
      </c>
      <c r="H68" s="2" t="s">
        <v>31</v>
      </c>
      <c r="I68" s="2" t="s">
        <v>32</v>
      </c>
      <c r="J68" s="2" t="s">
        <v>280</v>
      </c>
      <c r="K68" s="2">
        <v>2</v>
      </c>
      <c r="L68" s="4">
        <v>2400</v>
      </c>
      <c r="M68" s="5">
        <v>0.05</v>
      </c>
      <c r="N68" s="4">
        <v>240</v>
      </c>
      <c r="O68" s="4">
        <v>820.8</v>
      </c>
      <c r="P68" s="4">
        <v>75</v>
      </c>
      <c r="Q68" s="4">
        <v>5455.8</v>
      </c>
      <c r="R68" s="2" t="s">
        <v>34</v>
      </c>
      <c r="S68" s="2" t="s">
        <v>133</v>
      </c>
      <c r="T68" s="2" t="s">
        <v>255</v>
      </c>
      <c r="U68" s="2" t="s">
        <v>256</v>
      </c>
      <c r="V68" s="2" t="s">
        <v>38</v>
      </c>
      <c r="W68" s="2">
        <v>9</v>
      </c>
      <c r="X68" s="2" t="s">
        <v>39</v>
      </c>
      <c r="Y68" s="2">
        <v>0</v>
      </c>
      <c r="Z68" s="2" t="s">
        <v>64</v>
      </c>
    </row>
    <row r="69" spans="1:26" x14ac:dyDescent="0.25">
      <c r="A69" s="2" t="s">
        <v>281</v>
      </c>
      <c r="B69" s="3">
        <v>46256</v>
      </c>
      <c r="C69" s="2" t="s">
        <v>282</v>
      </c>
      <c r="D69" s="2" t="s">
        <v>114</v>
      </c>
      <c r="E69" s="2" t="s">
        <v>44</v>
      </c>
      <c r="F69" s="2">
        <v>65</v>
      </c>
      <c r="G69" s="2" t="s">
        <v>177</v>
      </c>
      <c r="H69" s="2" t="s">
        <v>31</v>
      </c>
      <c r="I69" s="2" t="s">
        <v>32</v>
      </c>
      <c r="J69" s="2" t="s">
        <v>269</v>
      </c>
      <c r="K69" s="2">
        <v>4</v>
      </c>
      <c r="L69" s="4">
        <v>1600</v>
      </c>
      <c r="M69" s="5">
        <v>0.05</v>
      </c>
      <c r="N69" s="4">
        <v>320</v>
      </c>
      <c r="O69" s="4">
        <v>304</v>
      </c>
      <c r="P69" s="4">
        <v>250</v>
      </c>
      <c r="Q69" s="4">
        <v>6634</v>
      </c>
      <c r="R69" s="2" t="s">
        <v>72</v>
      </c>
      <c r="S69" s="2" t="s">
        <v>89</v>
      </c>
      <c r="T69" s="2" t="s">
        <v>120</v>
      </c>
      <c r="U69" s="2" t="s">
        <v>121</v>
      </c>
      <c r="V69" s="2" t="s">
        <v>38</v>
      </c>
      <c r="W69" s="2">
        <v>7</v>
      </c>
      <c r="X69" s="2" t="s">
        <v>39</v>
      </c>
      <c r="Y69" s="2">
        <v>2</v>
      </c>
      <c r="Z69" s="2" t="s">
        <v>111</v>
      </c>
    </row>
    <row r="70" spans="1:26" x14ac:dyDescent="0.25">
      <c r="A70" s="2" t="s">
        <v>283</v>
      </c>
      <c r="B70" s="3">
        <v>46026</v>
      </c>
      <c r="C70" s="2" t="s">
        <v>284</v>
      </c>
      <c r="D70" s="2" t="s">
        <v>148</v>
      </c>
      <c r="E70" s="2" t="s">
        <v>29</v>
      </c>
      <c r="F70" s="2">
        <v>47</v>
      </c>
      <c r="G70" s="2" t="s">
        <v>177</v>
      </c>
      <c r="H70" s="2" t="s">
        <v>31</v>
      </c>
      <c r="I70" s="2" t="s">
        <v>32</v>
      </c>
      <c r="J70" s="2" t="s">
        <v>178</v>
      </c>
      <c r="K70" s="2">
        <v>5</v>
      </c>
      <c r="L70" s="4">
        <v>3600</v>
      </c>
      <c r="M70" s="5">
        <v>0.25</v>
      </c>
      <c r="N70" s="4">
        <v>4500</v>
      </c>
      <c r="O70" s="4">
        <v>1620</v>
      </c>
      <c r="P70" s="4">
        <v>0</v>
      </c>
      <c r="Q70" s="4">
        <v>15120</v>
      </c>
      <c r="R70" s="2" t="s">
        <v>59</v>
      </c>
      <c r="S70" s="2" t="s">
        <v>60</v>
      </c>
      <c r="T70" s="2" t="s">
        <v>120</v>
      </c>
      <c r="U70" s="2" t="s">
        <v>121</v>
      </c>
      <c r="V70" s="2" t="s">
        <v>38</v>
      </c>
      <c r="W70" s="2">
        <v>4</v>
      </c>
      <c r="X70" s="2" t="s">
        <v>39</v>
      </c>
      <c r="Y70" s="2">
        <v>5</v>
      </c>
      <c r="Z70" s="2" t="s">
        <v>40</v>
      </c>
    </row>
    <row r="71" spans="1:26" x14ac:dyDescent="0.25">
      <c r="A71" s="2" t="s">
        <v>285</v>
      </c>
      <c r="B71" s="3">
        <v>46188</v>
      </c>
      <c r="C71" s="2" t="s">
        <v>233</v>
      </c>
      <c r="D71" s="2" t="s">
        <v>67</v>
      </c>
      <c r="E71" s="2" t="s">
        <v>44</v>
      </c>
      <c r="F71" s="2">
        <v>62</v>
      </c>
      <c r="G71" s="2" t="s">
        <v>30</v>
      </c>
      <c r="H71" s="2" t="s">
        <v>31</v>
      </c>
      <c r="I71" s="2" t="s">
        <v>32</v>
      </c>
      <c r="J71" s="2" t="s">
        <v>269</v>
      </c>
      <c r="K71" s="2">
        <v>1</v>
      </c>
      <c r="L71" s="4">
        <v>900</v>
      </c>
      <c r="M71" s="5">
        <v>0</v>
      </c>
      <c r="N71" s="4">
        <v>0</v>
      </c>
      <c r="O71" s="4">
        <v>45</v>
      </c>
      <c r="P71" s="4">
        <v>75</v>
      </c>
      <c r="Q71" s="4">
        <v>1020</v>
      </c>
      <c r="R71" s="2" t="s">
        <v>88</v>
      </c>
      <c r="S71" s="2" t="s">
        <v>89</v>
      </c>
      <c r="T71" s="2" t="s">
        <v>73</v>
      </c>
      <c r="U71" s="2" t="s">
        <v>74</v>
      </c>
      <c r="V71" s="2" t="s">
        <v>50</v>
      </c>
      <c r="W71" s="2">
        <v>2</v>
      </c>
      <c r="X71" s="2" t="s">
        <v>122</v>
      </c>
      <c r="Y71" s="2">
        <v>4</v>
      </c>
      <c r="Z71" s="2" t="s">
        <v>40</v>
      </c>
    </row>
    <row r="72" spans="1:26" x14ac:dyDescent="0.25">
      <c r="A72" s="2" t="s">
        <v>286</v>
      </c>
      <c r="B72" s="3">
        <v>46173</v>
      </c>
      <c r="C72" s="2" t="s">
        <v>287</v>
      </c>
      <c r="D72" s="2" t="s">
        <v>259</v>
      </c>
      <c r="E72" s="2" t="s">
        <v>44</v>
      </c>
      <c r="F72" s="2">
        <v>59</v>
      </c>
      <c r="G72" s="2" t="s">
        <v>142</v>
      </c>
      <c r="H72" s="2" t="s">
        <v>69</v>
      </c>
      <c r="I72" s="2" t="s">
        <v>143</v>
      </c>
      <c r="J72" s="2" t="s">
        <v>248</v>
      </c>
      <c r="K72" s="2">
        <v>5</v>
      </c>
      <c r="L72" s="4">
        <v>53700</v>
      </c>
      <c r="M72" s="5">
        <v>0.1</v>
      </c>
      <c r="N72" s="4">
        <v>26850</v>
      </c>
      <c r="O72" s="4">
        <v>12082.5</v>
      </c>
      <c r="P72" s="4">
        <v>200</v>
      </c>
      <c r="Q72" s="4">
        <v>253932.5</v>
      </c>
      <c r="R72" s="2" t="s">
        <v>88</v>
      </c>
      <c r="S72" s="2" t="s">
        <v>133</v>
      </c>
      <c r="T72" s="2" t="s">
        <v>49</v>
      </c>
      <c r="U72" s="2" t="s">
        <v>49</v>
      </c>
      <c r="V72" s="2" t="s">
        <v>50</v>
      </c>
      <c r="W72" s="2">
        <v>4</v>
      </c>
      <c r="X72" s="2" t="s">
        <v>51</v>
      </c>
      <c r="Y72" s="2">
        <v>5</v>
      </c>
      <c r="Z72" s="2" t="s">
        <v>40</v>
      </c>
    </row>
    <row r="73" spans="1:26" x14ac:dyDescent="0.25">
      <c r="A73" s="2" t="s">
        <v>288</v>
      </c>
      <c r="B73" s="3">
        <v>46038</v>
      </c>
      <c r="C73" s="2" t="s">
        <v>289</v>
      </c>
      <c r="D73" s="2" t="s">
        <v>203</v>
      </c>
      <c r="E73" s="2" t="s">
        <v>44</v>
      </c>
      <c r="F73" s="2">
        <v>30</v>
      </c>
      <c r="G73" s="2" t="s">
        <v>142</v>
      </c>
      <c r="H73" s="2" t="s">
        <v>69</v>
      </c>
      <c r="I73" s="2" t="s">
        <v>143</v>
      </c>
      <c r="J73" s="2" t="s">
        <v>248</v>
      </c>
      <c r="K73" s="2">
        <v>1</v>
      </c>
      <c r="L73" s="4">
        <v>79800</v>
      </c>
      <c r="M73" s="5">
        <v>0.05</v>
      </c>
      <c r="N73" s="4">
        <v>3990</v>
      </c>
      <c r="O73" s="4">
        <v>13645.8</v>
      </c>
      <c r="P73" s="4">
        <v>200</v>
      </c>
      <c r="Q73" s="4">
        <v>89655.8</v>
      </c>
      <c r="R73" s="2" t="s">
        <v>59</v>
      </c>
      <c r="S73" s="2" t="s">
        <v>60</v>
      </c>
      <c r="T73" s="2" t="s">
        <v>144</v>
      </c>
      <c r="U73" s="2" t="s">
        <v>145</v>
      </c>
      <c r="V73" s="2" t="s">
        <v>38</v>
      </c>
      <c r="W73" s="2">
        <v>1</v>
      </c>
      <c r="X73" s="2" t="s">
        <v>39</v>
      </c>
      <c r="Y73" s="2">
        <v>5</v>
      </c>
      <c r="Z73" s="2" t="s">
        <v>40</v>
      </c>
    </row>
    <row r="74" spans="1:26" x14ac:dyDescent="0.25">
      <c r="A74" s="2" t="s">
        <v>290</v>
      </c>
      <c r="B74" s="3">
        <v>46040</v>
      </c>
      <c r="C74" s="2" t="s">
        <v>291</v>
      </c>
      <c r="D74" s="2" t="s">
        <v>132</v>
      </c>
      <c r="E74" s="2" t="s">
        <v>29</v>
      </c>
      <c r="F74" s="2">
        <v>55</v>
      </c>
      <c r="G74" s="2" t="s">
        <v>68</v>
      </c>
      <c r="H74" s="2" t="s">
        <v>69</v>
      </c>
      <c r="I74" s="2" t="s">
        <v>70</v>
      </c>
      <c r="J74" s="2" t="s">
        <v>94</v>
      </c>
      <c r="K74" s="2">
        <v>3</v>
      </c>
      <c r="L74" s="4">
        <v>9300</v>
      </c>
      <c r="M74" s="5">
        <v>0.2</v>
      </c>
      <c r="N74" s="4">
        <v>5580</v>
      </c>
      <c r="O74" s="4">
        <v>1116</v>
      </c>
      <c r="P74" s="4">
        <v>75</v>
      </c>
      <c r="Q74" s="4">
        <v>23511</v>
      </c>
      <c r="R74" s="2" t="s">
        <v>34</v>
      </c>
      <c r="S74" s="2" t="s">
        <v>35</v>
      </c>
      <c r="T74" s="2" t="s">
        <v>165</v>
      </c>
      <c r="U74" s="2" t="s">
        <v>166</v>
      </c>
      <c r="V74" s="2" t="s">
        <v>82</v>
      </c>
      <c r="W74" s="2">
        <v>3</v>
      </c>
      <c r="X74" s="2" t="s">
        <v>39</v>
      </c>
      <c r="Y74" s="2">
        <v>2</v>
      </c>
      <c r="Z74" s="2" t="s">
        <v>111</v>
      </c>
    </row>
    <row r="75" spans="1:26" x14ac:dyDescent="0.25">
      <c r="A75" s="2" t="s">
        <v>292</v>
      </c>
      <c r="B75" s="3">
        <v>46192</v>
      </c>
      <c r="C75" s="2" t="s">
        <v>293</v>
      </c>
      <c r="D75" s="2" t="s">
        <v>234</v>
      </c>
      <c r="E75" s="2" t="s">
        <v>29</v>
      </c>
      <c r="F75" s="2">
        <v>18</v>
      </c>
      <c r="G75" s="2" t="s">
        <v>177</v>
      </c>
      <c r="H75" s="2" t="s">
        <v>31</v>
      </c>
      <c r="I75" s="2" t="s">
        <v>32</v>
      </c>
      <c r="J75" s="2" t="s">
        <v>294</v>
      </c>
      <c r="K75" s="2">
        <v>5</v>
      </c>
      <c r="L75" s="4">
        <v>3200</v>
      </c>
      <c r="M75" s="5">
        <v>0</v>
      </c>
      <c r="N75" s="4">
        <v>0</v>
      </c>
      <c r="O75" s="4">
        <v>800</v>
      </c>
      <c r="P75" s="4">
        <v>75</v>
      </c>
      <c r="Q75" s="4">
        <v>16875</v>
      </c>
      <c r="R75" s="2" t="s">
        <v>72</v>
      </c>
      <c r="S75" s="2" t="s">
        <v>35</v>
      </c>
      <c r="T75" s="2" t="s">
        <v>138</v>
      </c>
      <c r="U75" s="2" t="s">
        <v>62</v>
      </c>
      <c r="V75" s="2" t="s">
        <v>63</v>
      </c>
      <c r="W75" s="2">
        <v>3</v>
      </c>
      <c r="X75" s="2" t="s">
        <v>39</v>
      </c>
      <c r="Y75" s="2">
        <v>0</v>
      </c>
      <c r="Z75" s="2" t="s">
        <v>91</v>
      </c>
    </row>
    <row r="76" spans="1:26" x14ac:dyDescent="0.25">
      <c r="A76" s="2" t="s">
        <v>295</v>
      </c>
      <c r="B76" s="3">
        <v>46144</v>
      </c>
      <c r="C76" s="2" t="s">
        <v>296</v>
      </c>
      <c r="D76" s="2" t="s">
        <v>98</v>
      </c>
      <c r="E76" s="2" t="s">
        <v>44</v>
      </c>
      <c r="F76" s="2">
        <v>50</v>
      </c>
      <c r="G76" s="2" t="s">
        <v>198</v>
      </c>
      <c r="H76" s="2" t="s">
        <v>105</v>
      </c>
      <c r="I76" s="2" t="s">
        <v>199</v>
      </c>
      <c r="J76" s="2" t="s">
        <v>207</v>
      </c>
      <c r="K76" s="2">
        <v>4</v>
      </c>
      <c r="L76" s="4">
        <v>16800</v>
      </c>
      <c r="M76" s="5">
        <v>0.05</v>
      </c>
      <c r="N76" s="4">
        <v>3360</v>
      </c>
      <c r="O76" s="4">
        <v>11491.2</v>
      </c>
      <c r="P76" s="4">
        <v>0</v>
      </c>
      <c r="Q76" s="4">
        <v>75331.199999999997</v>
      </c>
      <c r="R76" s="2" t="s">
        <v>48</v>
      </c>
      <c r="S76" s="2" t="s">
        <v>89</v>
      </c>
      <c r="T76" s="2" t="s">
        <v>36</v>
      </c>
      <c r="U76" s="2" t="s">
        <v>37</v>
      </c>
      <c r="V76" s="2" t="s">
        <v>38</v>
      </c>
      <c r="W76" s="2">
        <v>9</v>
      </c>
      <c r="X76" s="2" t="s">
        <v>39</v>
      </c>
      <c r="Y76" s="2">
        <v>3</v>
      </c>
      <c r="Z76" s="2" t="s">
        <v>40</v>
      </c>
    </row>
    <row r="77" spans="1:26" x14ac:dyDescent="0.25">
      <c r="A77" s="2" t="s">
        <v>297</v>
      </c>
      <c r="B77" s="3">
        <v>46198</v>
      </c>
      <c r="C77" s="2" t="s">
        <v>298</v>
      </c>
      <c r="D77" s="2" t="s">
        <v>28</v>
      </c>
      <c r="E77" s="2" t="s">
        <v>44</v>
      </c>
      <c r="F77" s="2">
        <v>63</v>
      </c>
      <c r="G77" s="2" t="s">
        <v>45</v>
      </c>
      <c r="H77" s="2" t="s">
        <v>31</v>
      </c>
      <c r="I77" s="2" t="s">
        <v>46</v>
      </c>
      <c r="J77" s="2" t="s">
        <v>190</v>
      </c>
      <c r="K77" s="2">
        <v>1</v>
      </c>
      <c r="L77" s="4">
        <v>2800</v>
      </c>
      <c r="M77" s="5">
        <v>0.2</v>
      </c>
      <c r="N77" s="4">
        <v>560</v>
      </c>
      <c r="O77" s="4">
        <v>112</v>
      </c>
      <c r="P77" s="4">
        <v>0</v>
      </c>
      <c r="Q77" s="4">
        <v>2352</v>
      </c>
      <c r="R77" s="2" t="s">
        <v>59</v>
      </c>
      <c r="S77" s="2" t="s">
        <v>133</v>
      </c>
      <c r="T77" s="2" t="s">
        <v>90</v>
      </c>
      <c r="U77" s="2" t="s">
        <v>62</v>
      </c>
      <c r="V77" s="2" t="s">
        <v>63</v>
      </c>
      <c r="W77" s="2">
        <v>5</v>
      </c>
      <c r="X77" s="2" t="s">
        <v>39</v>
      </c>
      <c r="Y77" s="2">
        <v>5</v>
      </c>
      <c r="Z77" s="2" t="s">
        <v>40</v>
      </c>
    </row>
    <row r="78" spans="1:26" x14ac:dyDescent="0.25">
      <c r="A78" s="2" t="s">
        <v>299</v>
      </c>
      <c r="B78" s="3">
        <v>46139</v>
      </c>
      <c r="C78" s="2" t="s">
        <v>300</v>
      </c>
      <c r="D78" s="2" t="s">
        <v>141</v>
      </c>
      <c r="E78" s="2" t="s">
        <v>44</v>
      </c>
      <c r="F78" s="2">
        <v>24</v>
      </c>
      <c r="G78" s="2" t="s">
        <v>55</v>
      </c>
      <c r="H78" s="2" t="s">
        <v>56</v>
      </c>
      <c r="I78" s="2" t="s">
        <v>57</v>
      </c>
      <c r="J78" s="2" t="s">
        <v>245</v>
      </c>
      <c r="K78" s="2">
        <v>5</v>
      </c>
      <c r="L78" s="4">
        <v>6200</v>
      </c>
      <c r="M78" s="5">
        <v>0.15</v>
      </c>
      <c r="N78" s="4">
        <v>4650</v>
      </c>
      <c r="O78" s="4">
        <v>3162</v>
      </c>
      <c r="P78" s="4">
        <v>50</v>
      </c>
      <c r="Q78" s="4">
        <v>29562</v>
      </c>
      <c r="R78" s="2" t="s">
        <v>48</v>
      </c>
      <c r="S78" s="2" t="s">
        <v>35</v>
      </c>
      <c r="T78" s="2" t="s">
        <v>134</v>
      </c>
      <c r="U78" s="2" t="s">
        <v>135</v>
      </c>
      <c r="V78" s="2" t="s">
        <v>50</v>
      </c>
      <c r="W78" s="2">
        <v>6</v>
      </c>
      <c r="X78" s="2" t="s">
        <v>39</v>
      </c>
      <c r="Y78" s="2">
        <v>0</v>
      </c>
      <c r="Z78" s="2" t="s">
        <v>64</v>
      </c>
    </row>
    <row r="79" spans="1:26" x14ac:dyDescent="0.25">
      <c r="A79" s="2" t="s">
        <v>301</v>
      </c>
      <c r="B79" s="3">
        <v>46103</v>
      </c>
      <c r="C79" s="2" t="s">
        <v>302</v>
      </c>
      <c r="D79" s="2" t="s">
        <v>163</v>
      </c>
      <c r="E79" s="2" t="s">
        <v>44</v>
      </c>
      <c r="F79" s="2">
        <v>60</v>
      </c>
      <c r="G79" s="2" t="s">
        <v>30</v>
      </c>
      <c r="H79" s="2" t="s">
        <v>31</v>
      </c>
      <c r="I79" s="2" t="s">
        <v>32</v>
      </c>
      <c r="J79" s="2" t="s">
        <v>170</v>
      </c>
      <c r="K79" s="2">
        <v>2</v>
      </c>
      <c r="L79" s="4">
        <v>2600</v>
      </c>
      <c r="M79" s="5">
        <v>0.15</v>
      </c>
      <c r="N79" s="4">
        <v>780</v>
      </c>
      <c r="O79" s="4">
        <v>221</v>
      </c>
      <c r="P79" s="4">
        <v>0</v>
      </c>
      <c r="Q79" s="4">
        <v>4641</v>
      </c>
      <c r="R79" s="2" t="s">
        <v>34</v>
      </c>
      <c r="S79" s="2" t="s">
        <v>35</v>
      </c>
      <c r="T79" s="2" t="s">
        <v>165</v>
      </c>
      <c r="U79" s="2" t="s">
        <v>166</v>
      </c>
      <c r="V79" s="2" t="s">
        <v>82</v>
      </c>
      <c r="W79" s="2">
        <v>2</v>
      </c>
      <c r="X79" s="2" t="s">
        <v>39</v>
      </c>
      <c r="Y79" s="2">
        <v>5</v>
      </c>
      <c r="Z79" s="2" t="s">
        <v>40</v>
      </c>
    </row>
    <row r="80" spans="1:26" x14ac:dyDescent="0.25">
      <c r="A80" s="2" t="s">
        <v>303</v>
      </c>
      <c r="B80" s="3">
        <v>46173</v>
      </c>
      <c r="C80" s="2" t="s">
        <v>304</v>
      </c>
      <c r="D80" s="2" t="s">
        <v>132</v>
      </c>
      <c r="E80" s="2" t="s">
        <v>44</v>
      </c>
      <c r="F80" s="2">
        <v>60</v>
      </c>
      <c r="G80" s="2" t="s">
        <v>142</v>
      </c>
      <c r="H80" s="2" t="s">
        <v>69</v>
      </c>
      <c r="I80" s="2" t="s">
        <v>143</v>
      </c>
      <c r="J80" s="2" t="s">
        <v>248</v>
      </c>
      <c r="K80" s="2">
        <v>3</v>
      </c>
      <c r="L80" s="4">
        <v>55300</v>
      </c>
      <c r="M80" s="5">
        <v>0.25</v>
      </c>
      <c r="N80" s="4">
        <v>41475</v>
      </c>
      <c r="O80" s="4">
        <v>6221.25</v>
      </c>
      <c r="P80" s="4">
        <v>75</v>
      </c>
      <c r="Q80" s="4">
        <v>130721.25</v>
      </c>
      <c r="R80" s="2" t="s">
        <v>48</v>
      </c>
      <c r="S80" s="2" t="s">
        <v>60</v>
      </c>
      <c r="T80" s="2" t="s">
        <v>144</v>
      </c>
      <c r="U80" s="2" t="s">
        <v>145</v>
      </c>
      <c r="V80" s="2" t="s">
        <v>38</v>
      </c>
      <c r="W80" s="2">
        <v>5</v>
      </c>
      <c r="X80" s="2" t="s">
        <v>39</v>
      </c>
      <c r="Y80" s="2">
        <v>4</v>
      </c>
      <c r="Z80" s="2" t="s">
        <v>40</v>
      </c>
    </row>
    <row r="81" spans="1:26" x14ac:dyDescent="0.25">
      <c r="A81" s="2" t="s">
        <v>305</v>
      </c>
      <c r="B81" s="3">
        <v>46239</v>
      </c>
      <c r="C81" s="2" t="s">
        <v>306</v>
      </c>
      <c r="D81" s="2" t="s">
        <v>28</v>
      </c>
      <c r="E81" s="2" t="s">
        <v>44</v>
      </c>
      <c r="F81" s="2">
        <v>53</v>
      </c>
      <c r="G81" s="2" t="s">
        <v>177</v>
      </c>
      <c r="H81" s="2" t="s">
        <v>31</v>
      </c>
      <c r="I81" s="2" t="s">
        <v>32</v>
      </c>
      <c r="J81" s="2" t="s">
        <v>269</v>
      </c>
      <c r="K81" s="2">
        <v>3</v>
      </c>
      <c r="L81" s="4">
        <v>2600</v>
      </c>
      <c r="M81" s="5">
        <v>0.15</v>
      </c>
      <c r="N81" s="4">
        <v>1170</v>
      </c>
      <c r="O81" s="4">
        <v>1193.4000000000001</v>
      </c>
      <c r="P81" s="4">
        <v>250</v>
      </c>
      <c r="Q81" s="4">
        <v>8073.4</v>
      </c>
      <c r="R81" s="2" t="s">
        <v>88</v>
      </c>
      <c r="S81" s="2" t="s">
        <v>35</v>
      </c>
      <c r="T81" s="2" t="s">
        <v>165</v>
      </c>
      <c r="U81" s="2" t="s">
        <v>166</v>
      </c>
      <c r="V81" s="2" t="s">
        <v>82</v>
      </c>
      <c r="W81" s="2">
        <v>10</v>
      </c>
      <c r="X81" s="2" t="s">
        <v>39</v>
      </c>
      <c r="Y81" s="2">
        <v>3</v>
      </c>
      <c r="Z81" s="2" t="s">
        <v>40</v>
      </c>
    </row>
    <row r="82" spans="1:26" x14ac:dyDescent="0.25">
      <c r="A82" s="2" t="s">
        <v>307</v>
      </c>
      <c r="B82" s="3">
        <v>46069</v>
      </c>
      <c r="C82" s="2" t="s">
        <v>308</v>
      </c>
      <c r="D82" s="2" t="s">
        <v>148</v>
      </c>
      <c r="E82" s="2" t="s">
        <v>44</v>
      </c>
      <c r="F82" s="2">
        <v>39</v>
      </c>
      <c r="G82" s="2" t="s">
        <v>177</v>
      </c>
      <c r="H82" s="2" t="s">
        <v>31</v>
      </c>
      <c r="I82" s="2" t="s">
        <v>32</v>
      </c>
      <c r="J82" s="2" t="s">
        <v>269</v>
      </c>
      <c r="K82" s="2">
        <v>2</v>
      </c>
      <c r="L82" s="4">
        <v>2100</v>
      </c>
      <c r="M82" s="5">
        <v>0.2</v>
      </c>
      <c r="N82" s="4">
        <v>840</v>
      </c>
      <c r="O82" s="4">
        <v>604.79999999999995</v>
      </c>
      <c r="P82" s="4">
        <v>100</v>
      </c>
      <c r="Q82" s="4">
        <v>4064.8</v>
      </c>
      <c r="R82" s="2" t="s">
        <v>72</v>
      </c>
      <c r="S82" s="2" t="s">
        <v>60</v>
      </c>
      <c r="T82" s="2" t="s">
        <v>95</v>
      </c>
      <c r="U82" s="2" t="s">
        <v>62</v>
      </c>
      <c r="V82" s="2" t="s">
        <v>63</v>
      </c>
      <c r="W82" s="2">
        <v>3</v>
      </c>
      <c r="X82" s="2" t="s">
        <v>39</v>
      </c>
      <c r="Y82" s="2">
        <v>0</v>
      </c>
      <c r="Z82" s="2" t="s">
        <v>91</v>
      </c>
    </row>
    <row r="83" spans="1:26" x14ac:dyDescent="0.25">
      <c r="A83" s="2" t="s">
        <v>309</v>
      </c>
      <c r="B83" s="3">
        <v>46119</v>
      </c>
      <c r="C83" s="2" t="s">
        <v>310</v>
      </c>
      <c r="D83" s="2" t="s">
        <v>163</v>
      </c>
      <c r="E83" s="2" t="s">
        <v>44</v>
      </c>
      <c r="F83" s="2">
        <v>39</v>
      </c>
      <c r="G83" s="2" t="s">
        <v>125</v>
      </c>
      <c r="H83" s="2" t="s">
        <v>69</v>
      </c>
      <c r="I83" s="2" t="s">
        <v>126</v>
      </c>
      <c r="J83" s="2" t="s">
        <v>215</v>
      </c>
      <c r="K83" s="2">
        <v>3</v>
      </c>
      <c r="L83" s="4">
        <v>10200</v>
      </c>
      <c r="M83" s="5">
        <v>0.1</v>
      </c>
      <c r="N83" s="4">
        <v>3060</v>
      </c>
      <c r="O83" s="4">
        <v>4957.2</v>
      </c>
      <c r="P83" s="4">
        <v>150</v>
      </c>
      <c r="Q83" s="4">
        <v>32647.200000000001</v>
      </c>
      <c r="R83" s="2" t="s">
        <v>88</v>
      </c>
      <c r="S83" s="2" t="s">
        <v>89</v>
      </c>
      <c r="T83" s="2" t="s">
        <v>95</v>
      </c>
      <c r="U83" s="2" t="s">
        <v>62</v>
      </c>
      <c r="V83" s="2" t="s">
        <v>63</v>
      </c>
      <c r="W83" s="2">
        <v>1</v>
      </c>
      <c r="X83" s="2" t="s">
        <v>39</v>
      </c>
      <c r="Y83" s="2">
        <v>3</v>
      </c>
      <c r="Z83" s="2" t="s">
        <v>40</v>
      </c>
    </row>
    <row r="84" spans="1:26" x14ac:dyDescent="0.25">
      <c r="A84" s="2" t="s">
        <v>311</v>
      </c>
      <c r="B84" s="3">
        <v>46192</v>
      </c>
      <c r="C84" s="2" t="s">
        <v>312</v>
      </c>
      <c r="D84" s="2" t="s">
        <v>163</v>
      </c>
      <c r="E84" s="2" t="s">
        <v>44</v>
      </c>
      <c r="F84" s="2">
        <v>56</v>
      </c>
      <c r="G84" s="2" t="s">
        <v>45</v>
      </c>
      <c r="H84" s="2" t="s">
        <v>31</v>
      </c>
      <c r="I84" s="2" t="s">
        <v>46</v>
      </c>
      <c r="J84" s="2" t="s">
        <v>260</v>
      </c>
      <c r="K84" s="2">
        <v>3</v>
      </c>
      <c r="L84" s="4">
        <v>2100</v>
      </c>
      <c r="M84" s="5">
        <v>0.2</v>
      </c>
      <c r="N84" s="4">
        <v>1260</v>
      </c>
      <c r="O84" s="4">
        <v>252</v>
      </c>
      <c r="P84" s="4">
        <v>75</v>
      </c>
      <c r="Q84" s="4">
        <v>5367</v>
      </c>
      <c r="R84" s="2" t="s">
        <v>88</v>
      </c>
      <c r="S84" s="2" t="s">
        <v>35</v>
      </c>
      <c r="T84" s="2" t="s">
        <v>134</v>
      </c>
      <c r="U84" s="2" t="s">
        <v>135</v>
      </c>
      <c r="V84" s="2" t="s">
        <v>50</v>
      </c>
      <c r="W84" s="2">
        <v>2</v>
      </c>
      <c r="X84" s="2" t="s">
        <v>39</v>
      </c>
      <c r="Y84" s="2">
        <v>5</v>
      </c>
      <c r="Z84" s="2" t="s">
        <v>40</v>
      </c>
    </row>
    <row r="85" spans="1:26" x14ac:dyDescent="0.25">
      <c r="A85" s="2" t="s">
        <v>313</v>
      </c>
      <c r="B85" s="3">
        <v>46079</v>
      </c>
      <c r="C85" s="2" t="s">
        <v>314</v>
      </c>
      <c r="D85" s="2" t="s">
        <v>203</v>
      </c>
      <c r="E85" s="2" t="s">
        <v>29</v>
      </c>
      <c r="F85" s="2">
        <v>18</v>
      </c>
      <c r="G85" s="2" t="s">
        <v>68</v>
      </c>
      <c r="H85" s="2" t="s">
        <v>69</v>
      </c>
      <c r="I85" s="2" t="s">
        <v>70</v>
      </c>
      <c r="J85" s="2" t="s">
        <v>71</v>
      </c>
      <c r="K85" s="2">
        <v>2</v>
      </c>
      <c r="L85" s="4">
        <v>8800</v>
      </c>
      <c r="M85" s="5">
        <v>0.1</v>
      </c>
      <c r="N85" s="4">
        <v>1760</v>
      </c>
      <c r="O85" s="4">
        <v>1900.8</v>
      </c>
      <c r="P85" s="4">
        <v>75</v>
      </c>
      <c r="Q85" s="4">
        <v>17815.8</v>
      </c>
      <c r="R85" s="2" t="s">
        <v>34</v>
      </c>
      <c r="S85" s="2" t="s">
        <v>133</v>
      </c>
      <c r="T85" s="2" t="s">
        <v>95</v>
      </c>
      <c r="U85" s="2" t="s">
        <v>62</v>
      </c>
      <c r="V85" s="2" t="s">
        <v>63</v>
      </c>
      <c r="W85" s="2">
        <v>1</v>
      </c>
      <c r="X85" s="2" t="s">
        <v>39</v>
      </c>
      <c r="Y85" s="2">
        <v>4</v>
      </c>
      <c r="Z85" s="2" t="s">
        <v>40</v>
      </c>
    </row>
    <row r="86" spans="1:26" x14ac:dyDescent="0.25">
      <c r="A86" s="2" t="s">
        <v>315</v>
      </c>
      <c r="B86" s="3">
        <v>46041</v>
      </c>
      <c r="C86" s="2" t="s">
        <v>316</v>
      </c>
      <c r="D86" s="2" t="s">
        <v>203</v>
      </c>
      <c r="E86" s="2" t="s">
        <v>29</v>
      </c>
      <c r="F86" s="2">
        <v>45</v>
      </c>
      <c r="G86" s="2" t="s">
        <v>99</v>
      </c>
      <c r="H86" s="2" t="s">
        <v>69</v>
      </c>
      <c r="I86" s="2" t="s">
        <v>100</v>
      </c>
      <c r="J86" s="2" t="s">
        <v>218</v>
      </c>
      <c r="K86" s="2">
        <v>1</v>
      </c>
      <c r="L86" s="4">
        <v>89100</v>
      </c>
      <c r="M86" s="5">
        <v>0.1</v>
      </c>
      <c r="N86" s="4">
        <v>8910</v>
      </c>
      <c r="O86" s="4">
        <v>14434.2</v>
      </c>
      <c r="P86" s="4">
        <v>100</v>
      </c>
      <c r="Q86" s="4">
        <v>94724.2</v>
      </c>
      <c r="R86" s="2" t="s">
        <v>88</v>
      </c>
      <c r="S86" s="2" t="s">
        <v>35</v>
      </c>
      <c r="T86" s="2" t="s">
        <v>144</v>
      </c>
      <c r="U86" s="2" t="s">
        <v>145</v>
      </c>
      <c r="V86" s="2" t="s">
        <v>38</v>
      </c>
      <c r="W86" s="2">
        <v>7</v>
      </c>
      <c r="X86" s="2" t="s">
        <v>39</v>
      </c>
      <c r="Y86" s="2">
        <v>0</v>
      </c>
      <c r="Z86" s="2" t="s">
        <v>91</v>
      </c>
    </row>
    <row r="87" spans="1:26" x14ac:dyDescent="0.25">
      <c r="A87" s="2" t="s">
        <v>317</v>
      </c>
      <c r="B87" s="3">
        <v>46126</v>
      </c>
      <c r="C87" s="2" t="s">
        <v>318</v>
      </c>
      <c r="D87" s="2" t="s">
        <v>234</v>
      </c>
      <c r="E87" s="2" t="s">
        <v>44</v>
      </c>
      <c r="F87" s="2">
        <v>28</v>
      </c>
      <c r="G87" s="2" t="s">
        <v>198</v>
      </c>
      <c r="H87" s="2" t="s">
        <v>105</v>
      </c>
      <c r="I87" s="2" t="s">
        <v>199</v>
      </c>
      <c r="J87" s="2" t="s">
        <v>160</v>
      </c>
      <c r="K87" s="2">
        <v>3</v>
      </c>
      <c r="L87" s="4">
        <v>6200</v>
      </c>
      <c r="M87" s="5">
        <v>0.15</v>
      </c>
      <c r="N87" s="4">
        <v>2790</v>
      </c>
      <c r="O87" s="4">
        <v>790.5</v>
      </c>
      <c r="P87" s="4">
        <v>50</v>
      </c>
      <c r="Q87" s="4">
        <v>16650.5</v>
      </c>
      <c r="R87" s="2" t="s">
        <v>88</v>
      </c>
      <c r="S87" s="2" t="s">
        <v>60</v>
      </c>
      <c r="T87" s="2" t="s">
        <v>134</v>
      </c>
      <c r="U87" s="2" t="s">
        <v>135</v>
      </c>
      <c r="V87" s="2" t="s">
        <v>50</v>
      </c>
      <c r="W87" s="2">
        <v>10</v>
      </c>
      <c r="X87" s="2" t="s">
        <v>39</v>
      </c>
      <c r="Y87" s="2">
        <v>5</v>
      </c>
      <c r="Z87" s="2" t="s">
        <v>40</v>
      </c>
    </row>
    <row r="88" spans="1:26" x14ac:dyDescent="0.25">
      <c r="A88" s="2" t="s">
        <v>319</v>
      </c>
      <c r="B88" s="3">
        <v>46108</v>
      </c>
      <c r="C88" s="2" t="s">
        <v>320</v>
      </c>
      <c r="D88" s="2" t="s">
        <v>210</v>
      </c>
      <c r="E88" s="2" t="s">
        <v>29</v>
      </c>
      <c r="F88" s="2">
        <v>50</v>
      </c>
      <c r="G88" s="2" t="s">
        <v>86</v>
      </c>
      <c r="H88" s="2" t="s">
        <v>56</v>
      </c>
      <c r="I88" s="2" t="s">
        <v>57</v>
      </c>
      <c r="J88" s="2" t="s">
        <v>245</v>
      </c>
      <c r="K88" s="2">
        <v>5</v>
      </c>
      <c r="L88" s="4">
        <v>5000</v>
      </c>
      <c r="M88" s="5">
        <v>0.05</v>
      </c>
      <c r="N88" s="4">
        <v>1250</v>
      </c>
      <c r="O88" s="4">
        <v>2850</v>
      </c>
      <c r="P88" s="4">
        <v>75</v>
      </c>
      <c r="Q88" s="4">
        <v>26675</v>
      </c>
      <c r="R88" s="2" t="s">
        <v>34</v>
      </c>
      <c r="S88" s="2" t="s">
        <v>35</v>
      </c>
      <c r="T88" s="2" t="s">
        <v>36</v>
      </c>
      <c r="U88" s="2" t="s">
        <v>37</v>
      </c>
      <c r="V88" s="2" t="s">
        <v>38</v>
      </c>
      <c r="W88" s="2">
        <v>3</v>
      </c>
      <c r="X88" s="2" t="s">
        <v>39</v>
      </c>
      <c r="Y88" s="2">
        <v>4</v>
      </c>
      <c r="Z88" s="2" t="s">
        <v>40</v>
      </c>
    </row>
    <row r="89" spans="1:26" x14ac:dyDescent="0.25">
      <c r="A89" s="2" t="s">
        <v>321</v>
      </c>
      <c r="B89" s="3">
        <v>46068</v>
      </c>
      <c r="C89" s="2" t="s">
        <v>322</v>
      </c>
      <c r="D89" s="2" t="s">
        <v>114</v>
      </c>
      <c r="E89" s="2" t="s">
        <v>44</v>
      </c>
      <c r="F89" s="2">
        <v>54</v>
      </c>
      <c r="G89" s="2" t="s">
        <v>198</v>
      </c>
      <c r="H89" s="2" t="s">
        <v>105</v>
      </c>
      <c r="I89" s="2" t="s">
        <v>199</v>
      </c>
      <c r="J89" s="2" t="s">
        <v>160</v>
      </c>
      <c r="K89" s="2">
        <v>5</v>
      </c>
      <c r="L89" s="4">
        <v>20400</v>
      </c>
      <c r="M89" s="5">
        <v>0.25</v>
      </c>
      <c r="N89" s="4">
        <v>25500</v>
      </c>
      <c r="O89" s="4">
        <v>13770</v>
      </c>
      <c r="P89" s="4">
        <v>75</v>
      </c>
      <c r="Q89" s="4">
        <v>90345</v>
      </c>
      <c r="R89" s="2" t="s">
        <v>88</v>
      </c>
      <c r="S89" s="2" t="s">
        <v>35</v>
      </c>
      <c r="T89" s="2" t="s">
        <v>165</v>
      </c>
      <c r="U89" s="2" t="s">
        <v>166</v>
      </c>
      <c r="V89" s="2" t="s">
        <v>82</v>
      </c>
      <c r="W89" s="2">
        <v>6</v>
      </c>
      <c r="X89" s="2" t="s">
        <v>39</v>
      </c>
      <c r="Y89" s="2">
        <v>4</v>
      </c>
      <c r="Z89" s="2" t="s">
        <v>40</v>
      </c>
    </row>
    <row r="90" spans="1:26" x14ac:dyDescent="0.25">
      <c r="A90" s="2" t="s">
        <v>323</v>
      </c>
      <c r="B90" s="3">
        <v>46113</v>
      </c>
      <c r="C90" s="2" t="s">
        <v>324</v>
      </c>
      <c r="D90" s="2" t="s">
        <v>141</v>
      </c>
      <c r="E90" s="2" t="s">
        <v>29</v>
      </c>
      <c r="F90" s="2">
        <v>37</v>
      </c>
      <c r="G90" s="2" t="s">
        <v>45</v>
      </c>
      <c r="H90" s="2" t="s">
        <v>31</v>
      </c>
      <c r="I90" s="2" t="s">
        <v>46</v>
      </c>
      <c r="J90" s="2" t="s">
        <v>260</v>
      </c>
      <c r="K90" s="2">
        <v>1</v>
      </c>
      <c r="L90" s="4">
        <v>1100</v>
      </c>
      <c r="M90" s="5">
        <v>0.1</v>
      </c>
      <c r="N90" s="4">
        <v>110</v>
      </c>
      <c r="O90" s="4">
        <v>118.8</v>
      </c>
      <c r="P90" s="4">
        <v>0</v>
      </c>
      <c r="Q90" s="4">
        <v>1108.8</v>
      </c>
      <c r="R90" s="2" t="s">
        <v>72</v>
      </c>
      <c r="S90" s="2" t="s">
        <v>89</v>
      </c>
      <c r="T90" s="2" t="s">
        <v>120</v>
      </c>
      <c r="U90" s="2" t="s">
        <v>121</v>
      </c>
      <c r="V90" s="2" t="s">
        <v>38</v>
      </c>
      <c r="W90" s="2">
        <v>2</v>
      </c>
      <c r="X90" s="2" t="s">
        <v>39</v>
      </c>
      <c r="Y90" s="2">
        <v>5</v>
      </c>
      <c r="Z90" s="2" t="s">
        <v>40</v>
      </c>
    </row>
    <row r="91" spans="1:26" x14ac:dyDescent="0.25">
      <c r="A91" s="2" t="s">
        <v>325</v>
      </c>
      <c r="B91" s="3">
        <v>46255</v>
      </c>
      <c r="C91" s="2" t="s">
        <v>326</v>
      </c>
      <c r="D91" s="2" t="s">
        <v>85</v>
      </c>
      <c r="E91" s="2" t="s">
        <v>29</v>
      </c>
      <c r="F91" s="2">
        <v>38</v>
      </c>
      <c r="G91" s="2" t="s">
        <v>198</v>
      </c>
      <c r="H91" s="2" t="s">
        <v>105</v>
      </c>
      <c r="I91" s="2" t="s">
        <v>199</v>
      </c>
      <c r="J91" s="2" t="s">
        <v>160</v>
      </c>
      <c r="K91" s="2">
        <v>5</v>
      </c>
      <c r="L91" s="4">
        <v>7800</v>
      </c>
      <c r="M91" s="5">
        <v>0</v>
      </c>
      <c r="N91" s="4">
        <v>0</v>
      </c>
      <c r="O91" s="4">
        <v>4680</v>
      </c>
      <c r="P91" s="4">
        <v>0</v>
      </c>
      <c r="Q91" s="4">
        <v>43680</v>
      </c>
      <c r="R91" s="2" t="s">
        <v>34</v>
      </c>
      <c r="S91" s="2" t="s">
        <v>35</v>
      </c>
      <c r="T91" s="2" t="s">
        <v>80</v>
      </c>
      <c r="U91" s="2" t="s">
        <v>81</v>
      </c>
      <c r="V91" s="2" t="s">
        <v>82</v>
      </c>
      <c r="W91" s="2">
        <v>6</v>
      </c>
      <c r="X91" s="2" t="s">
        <v>39</v>
      </c>
      <c r="Y91" s="2">
        <v>0</v>
      </c>
      <c r="Z91" s="2" t="s">
        <v>111</v>
      </c>
    </row>
    <row r="92" spans="1:26" x14ac:dyDescent="0.25">
      <c r="A92" s="2" t="s">
        <v>327</v>
      </c>
      <c r="B92" s="3">
        <v>46086</v>
      </c>
      <c r="C92" s="2" t="s">
        <v>328</v>
      </c>
      <c r="D92" s="2" t="s">
        <v>98</v>
      </c>
      <c r="E92" s="2" t="s">
        <v>44</v>
      </c>
      <c r="F92" s="2">
        <v>51</v>
      </c>
      <c r="G92" s="2" t="s">
        <v>104</v>
      </c>
      <c r="H92" s="2" t="s">
        <v>105</v>
      </c>
      <c r="I92" s="2" t="s">
        <v>106</v>
      </c>
      <c r="J92" s="2" t="s">
        <v>107</v>
      </c>
      <c r="K92" s="2">
        <v>2</v>
      </c>
      <c r="L92" s="4">
        <v>14300</v>
      </c>
      <c r="M92" s="5">
        <v>0.1</v>
      </c>
      <c r="N92" s="4">
        <v>2860</v>
      </c>
      <c r="O92" s="4">
        <v>3088.8</v>
      </c>
      <c r="P92" s="4">
        <v>100</v>
      </c>
      <c r="Q92" s="4">
        <v>28928.799999999999</v>
      </c>
      <c r="R92" s="2" t="s">
        <v>88</v>
      </c>
      <c r="S92" s="2" t="s">
        <v>35</v>
      </c>
      <c r="T92" s="2" t="s">
        <v>134</v>
      </c>
      <c r="U92" s="2" t="s">
        <v>135</v>
      </c>
      <c r="V92" s="2" t="s">
        <v>50</v>
      </c>
      <c r="W92" s="2">
        <v>6</v>
      </c>
      <c r="X92" s="2" t="s">
        <v>39</v>
      </c>
      <c r="Y92" s="2">
        <v>0</v>
      </c>
      <c r="Z92" s="2" t="s">
        <v>91</v>
      </c>
    </row>
    <row r="93" spans="1:26" x14ac:dyDescent="0.25">
      <c r="A93" s="2" t="s">
        <v>329</v>
      </c>
      <c r="B93" s="3">
        <v>46107</v>
      </c>
      <c r="C93" s="2" t="s">
        <v>330</v>
      </c>
      <c r="D93" s="2" t="s">
        <v>28</v>
      </c>
      <c r="E93" s="2" t="s">
        <v>44</v>
      </c>
      <c r="F93" s="2">
        <v>36</v>
      </c>
      <c r="G93" s="2" t="s">
        <v>30</v>
      </c>
      <c r="H93" s="2" t="s">
        <v>31</v>
      </c>
      <c r="I93" s="2" t="s">
        <v>32</v>
      </c>
      <c r="J93" s="2" t="s">
        <v>33</v>
      </c>
      <c r="K93" s="2">
        <v>3</v>
      </c>
      <c r="L93" s="4">
        <v>700</v>
      </c>
      <c r="M93" s="5">
        <v>0.2</v>
      </c>
      <c r="N93" s="4">
        <v>420</v>
      </c>
      <c r="O93" s="4">
        <v>302.39999999999998</v>
      </c>
      <c r="P93" s="4">
        <v>50</v>
      </c>
      <c r="Q93" s="4">
        <v>2032.4</v>
      </c>
      <c r="R93" s="2" t="s">
        <v>59</v>
      </c>
      <c r="S93" s="2" t="s">
        <v>35</v>
      </c>
      <c r="T93" s="2" t="s">
        <v>173</v>
      </c>
      <c r="U93" s="2" t="s">
        <v>174</v>
      </c>
      <c r="V93" s="2" t="s">
        <v>82</v>
      </c>
      <c r="W93" s="2">
        <v>6</v>
      </c>
      <c r="X93" s="2" t="s">
        <v>39</v>
      </c>
      <c r="Y93" s="2">
        <v>5</v>
      </c>
      <c r="Z93" s="2" t="s">
        <v>40</v>
      </c>
    </row>
    <row r="94" spans="1:26" x14ac:dyDescent="0.25">
      <c r="A94" s="2" t="s">
        <v>331</v>
      </c>
      <c r="B94" s="3">
        <v>46102</v>
      </c>
      <c r="C94" s="2" t="s">
        <v>332</v>
      </c>
      <c r="D94" s="2" t="s">
        <v>132</v>
      </c>
      <c r="E94" s="2" t="s">
        <v>44</v>
      </c>
      <c r="F94" s="2">
        <v>59</v>
      </c>
      <c r="G94" s="2" t="s">
        <v>177</v>
      </c>
      <c r="H94" s="2" t="s">
        <v>31</v>
      </c>
      <c r="I94" s="2" t="s">
        <v>32</v>
      </c>
      <c r="J94" s="2" t="s">
        <v>294</v>
      </c>
      <c r="K94" s="2">
        <v>5</v>
      </c>
      <c r="L94" s="4">
        <v>1700</v>
      </c>
      <c r="M94" s="5">
        <v>0.25</v>
      </c>
      <c r="N94" s="4">
        <v>2125</v>
      </c>
      <c r="O94" s="4">
        <v>1147.5</v>
      </c>
      <c r="P94" s="4">
        <v>100</v>
      </c>
      <c r="Q94" s="4">
        <v>7622.5</v>
      </c>
      <c r="R94" s="2" t="s">
        <v>48</v>
      </c>
      <c r="S94" s="2" t="s">
        <v>60</v>
      </c>
      <c r="T94" s="2" t="s">
        <v>255</v>
      </c>
      <c r="U94" s="2" t="s">
        <v>256</v>
      </c>
      <c r="V94" s="2" t="s">
        <v>38</v>
      </c>
      <c r="W94" s="2">
        <v>6</v>
      </c>
      <c r="X94" s="2" t="s">
        <v>39</v>
      </c>
      <c r="Y94" s="2">
        <v>5</v>
      </c>
      <c r="Z94" s="2" t="s">
        <v>40</v>
      </c>
    </row>
    <row r="95" spans="1:26" x14ac:dyDescent="0.25">
      <c r="A95" s="2" t="s">
        <v>333</v>
      </c>
      <c r="B95" s="3">
        <v>46080</v>
      </c>
      <c r="C95" s="2" t="s">
        <v>334</v>
      </c>
      <c r="D95" s="2" t="s">
        <v>259</v>
      </c>
      <c r="E95" s="2" t="s">
        <v>29</v>
      </c>
      <c r="F95" s="2">
        <v>22</v>
      </c>
      <c r="G95" s="2" t="s">
        <v>30</v>
      </c>
      <c r="H95" s="2" t="s">
        <v>31</v>
      </c>
      <c r="I95" s="2" t="s">
        <v>32</v>
      </c>
      <c r="J95" s="2" t="s">
        <v>204</v>
      </c>
      <c r="K95" s="2">
        <v>5</v>
      </c>
      <c r="L95" s="4">
        <v>2900</v>
      </c>
      <c r="M95" s="5">
        <v>0.2</v>
      </c>
      <c r="N95" s="4">
        <v>2900</v>
      </c>
      <c r="O95" s="4">
        <v>2088</v>
      </c>
      <c r="P95" s="4">
        <v>150</v>
      </c>
      <c r="Q95" s="4">
        <v>13838</v>
      </c>
      <c r="R95" s="2" t="s">
        <v>34</v>
      </c>
      <c r="S95" s="2" t="s">
        <v>89</v>
      </c>
      <c r="T95" s="2" t="s">
        <v>138</v>
      </c>
      <c r="U95" s="2" t="s">
        <v>62</v>
      </c>
      <c r="V95" s="2" t="s">
        <v>63</v>
      </c>
      <c r="W95" s="2">
        <v>6</v>
      </c>
      <c r="X95" s="2" t="s">
        <v>39</v>
      </c>
      <c r="Y95" s="2">
        <v>0</v>
      </c>
      <c r="Z95" s="2" t="s">
        <v>64</v>
      </c>
    </row>
    <row r="96" spans="1:26" x14ac:dyDescent="0.25">
      <c r="A96" s="2" t="s">
        <v>335</v>
      </c>
      <c r="B96" s="3">
        <v>46062</v>
      </c>
      <c r="C96" s="2" t="s">
        <v>336</v>
      </c>
      <c r="D96" s="2" t="s">
        <v>210</v>
      </c>
      <c r="E96" s="2" t="s">
        <v>29</v>
      </c>
      <c r="F96" s="2">
        <v>62</v>
      </c>
      <c r="G96" s="2" t="s">
        <v>198</v>
      </c>
      <c r="H96" s="2" t="s">
        <v>105</v>
      </c>
      <c r="I96" s="2" t="s">
        <v>199</v>
      </c>
      <c r="J96" s="2" t="s">
        <v>207</v>
      </c>
      <c r="K96" s="2">
        <v>4</v>
      </c>
      <c r="L96" s="4">
        <v>5100</v>
      </c>
      <c r="M96" s="5">
        <v>0.15</v>
      </c>
      <c r="N96" s="4">
        <v>3060</v>
      </c>
      <c r="O96" s="4">
        <v>2080.8000000000002</v>
      </c>
      <c r="P96" s="4">
        <v>200</v>
      </c>
      <c r="Q96" s="4">
        <v>19620.8</v>
      </c>
      <c r="R96" s="2" t="s">
        <v>48</v>
      </c>
      <c r="S96" s="2" t="s">
        <v>60</v>
      </c>
      <c r="T96" s="2" t="s">
        <v>36</v>
      </c>
      <c r="U96" s="2" t="s">
        <v>37</v>
      </c>
      <c r="V96" s="2" t="s">
        <v>38</v>
      </c>
      <c r="W96" s="2">
        <v>4</v>
      </c>
      <c r="X96" s="2" t="s">
        <v>39</v>
      </c>
      <c r="Y96" s="2">
        <v>2</v>
      </c>
      <c r="Z96" s="2" t="s">
        <v>111</v>
      </c>
    </row>
    <row r="97" spans="1:26" x14ac:dyDescent="0.25">
      <c r="A97" s="2" t="s">
        <v>337</v>
      </c>
      <c r="B97" s="3">
        <v>46159</v>
      </c>
      <c r="C97" s="2" t="s">
        <v>338</v>
      </c>
      <c r="D97" s="2" t="s">
        <v>77</v>
      </c>
      <c r="E97" s="2" t="s">
        <v>44</v>
      </c>
      <c r="F97" s="2">
        <v>48</v>
      </c>
      <c r="G97" s="2" t="s">
        <v>68</v>
      </c>
      <c r="H97" s="2" t="s">
        <v>69</v>
      </c>
      <c r="I97" s="2" t="s">
        <v>70</v>
      </c>
      <c r="J97" s="2" t="s">
        <v>71</v>
      </c>
      <c r="K97" s="2">
        <v>5</v>
      </c>
      <c r="L97" s="4">
        <v>24300</v>
      </c>
      <c r="M97" s="5">
        <v>0.15</v>
      </c>
      <c r="N97" s="4">
        <v>18225</v>
      </c>
      <c r="O97" s="4">
        <v>12393</v>
      </c>
      <c r="P97" s="4">
        <v>250</v>
      </c>
      <c r="Q97" s="4">
        <v>115918</v>
      </c>
      <c r="R97" s="2" t="s">
        <v>59</v>
      </c>
      <c r="S97" s="2" t="s">
        <v>60</v>
      </c>
      <c r="T97" s="2" t="s">
        <v>134</v>
      </c>
      <c r="U97" s="2" t="s">
        <v>135</v>
      </c>
      <c r="V97" s="2" t="s">
        <v>50</v>
      </c>
      <c r="W97" s="2">
        <v>9</v>
      </c>
      <c r="X97" s="2" t="s">
        <v>51</v>
      </c>
      <c r="Y97" s="2">
        <v>5</v>
      </c>
      <c r="Z97" s="2" t="s">
        <v>40</v>
      </c>
    </row>
    <row r="98" spans="1:26" x14ac:dyDescent="0.25">
      <c r="A98" s="2" t="s">
        <v>339</v>
      </c>
      <c r="B98" s="3">
        <v>46246</v>
      </c>
      <c r="C98" s="2" t="s">
        <v>340</v>
      </c>
      <c r="D98" s="2" t="s">
        <v>148</v>
      </c>
      <c r="E98" s="2" t="s">
        <v>29</v>
      </c>
      <c r="F98" s="2">
        <v>59</v>
      </c>
      <c r="G98" s="2" t="s">
        <v>45</v>
      </c>
      <c r="H98" s="2" t="s">
        <v>31</v>
      </c>
      <c r="I98" s="2" t="s">
        <v>46</v>
      </c>
      <c r="J98" s="2" t="s">
        <v>260</v>
      </c>
      <c r="K98" s="2">
        <v>5</v>
      </c>
      <c r="L98" s="4">
        <v>1400</v>
      </c>
      <c r="M98" s="5">
        <v>0.25</v>
      </c>
      <c r="N98" s="4">
        <v>1750</v>
      </c>
      <c r="O98" s="4">
        <v>945</v>
      </c>
      <c r="P98" s="4">
        <v>250</v>
      </c>
      <c r="Q98" s="4">
        <v>6445</v>
      </c>
      <c r="R98" s="2" t="s">
        <v>34</v>
      </c>
      <c r="S98" s="2" t="s">
        <v>89</v>
      </c>
      <c r="T98" s="2" t="s">
        <v>95</v>
      </c>
      <c r="U98" s="2" t="s">
        <v>62</v>
      </c>
      <c r="V98" s="2" t="s">
        <v>63</v>
      </c>
      <c r="W98" s="2">
        <v>5</v>
      </c>
      <c r="X98" s="2" t="s">
        <v>39</v>
      </c>
      <c r="Y98" s="2">
        <v>4</v>
      </c>
      <c r="Z98" s="2" t="s">
        <v>40</v>
      </c>
    </row>
    <row r="99" spans="1:26" x14ac:dyDescent="0.25">
      <c r="A99" s="2" t="s">
        <v>341</v>
      </c>
      <c r="B99" s="3">
        <v>46046</v>
      </c>
      <c r="C99" s="2" t="s">
        <v>342</v>
      </c>
      <c r="D99" s="2" t="s">
        <v>77</v>
      </c>
      <c r="E99" s="2" t="s">
        <v>44</v>
      </c>
      <c r="F99" s="2">
        <v>40</v>
      </c>
      <c r="G99" s="2" t="s">
        <v>99</v>
      </c>
      <c r="H99" s="2" t="s">
        <v>69</v>
      </c>
      <c r="I99" s="2" t="s">
        <v>100</v>
      </c>
      <c r="J99" s="2" t="s">
        <v>218</v>
      </c>
      <c r="K99" s="2">
        <v>1</v>
      </c>
      <c r="L99" s="4">
        <v>65200</v>
      </c>
      <c r="M99" s="5">
        <v>0.2</v>
      </c>
      <c r="N99" s="4">
        <v>13040</v>
      </c>
      <c r="O99" s="4">
        <v>6259.2</v>
      </c>
      <c r="P99" s="4">
        <v>50</v>
      </c>
      <c r="Q99" s="4">
        <v>58469.2</v>
      </c>
      <c r="R99" s="2" t="s">
        <v>88</v>
      </c>
      <c r="S99" s="2" t="s">
        <v>60</v>
      </c>
      <c r="T99" s="2" t="s">
        <v>134</v>
      </c>
      <c r="U99" s="2" t="s">
        <v>135</v>
      </c>
      <c r="V99" s="2" t="s">
        <v>50</v>
      </c>
      <c r="W99" s="2">
        <v>2</v>
      </c>
      <c r="X99" s="2" t="s">
        <v>39</v>
      </c>
      <c r="Y99" s="2">
        <v>5</v>
      </c>
      <c r="Z99" s="2" t="s">
        <v>40</v>
      </c>
    </row>
    <row r="100" spans="1:26" x14ac:dyDescent="0.25">
      <c r="A100" s="2" t="s">
        <v>343</v>
      </c>
      <c r="B100" s="3">
        <v>46058</v>
      </c>
      <c r="C100" s="2" t="s">
        <v>344</v>
      </c>
      <c r="D100" s="2" t="s">
        <v>129</v>
      </c>
      <c r="E100" s="2" t="s">
        <v>44</v>
      </c>
      <c r="F100" s="2">
        <v>48</v>
      </c>
      <c r="G100" s="2" t="s">
        <v>55</v>
      </c>
      <c r="H100" s="2" t="s">
        <v>56</v>
      </c>
      <c r="I100" s="2" t="s">
        <v>57</v>
      </c>
      <c r="J100" s="2" t="s">
        <v>245</v>
      </c>
      <c r="K100" s="2">
        <v>4</v>
      </c>
      <c r="L100" s="4">
        <v>9200</v>
      </c>
      <c r="M100" s="5">
        <v>0.2</v>
      </c>
      <c r="N100" s="4">
        <v>7360</v>
      </c>
      <c r="O100" s="4">
        <v>1472</v>
      </c>
      <c r="P100" s="4">
        <v>0</v>
      </c>
      <c r="Q100" s="4">
        <v>30912</v>
      </c>
      <c r="R100" s="2" t="s">
        <v>59</v>
      </c>
      <c r="S100" s="2" t="s">
        <v>89</v>
      </c>
      <c r="T100" s="2" t="s">
        <v>138</v>
      </c>
      <c r="U100" s="2" t="s">
        <v>62</v>
      </c>
      <c r="V100" s="2" t="s">
        <v>63</v>
      </c>
      <c r="W100" s="2">
        <v>5</v>
      </c>
      <c r="X100" s="2" t="s">
        <v>39</v>
      </c>
      <c r="Y100" s="2">
        <v>5</v>
      </c>
      <c r="Z100" s="2" t="s">
        <v>40</v>
      </c>
    </row>
    <row r="101" spans="1:26" x14ac:dyDescent="0.25">
      <c r="A101" s="2" t="s">
        <v>345</v>
      </c>
      <c r="B101" s="3">
        <v>46051</v>
      </c>
      <c r="C101" s="2" t="s">
        <v>346</v>
      </c>
      <c r="D101" s="2" t="s">
        <v>240</v>
      </c>
      <c r="E101" s="2" t="s">
        <v>29</v>
      </c>
      <c r="F101" s="2">
        <v>37</v>
      </c>
      <c r="G101" s="2" t="s">
        <v>142</v>
      </c>
      <c r="H101" s="2" t="s">
        <v>69</v>
      </c>
      <c r="I101" s="2" t="s">
        <v>143</v>
      </c>
      <c r="J101" s="2" t="s">
        <v>94</v>
      </c>
      <c r="K101" s="2">
        <v>2</v>
      </c>
      <c r="L101" s="4">
        <v>54900</v>
      </c>
      <c r="M101" s="5">
        <v>0.25</v>
      </c>
      <c r="N101" s="4">
        <v>27450</v>
      </c>
      <c r="O101" s="4">
        <v>14823</v>
      </c>
      <c r="P101" s="4">
        <v>100</v>
      </c>
      <c r="Q101" s="4">
        <v>97273</v>
      </c>
      <c r="R101" s="2" t="s">
        <v>59</v>
      </c>
      <c r="S101" s="2" t="s">
        <v>35</v>
      </c>
      <c r="T101" s="2" t="s">
        <v>95</v>
      </c>
      <c r="U101" s="2" t="s">
        <v>62</v>
      </c>
      <c r="V101" s="2" t="s">
        <v>63</v>
      </c>
      <c r="W101" s="2">
        <v>2</v>
      </c>
      <c r="X101" s="2" t="s">
        <v>39</v>
      </c>
      <c r="Y101" s="2">
        <v>0</v>
      </c>
      <c r="Z101" s="2" t="s">
        <v>64</v>
      </c>
    </row>
    <row r="102" spans="1:26" x14ac:dyDescent="0.25">
      <c r="A102" s="2" t="s">
        <v>347</v>
      </c>
      <c r="B102" s="3">
        <v>46184</v>
      </c>
      <c r="C102" s="2" t="s">
        <v>348</v>
      </c>
      <c r="D102" s="2" t="s">
        <v>141</v>
      </c>
      <c r="E102" s="2" t="s">
        <v>29</v>
      </c>
      <c r="F102" s="2">
        <v>63</v>
      </c>
      <c r="G102" s="2" t="s">
        <v>125</v>
      </c>
      <c r="H102" s="2" t="s">
        <v>69</v>
      </c>
      <c r="I102" s="2" t="s">
        <v>126</v>
      </c>
      <c r="J102" s="2" t="s">
        <v>215</v>
      </c>
      <c r="K102" s="2">
        <v>4</v>
      </c>
      <c r="L102" s="4">
        <v>1000</v>
      </c>
      <c r="M102" s="5">
        <v>0.2</v>
      </c>
      <c r="N102" s="4">
        <v>800</v>
      </c>
      <c r="O102" s="4">
        <v>384</v>
      </c>
      <c r="P102" s="4">
        <v>50</v>
      </c>
      <c r="Q102" s="4">
        <v>3634</v>
      </c>
      <c r="R102" s="2" t="s">
        <v>72</v>
      </c>
      <c r="S102" s="2" t="s">
        <v>35</v>
      </c>
      <c r="T102" s="2" t="s">
        <v>144</v>
      </c>
      <c r="U102" s="2" t="s">
        <v>145</v>
      </c>
      <c r="V102" s="2" t="s">
        <v>38</v>
      </c>
      <c r="W102" s="2">
        <v>7</v>
      </c>
      <c r="X102" s="2" t="s">
        <v>39</v>
      </c>
      <c r="Y102" s="2">
        <v>5</v>
      </c>
      <c r="Z102" s="2" t="s">
        <v>40</v>
      </c>
    </row>
    <row r="103" spans="1:26" x14ac:dyDescent="0.25">
      <c r="A103" s="2" t="s">
        <v>349</v>
      </c>
      <c r="B103" s="3">
        <v>46122</v>
      </c>
      <c r="C103" s="2" t="s">
        <v>350</v>
      </c>
      <c r="D103" s="2" t="s">
        <v>114</v>
      </c>
      <c r="E103" s="2" t="s">
        <v>29</v>
      </c>
      <c r="F103" s="2">
        <v>58</v>
      </c>
      <c r="G103" s="2" t="s">
        <v>78</v>
      </c>
      <c r="H103" s="2" t="s">
        <v>31</v>
      </c>
      <c r="I103" s="2" t="s">
        <v>79</v>
      </c>
      <c r="J103" s="2" t="s">
        <v>33</v>
      </c>
      <c r="K103" s="2">
        <v>3</v>
      </c>
      <c r="L103" s="4">
        <v>1700</v>
      </c>
      <c r="M103" s="5">
        <v>0.1</v>
      </c>
      <c r="N103" s="4">
        <v>510</v>
      </c>
      <c r="O103" s="4">
        <v>229.5</v>
      </c>
      <c r="P103" s="4">
        <v>75</v>
      </c>
      <c r="Q103" s="4">
        <v>4894.5</v>
      </c>
      <c r="R103" s="2" t="s">
        <v>88</v>
      </c>
      <c r="S103" s="2" t="s">
        <v>60</v>
      </c>
      <c r="T103" s="2" t="s">
        <v>115</v>
      </c>
      <c r="U103" s="2" t="s">
        <v>62</v>
      </c>
      <c r="V103" s="2" t="s">
        <v>116</v>
      </c>
      <c r="W103" s="2">
        <v>2</v>
      </c>
      <c r="X103" s="2" t="s">
        <v>39</v>
      </c>
      <c r="Y103" s="2">
        <v>0</v>
      </c>
      <c r="Z103" s="2" t="s">
        <v>91</v>
      </c>
    </row>
    <row r="104" spans="1:26" x14ac:dyDescent="0.25">
      <c r="A104" s="2" t="s">
        <v>351</v>
      </c>
      <c r="B104" s="3">
        <v>46034</v>
      </c>
      <c r="C104" s="2" t="s">
        <v>352</v>
      </c>
      <c r="D104" s="2" t="s">
        <v>54</v>
      </c>
      <c r="E104" s="2" t="s">
        <v>44</v>
      </c>
      <c r="F104" s="2">
        <v>59</v>
      </c>
      <c r="G104" s="2" t="s">
        <v>125</v>
      </c>
      <c r="H104" s="2" t="s">
        <v>69</v>
      </c>
      <c r="I104" s="2" t="s">
        <v>126</v>
      </c>
      <c r="J104" s="2" t="s">
        <v>71</v>
      </c>
      <c r="K104" s="2">
        <v>4</v>
      </c>
      <c r="L104" s="4">
        <v>9000</v>
      </c>
      <c r="M104" s="5">
        <v>0.05</v>
      </c>
      <c r="N104" s="4">
        <v>1800</v>
      </c>
      <c r="O104" s="4">
        <v>1710</v>
      </c>
      <c r="P104" s="4">
        <v>0</v>
      </c>
      <c r="Q104" s="4">
        <v>35910</v>
      </c>
      <c r="R104" s="2" t="s">
        <v>88</v>
      </c>
      <c r="S104" s="2" t="s">
        <v>133</v>
      </c>
      <c r="T104" s="2" t="s">
        <v>36</v>
      </c>
      <c r="U104" s="2" t="s">
        <v>37</v>
      </c>
      <c r="V104" s="2" t="s">
        <v>38</v>
      </c>
      <c r="W104" s="2">
        <v>8</v>
      </c>
      <c r="X104" s="2" t="s">
        <v>39</v>
      </c>
      <c r="Y104" s="2">
        <v>5</v>
      </c>
      <c r="Z104" s="2" t="s">
        <v>40</v>
      </c>
    </row>
    <row r="105" spans="1:26" x14ac:dyDescent="0.25">
      <c r="A105" s="2" t="s">
        <v>353</v>
      </c>
      <c r="B105" s="3">
        <v>46154</v>
      </c>
      <c r="C105" s="2" t="s">
        <v>354</v>
      </c>
      <c r="D105" s="2" t="s">
        <v>203</v>
      </c>
      <c r="E105" s="2" t="s">
        <v>44</v>
      </c>
      <c r="F105" s="2">
        <v>34</v>
      </c>
      <c r="G105" s="2" t="s">
        <v>99</v>
      </c>
      <c r="H105" s="2" t="s">
        <v>69</v>
      </c>
      <c r="I105" s="2" t="s">
        <v>100</v>
      </c>
      <c r="J105" s="2" t="s">
        <v>119</v>
      </c>
      <c r="K105" s="2">
        <v>3</v>
      </c>
      <c r="L105" s="4">
        <v>63200</v>
      </c>
      <c r="M105" s="5">
        <v>0</v>
      </c>
      <c r="N105" s="4">
        <v>0</v>
      </c>
      <c r="O105" s="4">
        <v>34128</v>
      </c>
      <c r="P105" s="4">
        <v>75</v>
      </c>
      <c r="Q105" s="4">
        <v>223803</v>
      </c>
      <c r="R105" s="2" t="s">
        <v>48</v>
      </c>
      <c r="S105" s="2" t="s">
        <v>89</v>
      </c>
      <c r="T105" s="2" t="s">
        <v>61</v>
      </c>
      <c r="U105" s="2" t="s">
        <v>62</v>
      </c>
      <c r="V105" s="2" t="s">
        <v>63</v>
      </c>
      <c r="W105" s="2">
        <v>2</v>
      </c>
      <c r="X105" s="2" t="s">
        <v>39</v>
      </c>
      <c r="Y105" s="2">
        <v>0</v>
      </c>
      <c r="Z105" s="2" t="s">
        <v>91</v>
      </c>
    </row>
    <row r="106" spans="1:26" x14ac:dyDescent="0.25">
      <c r="A106" s="2" t="s">
        <v>355</v>
      </c>
      <c r="B106" s="3">
        <v>46252</v>
      </c>
      <c r="C106" s="2" t="s">
        <v>356</v>
      </c>
      <c r="D106" s="2" t="s">
        <v>203</v>
      </c>
      <c r="E106" s="2" t="s">
        <v>44</v>
      </c>
      <c r="F106" s="2">
        <v>29</v>
      </c>
      <c r="G106" s="2" t="s">
        <v>45</v>
      </c>
      <c r="H106" s="2" t="s">
        <v>31</v>
      </c>
      <c r="I106" s="2" t="s">
        <v>46</v>
      </c>
      <c r="J106" s="2" t="s">
        <v>47</v>
      </c>
      <c r="K106" s="2">
        <v>4</v>
      </c>
      <c r="L106" s="4">
        <v>3100</v>
      </c>
      <c r="M106" s="5">
        <v>0.2</v>
      </c>
      <c r="N106" s="4">
        <v>2480</v>
      </c>
      <c r="O106" s="4">
        <v>1190.4000000000001</v>
      </c>
      <c r="P106" s="4">
        <v>250</v>
      </c>
      <c r="Q106" s="4">
        <v>11360.4</v>
      </c>
      <c r="R106" s="2" t="s">
        <v>88</v>
      </c>
      <c r="S106" s="2" t="s">
        <v>133</v>
      </c>
      <c r="T106" s="2" t="s">
        <v>95</v>
      </c>
      <c r="U106" s="2" t="s">
        <v>62</v>
      </c>
      <c r="V106" s="2" t="s">
        <v>63</v>
      </c>
      <c r="W106" s="2">
        <v>7</v>
      </c>
      <c r="X106" s="2" t="s">
        <v>39</v>
      </c>
      <c r="Y106" s="2">
        <v>5</v>
      </c>
      <c r="Z106" s="2" t="s">
        <v>40</v>
      </c>
    </row>
    <row r="107" spans="1:26" x14ac:dyDescent="0.25">
      <c r="A107" s="2" t="s">
        <v>357</v>
      </c>
      <c r="B107" s="3">
        <v>46049</v>
      </c>
      <c r="C107" s="2" t="s">
        <v>358</v>
      </c>
      <c r="D107" s="2" t="s">
        <v>67</v>
      </c>
      <c r="E107" s="2" t="s">
        <v>44</v>
      </c>
      <c r="F107" s="2">
        <v>60</v>
      </c>
      <c r="G107" s="2" t="s">
        <v>30</v>
      </c>
      <c r="H107" s="2" t="s">
        <v>31</v>
      </c>
      <c r="I107" s="2" t="s">
        <v>32</v>
      </c>
      <c r="J107" s="2" t="s">
        <v>170</v>
      </c>
      <c r="K107" s="2">
        <v>4</v>
      </c>
      <c r="L107" s="4">
        <v>2400</v>
      </c>
      <c r="M107" s="5">
        <v>0.25</v>
      </c>
      <c r="N107" s="4">
        <v>2400</v>
      </c>
      <c r="O107" s="4">
        <v>864</v>
      </c>
      <c r="P107" s="4">
        <v>50</v>
      </c>
      <c r="Q107" s="4">
        <v>8114</v>
      </c>
      <c r="R107" s="2" t="s">
        <v>59</v>
      </c>
      <c r="S107" s="2" t="s">
        <v>89</v>
      </c>
      <c r="T107" s="2" t="s">
        <v>36</v>
      </c>
      <c r="U107" s="2" t="s">
        <v>37</v>
      </c>
      <c r="V107" s="2" t="s">
        <v>38</v>
      </c>
      <c r="W107" s="2">
        <v>8</v>
      </c>
      <c r="X107" s="2" t="s">
        <v>39</v>
      </c>
      <c r="Y107" s="2">
        <v>5</v>
      </c>
      <c r="Z107" s="2" t="s">
        <v>40</v>
      </c>
    </row>
    <row r="108" spans="1:26" x14ac:dyDescent="0.25">
      <c r="A108" s="2" t="s">
        <v>359</v>
      </c>
      <c r="B108" s="3">
        <v>46093</v>
      </c>
      <c r="C108" s="2" t="s">
        <v>360</v>
      </c>
      <c r="D108" s="2" t="s">
        <v>129</v>
      </c>
      <c r="E108" s="2" t="s">
        <v>29</v>
      </c>
      <c r="F108" s="2">
        <v>60</v>
      </c>
      <c r="G108" s="2" t="s">
        <v>86</v>
      </c>
      <c r="H108" s="2" t="s">
        <v>56</v>
      </c>
      <c r="I108" s="2" t="s">
        <v>57</v>
      </c>
      <c r="J108" s="2" t="s">
        <v>87</v>
      </c>
      <c r="K108" s="2">
        <v>3</v>
      </c>
      <c r="L108" s="4">
        <v>5000</v>
      </c>
      <c r="M108" s="5">
        <v>0.25</v>
      </c>
      <c r="N108" s="4">
        <v>3750</v>
      </c>
      <c r="O108" s="4">
        <v>2025</v>
      </c>
      <c r="P108" s="4">
        <v>50</v>
      </c>
      <c r="Q108" s="4">
        <v>13325</v>
      </c>
      <c r="R108" s="2" t="s">
        <v>48</v>
      </c>
      <c r="S108" s="2" t="s">
        <v>35</v>
      </c>
      <c r="T108" s="2" t="s">
        <v>138</v>
      </c>
      <c r="U108" s="2" t="s">
        <v>62</v>
      </c>
      <c r="V108" s="2" t="s">
        <v>63</v>
      </c>
      <c r="W108" s="2">
        <v>3</v>
      </c>
      <c r="X108" s="2" t="s">
        <v>39</v>
      </c>
      <c r="Y108" s="2">
        <v>0</v>
      </c>
      <c r="Z108" s="2" t="s">
        <v>64</v>
      </c>
    </row>
    <row r="109" spans="1:26" x14ac:dyDescent="0.25">
      <c r="A109" s="2" t="s">
        <v>361</v>
      </c>
      <c r="B109" s="3">
        <v>46055</v>
      </c>
      <c r="C109" s="2" t="s">
        <v>362</v>
      </c>
      <c r="D109" s="2" t="s">
        <v>67</v>
      </c>
      <c r="E109" s="2" t="s">
        <v>29</v>
      </c>
      <c r="F109" s="2">
        <v>59</v>
      </c>
      <c r="G109" s="2" t="s">
        <v>177</v>
      </c>
      <c r="H109" s="2" t="s">
        <v>31</v>
      </c>
      <c r="I109" s="2" t="s">
        <v>32</v>
      </c>
      <c r="J109" s="2" t="s">
        <v>178</v>
      </c>
      <c r="K109" s="2">
        <v>4</v>
      </c>
      <c r="L109" s="4">
        <v>1400</v>
      </c>
      <c r="M109" s="5">
        <v>0.2</v>
      </c>
      <c r="N109" s="4">
        <v>1120</v>
      </c>
      <c r="O109" s="4">
        <v>224</v>
      </c>
      <c r="P109" s="4">
        <v>200</v>
      </c>
      <c r="Q109" s="4">
        <v>4904</v>
      </c>
      <c r="R109" s="2" t="s">
        <v>88</v>
      </c>
      <c r="S109" s="2" t="s">
        <v>89</v>
      </c>
      <c r="T109" s="2" t="s">
        <v>73</v>
      </c>
      <c r="U109" s="2" t="s">
        <v>74</v>
      </c>
      <c r="V109" s="2" t="s">
        <v>50</v>
      </c>
      <c r="W109" s="2">
        <v>6</v>
      </c>
      <c r="X109" s="2" t="s">
        <v>39</v>
      </c>
      <c r="Y109" s="2">
        <v>5</v>
      </c>
      <c r="Z109" s="2" t="s">
        <v>40</v>
      </c>
    </row>
    <row r="110" spans="1:26" x14ac:dyDescent="0.25">
      <c r="A110" s="2" t="s">
        <v>363</v>
      </c>
      <c r="B110" s="3">
        <v>46103</v>
      </c>
      <c r="C110" s="2" t="s">
        <v>364</v>
      </c>
      <c r="D110" s="2" t="s">
        <v>148</v>
      </c>
      <c r="E110" s="2" t="s">
        <v>29</v>
      </c>
      <c r="F110" s="2">
        <v>25</v>
      </c>
      <c r="G110" s="2" t="s">
        <v>99</v>
      </c>
      <c r="H110" s="2" t="s">
        <v>69</v>
      </c>
      <c r="I110" s="2" t="s">
        <v>100</v>
      </c>
      <c r="J110" s="2" t="s">
        <v>119</v>
      </c>
      <c r="K110" s="2">
        <v>4</v>
      </c>
      <c r="L110" s="4">
        <v>71500</v>
      </c>
      <c r="M110" s="5">
        <v>0.15</v>
      </c>
      <c r="N110" s="4">
        <v>42900</v>
      </c>
      <c r="O110" s="4">
        <v>43758</v>
      </c>
      <c r="P110" s="4">
        <v>0</v>
      </c>
      <c r="Q110" s="4">
        <v>286858</v>
      </c>
      <c r="R110" s="2" t="s">
        <v>59</v>
      </c>
      <c r="S110" s="2" t="s">
        <v>133</v>
      </c>
      <c r="T110" s="2" t="s">
        <v>61</v>
      </c>
      <c r="U110" s="2" t="s">
        <v>62</v>
      </c>
      <c r="V110" s="2" t="s">
        <v>63</v>
      </c>
      <c r="W110" s="2">
        <v>5</v>
      </c>
      <c r="X110" s="2" t="s">
        <v>39</v>
      </c>
      <c r="Y110" s="2">
        <v>0</v>
      </c>
      <c r="Z110" s="2" t="s">
        <v>91</v>
      </c>
    </row>
    <row r="111" spans="1:26" x14ac:dyDescent="0.25">
      <c r="A111" s="2" t="s">
        <v>365</v>
      </c>
      <c r="B111" s="3">
        <v>46200</v>
      </c>
      <c r="C111" s="2" t="s">
        <v>366</v>
      </c>
      <c r="D111" s="2" t="s">
        <v>114</v>
      </c>
      <c r="E111" s="2" t="s">
        <v>29</v>
      </c>
      <c r="F111" s="2">
        <v>25</v>
      </c>
      <c r="G111" s="2" t="s">
        <v>125</v>
      </c>
      <c r="H111" s="2" t="s">
        <v>69</v>
      </c>
      <c r="I111" s="2" t="s">
        <v>126</v>
      </c>
      <c r="J111" s="2" t="s">
        <v>164</v>
      </c>
      <c r="K111" s="2">
        <v>4</v>
      </c>
      <c r="L111" s="4">
        <v>3200</v>
      </c>
      <c r="M111" s="5">
        <v>0.25</v>
      </c>
      <c r="N111" s="4">
        <v>3200</v>
      </c>
      <c r="O111" s="4">
        <v>1152</v>
      </c>
      <c r="P111" s="4">
        <v>0</v>
      </c>
      <c r="Q111" s="4">
        <v>10752</v>
      </c>
      <c r="R111" s="2" t="s">
        <v>72</v>
      </c>
      <c r="S111" s="2" t="s">
        <v>133</v>
      </c>
      <c r="T111" s="2" t="s">
        <v>80</v>
      </c>
      <c r="U111" s="2" t="s">
        <v>81</v>
      </c>
      <c r="V111" s="2" t="s">
        <v>82</v>
      </c>
      <c r="W111" s="2">
        <v>6</v>
      </c>
      <c r="X111" s="2" t="s">
        <v>39</v>
      </c>
      <c r="Y111" s="2">
        <v>0</v>
      </c>
      <c r="Z111" s="2" t="s">
        <v>91</v>
      </c>
    </row>
    <row r="112" spans="1:26" x14ac:dyDescent="0.25">
      <c r="A112" s="2" t="s">
        <v>367</v>
      </c>
      <c r="B112" s="3">
        <v>46251</v>
      </c>
      <c r="C112" s="2" t="s">
        <v>368</v>
      </c>
      <c r="D112" s="2" t="s">
        <v>240</v>
      </c>
      <c r="E112" s="2" t="s">
        <v>29</v>
      </c>
      <c r="F112" s="2">
        <v>63</v>
      </c>
      <c r="G112" s="2" t="s">
        <v>55</v>
      </c>
      <c r="H112" s="2" t="s">
        <v>56</v>
      </c>
      <c r="I112" s="2" t="s">
        <v>57</v>
      </c>
      <c r="J112" s="2" t="s">
        <v>235</v>
      </c>
      <c r="K112" s="2">
        <v>2</v>
      </c>
      <c r="L112" s="4">
        <v>8100</v>
      </c>
      <c r="M112" s="5">
        <v>0.2</v>
      </c>
      <c r="N112" s="4">
        <v>3240</v>
      </c>
      <c r="O112" s="4">
        <v>648</v>
      </c>
      <c r="P112" s="4">
        <v>0</v>
      </c>
      <c r="Q112" s="4">
        <v>13608</v>
      </c>
      <c r="R112" s="2" t="s">
        <v>88</v>
      </c>
      <c r="S112" s="2" t="s">
        <v>89</v>
      </c>
      <c r="T112" s="2" t="s">
        <v>115</v>
      </c>
      <c r="U112" s="2" t="s">
        <v>62</v>
      </c>
      <c r="V112" s="2" t="s">
        <v>116</v>
      </c>
      <c r="W112" s="2">
        <v>3</v>
      </c>
      <c r="X112" s="2" t="s">
        <v>39</v>
      </c>
      <c r="Y112" s="2">
        <v>4</v>
      </c>
      <c r="Z112" s="2" t="s">
        <v>40</v>
      </c>
    </row>
    <row r="113" spans="1:26" x14ac:dyDescent="0.25">
      <c r="A113" s="2" t="s">
        <v>369</v>
      </c>
      <c r="B113" s="3">
        <v>46228</v>
      </c>
      <c r="C113" s="2" t="s">
        <v>370</v>
      </c>
      <c r="D113" s="2" t="s">
        <v>132</v>
      </c>
      <c r="E113" s="2" t="s">
        <v>29</v>
      </c>
      <c r="F113" s="2">
        <v>57</v>
      </c>
      <c r="G113" s="2" t="s">
        <v>142</v>
      </c>
      <c r="H113" s="2" t="s">
        <v>69</v>
      </c>
      <c r="I113" s="2" t="s">
        <v>143</v>
      </c>
      <c r="J113" s="2" t="s">
        <v>94</v>
      </c>
      <c r="K113" s="2">
        <v>3</v>
      </c>
      <c r="L113" s="4">
        <v>52700</v>
      </c>
      <c r="M113" s="5">
        <v>0.25</v>
      </c>
      <c r="N113" s="4">
        <v>39525</v>
      </c>
      <c r="O113" s="4">
        <v>21343.5</v>
      </c>
      <c r="P113" s="4">
        <v>100</v>
      </c>
      <c r="Q113" s="4">
        <v>140018.5</v>
      </c>
      <c r="R113" s="2" t="s">
        <v>59</v>
      </c>
      <c r="S113" s="2" t="s">
        <v>35</v>
      </c>
      <c r="T113" s="2" t="s">
        <v>255</v>
      </c>
      <c r="U113" s="2" t="s">
        <v>256</v>
      </c>
      <c r="V113" s="2" t="s">
        <v>38</v>
      </c>
      <c r="W113" s="2">
        <v>7</v>
      </c>
      <c r="X113" s="2" t="s">
        <v>39</v>
      </c>
      <c r="Y113" s="2">
        <v>0</v>
      </c>
      <c r="Z113" s="2" t="s">
        <v>91</v>
      </c>
    </row>
    <row r="114" spans="1:26" x14ac:dyDescent="0.25">
      <c r="A114" s="2" t="s">
        <v>371</v>
      </c>
      <c r="B114" s="3">
        <v>46055</v>
      </c>
      <c r="C114" s="2" t="s">
        <v>330</v>
      </c>
      <c r="D114" s="2" t="s">
        <v>169</v>
      </c>
      <c r="E114" s="2" t="s">
        <v>29</v>
      </c>
      <c r="F114" s="2">
        <v>46</v>
      </c>
      <c r="G114" s="2" t="s">
        <v>45</v>
      </c>
      <c r="H114" s="2" t="s">
        <v>31</v>
      </c>
      <c r="I114" s="2" t="s">
        <v>46</v>
      </c>
      <c r="J114" s="2" t="s">
        <v>47</v>
      </c>
      <c r="K114" s="2">
        <v>5</v>
      </c>
      <c r="L114" s="4">
        <v>3000</v>
      </c>
      <c r="M114" s="5">
        <v>0.05</v>
      </c>
      <c r="N114" s="4">
        <v>750</v>
      </c>
      <c r="O114" s="4">
        <v>2565</v>
      </c>
      <c r="P114" s="4">
        <v>200</v>
      </c>
      <c r="Q114" s="4">
        <v>17015</v>
      </c>
      <c r="R114" s="2" t="s">
        <v>48</v>
      </c>
      <c r="S114" s="2" t="s">
        <v>35</v>
      </c>
      <c r="T114" s="2" t="s">
        <v>144</v>
      </c>
      <c r="U114" s="2" t="s">
        <v>145</v>
      </c>
      <c r="V114" s="2" t="s">
        <v>38</v>
      </c>
      <c r="W114" s="2">
        <v>3</v>
      </c>
      <c r="X114" s="2" t="s">
        <v>39</v>
      </c>
      <c r="Y114" s="2">
        <v>0</v>
      </c>
      <c r="Z114" s="2" t="s">
        <v>91</v>
      </c>
    </row>
    <row r="115" spans="1:26" x14ac:dyDescent="0.25">
      <c r="A115" s="2" t="s">
        <v>372</v>
      </c>
      <c r="B115" s="3">
        <v>46235</v>
      </c>
      <c r="C115" s="2" t="s">
        <v>291</v>
      </c>
      <c r="D115" s="2" t="s">
        <v>28</v>
      </c>
      <c r="E115" s="2" t="s">
        <v>29</v>
      </c>
      <c r="F115" s="2">
        <v>37</v>
      </c>
      <c r="G115" s="2" t="s">
        <v>125</v>
      </c>
      <c r="H115" s="2" t="s">
        <v>69</v>
      </c>
      <c r="I115" s="2" t="s">
        <v>126</v>
      </c>
      <c r="J115" s="2" t="s">
        <v>271</v>
      </c>
      <c r="K115" s="2">
        <v>3</v>
      </c>
      <c r="L115" s="4">
        <v>10000</v>
      </c>
      <c r="M115" s="5">
        <v>0.05</v>
      </c>
      <c r="N115" s="4">
        <v>1500</v>
      </c>
      <c r="O115" s="4">
        <v>3420</v>
      </c>
      <c r="P115" s="4">
        <v>150</v>
      </c>
      <c r="Q115" s="4">
        <v>32070</v>
      </c>
      <c r="R115" s="2" t="s">
        <v>34</v>
      </c>
      <c r="S115" s="2" t="s">
        <v>133</v>
      </c>
      <c r="T115" s="2" t="s">
        <v>173</v>
      </c>
      <c r="U115" s="2" t="s">
        <v>174</v>
      </c>
      <c r="V115" s="2" t="s">
        <v>82</v>
      </c>
      <c r="W115" s="2">
        <v>5</v>
      </c>
      <c r="X115" s="2" t="s">
        <v>39</v>
      </c>
      <c r="Y115" s="2">
        <v>0</v>
      </c>
      <c r="Z115" s="2" t="s">
        <v>64</v>
      </c>
    </row>
    <row r="116" spans="1:26" x14ac:dyDescent="0.25">
      <c r="A116" s="2" t="s">
        <v>373</v>
      </c>
      <c r="B116" s="3">
        <v>46055</v>
      </c>
      <c r="C116" s="2" t="s">
        <v>374</v>
      </c>
      <c r="D116" s="2" t="s">
        <v>240</v>
      </c>
      <c r="E116" s="2" t="s">
        <v>29</v>
      </c>
      <c r="F116" s="2">
        <v>50</v>
      </c>
      <c r="G116" s="2" t="s">
        <v>86</v>
      </c>
      <c r="H116" s="2" t="s">
        <v>56</v>
      </c>
      <c r="I116" s="2" t="s">
        <v>57</v>
      </c>
      <c r="J116" s="2" t="s">
        <v>245</v>
      </c>
      <c r="K116" s="2">
        <v>5</v>
      </c>
      <c r="L116" s="4">
        <v>5500</v>
      </c>
      <c r="M116" s="5">
        <v>0.05</v>
      </c>
      <c r="N116" s="4">
        <v>1375</v>
      </c>
      <c r="O116" s="4">
        <v>1306.25</v>
      </c>
      <c r="P116" s="4">
        <v>200</v>
      </c>
      <c r="Q116" s="4">
        <v>27631.25</v>
      </c>
      <c r="R116" s="2" t="s">
        <v>72</v>
      </c>
      <c r="S116" s="2" t="s">
        <v>35</v>
      </c>
      <c r="T116" s="2" t="s">
        <v>144</v>
      </c>
      <c r="U116" s="2" t="s">
        <v>145</v>
      </c>
      <c r="V116" s="2" t="s">
        <v>38</v>
      </c>
      <c r="W116" s="2">
        <v>10</v>
      </c>
      <c r="X116" s="2" t="s">
        <v>51</v>
      </c>
      <c r="Y116" s="2">
        <v>3</v>
      </c>
      <c r="Z116" s="2" t="s">
        <v>40</v>
      </c>
    </row>
    <row r="117" spans="1:26" x14ac:dyDescent="0.25">
      <c r="A117" s="2" t="s">
        <v>375</v>
      </c>
      <c r="B117" s="3">
        <v>46034</v>
      </c>
      <c r="C117" s="2" t="s">
        <v>376</v>
      </c>
      <c r="D117" s="2" t="s">
        <v>85</v>
      </c>
      <c r="E117" s="2" t="s">
        <v>44</v>
      </c>
      <c r="F117" s="2">
        <v>59</v>
      </c>
      <c r="G117" s="2" t="s">
        <v>68</v>
      </c>
      <c r="H117" s="2" t="s">
        <v>69</v>
      </c>
      <c r="I117" s="2" t="s">
        <v>70</v>
      </c>
      <c r="J117" s="2" t="s">
        <v>225</v>
      </c>
      <c r="K117" s="2">
        <v>5</v>
      </c>
      <c r="L117" s="4">
        <v>34500</v>
      </c>
      <c r="M117" s="5">
        <v>0</v>
      </c>
      <c r="N117" s="4">
        <v>0</v>
      </c>
      <c r="O117" s="4">
        <v>20700</v>
      </c>
      <c r="P117" s="4">
        <v>200</v>
      </c>
      <c r="Q117" s="4">
        <v>193400</v>
      </c>
      <c r="R117" s="2" t="s">
        <v>48</v>
      </c>
      <c r="S117" s="2" t="s">
        <v>133</v>
      </c>
      <c r="T117" s="2" t="s">
        <v>255</v>
      </c>
      <c r="U117" s="2" t="s">
        <v>256</v>
      </c>
      <c r="V117" s="2" t="s">
        <v>38</v>
      </c>
      <c r="W117" s="2">
        <v>5</v>
      </c>
      <c r="X117" s="2" t="s">
        <v>39</v>
      </c>
      <c r="Y117" s="2">
        <v>4</v>
      </c>
      <c r="Z117" s="2" t="s">
        <v>40</v>
      </c>
    </row>
    <row r="118" spans="1:26" x14ac:dyDescent="0.25">
      <c r="A118" s="2" t="s">
        <v>377</v>
      </c>
      <c r="B118" s="3">
        <v>46139</v>
      </c>
      <c r="C118" s="2" t="s">
        <v>378</v>
      </c>
      <c r="D118" s="2" t="s">
        <v>67</v>
      </c>
      <c r="E118" s="2" t="s">
        <v>29</v>
      </c>
      <c r="F118" s="2">
        <v>28</v>
      </c>
      <c r="G118" s="2" t="s">
        <v>45</v>
      </c>
      <c r="H118" s="2" t="s">
        <v>31</v>
      </c>
      <c r="I118" s="2" t="s">
        <v>46</v>
      </c>
      <c r="J118" s="2" t="s">
        <v>260</v>
      </c>
      <c r="K118" s="2">
        <v>4</v>
      </c>
      <c r="L118" s="4">
        <v>3700</v>
      </c>
      <c r="M118" s="5">
        <v>0.05</v>
      </c>
      <c r="N118" s="4">
        <v>740</v>
      </c>
      <c r="O118" s="4">
        <v>1687.2</v>
      </c>
      <c r="P118" s="4">
        <v>150</v>
      </c>
      <c r="Q118" s="4">
        <v>15897.2</v>
      </c>
      <c r="R118" s="2" t="s">
        <v>88</v>
      </c>
      <c r="S118" s="2" t="s">
        <v>89</v>
      </c>
      <c r="T118" s="2" t="s">
        <v>90</v>
      </c>
      <c r="U118" s="2" t="s">
        <v>62</v>
      </c>
      <c r="V118" s="2" t="s">
        <v>63</v>
      </c>
      <c r="W118" s="2">
        <v>6</v>
      </c>
      <c r="X118" s="2" t="s">
        <v>39</v>
      </c>
      <c r="Y118" s="2">
        <v>0</v>
      </c>
      <c r="Z118" s="2" t="s">
        <v>64</v>
      </c>
    </row>
    <row r="119" spans="1:26" x14ac:dyDescent="0.25">
      <c r="A119" s="2" t="s">
        <v>379</v>
      </c>
      <c r="B119" s="3">
        <v>46056</v>
      </c>
      <c r="C119" s="2" t="s">
        <v>380</v>
      </c>
      <c r="D119" s="2" t="s">
        <v>54</v>
      </c>
      <c r="E119" s="2" t="s">
        <v>29</v>
      </c>
      <c r="F119" s="2">
        <v>38</v>
      </c>
      <c r="G119" s="2" t="s">
        <v>68</v>
      </c>
      <c r="H119" s="2" t="s">
        <v>69</v>
      </c>
      <c r="I119" s="2" t="s">
        <v>70</v>
      </c>
      <c r="J119" s="2" t="s">
        <v>225</v>
      </c>
      <c r="K119" s="2">
        <v>1</v>
      </c>
      <c r="L119" s="4">
        <v>15400</v>
      </c>
      <c r="M119" s="5">
        <v>0.15</v>
      </c>
      <c r="N119" s="4">
        <v>2310</v>
      </c>
      <c r="O119" s="4">
        <v>654.5</v>
      </c>
      <c r="P119" s="4">
        <v>50</v>
      </c>
      <c r="Q119" s="4">
        <v>13794.5</v>
      </c>
      <c r="R119" s="2" t="s">
        <v>34</v>
      </c>
      <c r="S119" s="2" t="s">
        <v>133</v>
      </c>
      <c r="T119" s="2" t="s">
        <v>95</v>
      </c>
      <c r="U119" s="2" t="s">
        <v>62</v>
      </c>
      <c r="V119" s="2" t="s">
        <v>63</v>
      </c>
      <c r="W119" s="2">
        <v>1</v>
      </c>
      <c r="X119" s="2" t="s">
        <v>39</v>
      </c>
      <c r="Y119" s="2">
        <v>5</v>
      </c>
      <c r="Z119" s="2" t="s">
        <v>40</v>
      </c>
    </row>
    <row r="120" spans="1:26" x14ac:dyDescent="0.25">
      <c r="A120" s="2" t="s">
        <v>381</v>
      </c>
      <c r="B120" s="3">
        <v>46262</v>
      </c>
      <c r="C120" s="2" t="s">
        <v>382</v>
      </c>
      <c r="D120" s="2" t="s">
        <v>85</v>
      </c>
      <c r="E120" s="2" t="s">
        <v>44</v>
      </c>
      <c r="F120" s="2">
        <v>30</v>
      </c>
      <c r="G120" s="2" t="s">
        <v>125</v>
      </c>
      <c r="H120" s="2" t="s">
        <v>69</v>
      </c>
      <c r="I120" s="2" t="s">
        <v>126</v>
      </c>
      <c r="J120" s="2" t="s">
        <v>71</v>
      </c>
      <c r="K120" s="2">
        <v>5</v>
      </c>
      <c r="L120" s="4">
        <v>6900</v>
      </c>
      <c r="M120" s="5">
        <v>0.15</v>
      </c>
      <c r="N120" s="4">
        <v>5175</v>
      </c>
      <c r="O120" s="4">
        <v>3519</v>
      </c>
      <c r="P120" s="4">
        <v>100</v>
      </c>
      <c r="Q120" s="4">
        <v>32944</v>
      </c>
      <c r="R120" s="2" t="s">
        <v>48</v>
      </c>
      <c r="S120" s="2" t="s">
        <v>60</v>
      </c>
      <c r="T120" s="2" t="s">
        <v>138</v>
      </c>
      <c r="U120" s="2" t="s">
        <v>62</v>
      </c>
      <c r="V120" s="2" t="s">
        <v>63</v>
      </c>
      <c r="W120" s="2">
        <v>2</v>
      </c>
      <c r="X120" s="2" t="s">
        <v>39</v>
      </c>
      <c r="Y120" s="2">
        <v>0</v>
      </c>
      <c r="Z120" s="2" t="s">
        <v>64</v>
      </c>
    </row>
    <row r="121" spans="1:26" x14ac:dyDescent="0.25">
      <c r="A121" s="2" t="s">
        <v>383</v>
      </c>
      <c r="B121" s="3">
        <v>46078</v>
      </c>
      <c r="C121" s="2" t="s">
        <v>384</v>
      </c>
      <c r="D121" s="2" t="s">
        <v>85</v>
      </c>
      <c r="E121" s="2" t="s">
        <v>44</v>
      </c>
      <c r="F121" s="2">
        <v>21</v>
      </c>
      <c r="G121" s="2" t="s">
        <v>99</v>
      </c>
      <c r="H121" s="2" t="s">
        <v>69</v>
      </c>
      <c r="I121" s="2" t="s">
        <v>100</v>
      </c>
      <c r="J121" s="2" t="s">
        <v>157</v>
      </c>
      <c r="K121" s="2">
        <v>4</v>
      </c>
      <c r="L121" s="4">
        <v>75500</v>
      </c>
      <c r="M121" s="5">
        <v>0.25</v>
      </c>
      <c r="N121" s="4">
        <v>75500</v>
      </c>
      <c r="O121" s="4">
        <v>40770</v>
      </c>
      <c r="P121" s="4">
        <v>100</v>
      </c>
      <c r="Q121" s="4">
        <v>267370</v>
      </c>
      <c r="R121" s="2" t="s">
        <v>88</v>
      </c>
      <c r="S121" s="2" t="s">
        <v>89</v>
      </c>
      <c r="T121" s="2" t="s">
        <v>61</v>
      </c>
      <c r="U121" s="2" t="s">
        <v>62</v>
      </c>
      <c r="V121" s="2" t="s">
        <v>63</v>
      </c>
      <c r="W121" s="2">
        <v>9</v>
      </c>
      <c r="X121" s="2" t="s">
        <v>39</v>
      </c>
      <c r="Y121" s="2">
        <v>4</v>
      </c>
      <c r="Z121" s="2" t="s">
        <v>40</v>
      </c>
    </row>
    <row r="122" spans="1:26" x14ac:dyDescent="0.25">
      <c r="A122" s="2" t="s">
        <v>385</v>
      </c>
      <c r="B122" s="3">
        <v>46116</v>
      </c>
      <c r="C122" s="2" t="s">
        <v>386</v>
      </c>
      <c r="D122" s="2" t="s">
        <v>129</v>
      </c>
      <c r="E122" s="2" t="s">
        <v>44</v>
      </c>
      <c r="F122" s="2">
        <v>21</v>
      </c>
      <c r="G122" s="2" t="s">
        <v>198</v>
      </c>
      <c r="H122" s="2" t="s">
        <v>105</v>
      </c>
      <c r="I122" s="2" t="s">
        <v>199</v>
      </c>
      <c r="J122" s="2" t="s">
        <v>200</v>
      </c>
      <c r="K122" s="2">
        <v>2</v>
      </c>
      <c r="L122" s="4">
        <v>13200</v>
      </c>
      <c r="M122" s="5">
        <v>0.2</v>
      </c>
      <c r="N122" s="4">
        <v>5280</v>
      </c>
      <c r="O122" s="4">
        <v>2534.4</v>
      </c>
      <c r="P122" s="4">
        <v>0</v>
      </c>
      <c r="Q122" s="4">
        <v>23654.400000000001</v>
      </c>
      <c r="R122" s="2" t="s">
        <v>59</v>
      </c>
      <c r="S122" s="2" t="s">
        <v>35</v>
      </c>
      <c r="T122" s="2" t="s">
        <v>134</v>
      </c>
      <c r="U122" s="2" t="s">
        <v>135</v>
      </c>
      <c r="V122" s="2" t="s">
        <v>50</v>
      </c>
      <c r="W122" s="2">
        <v>9</v>
      </c>
      <c r="X122" s="2" t="s">
        <v>39</v>
      </c>
      <c r="Y122" s="2">
        <v>5</v>
      </c>
      <c r="Z122" s="2" t="s">
        <v>40</v>
      </c>
    </row>
    <row r="123" spans="1:26" x14ac:dyDescent="0.25">
      <c r="A123" s="2" t="s">
        <v>387</v>
      </c>
      <c r="B123" s="3">
        <v>46055</v>
      </c>
      <c r="C123" s="2" t="s">
        <v>388</v>
      </c>
      <c r="D123" s="2" t="s">
        <v>28</v>
      </c>
      <c r="E123" s="2" t="s">
        <v>44</v>
      </c>
      <c r="F123" s="2">
        <v>41</v>
      </c>
      <c r="G123" s="2" t="s">
        <v>177</v>
      </c>
      <c r="H123" s="2" t="s">
        <v>31</v>
      </c>
      <c r="I123" s="2" t="s">
        <v>32</v>
      </c>
      <c r="J123" s="2" t="s">
        <v>178</v>
      </c>
      <c r="K123" s="2">
        <v>2</v>
      </c>
      <c r="L123" s="4">
        <v>2400</v>
      </c>
      <c r="M123" s="5">
        <v>0.2</v>
      </c>
      <c r="N123" s="4">
        <v>960</v>
      </c>
      <c r="O123" s="4">
        <v>691.2</v>
      </c>
      <c r="P123" s="4">
        <v>100</v>
      </c>
      <c r="Q123" s="4">
        <v>4631.2</v>
      </c>
      <c r="R123" s="2" t="s">
        <v>59</v>
      </c>
      <c r="S123" s="2" t="s">
        <v>89</v>
      </c>
      <c r="T123" s="2" t="s">
        <v>255</v>
      </c>
      <c r="U123" s="2" t="s">
        <v>256</v>
      </c>
      <c r="V123" s="2" t="s">
        <v>38</v>
      </c>
      <c r="W123" s="2">
        <v>1</v>
      </c>
      <c r="X123" s="2" t="s">
        <v>39</v>
      </c>
      <c r="Y123" s="2">
        <v>4</v>
      </c>
      <c r="Z123" s="2" t="s">
        <v>40</v>
      </c>
    </row>
    <row r="124" spans="1:26" x14ac:dyDescent="0.25">
      <c r="A124" s="2" t="s">
        <v>389</v>
      </c>
      <c r="B124" s="3">
        <v>46061</v>
      </c>
      <c r="C124" s="2" t="s">
        <v>224</v>
      </c>
      <c r="D124" s="2" t="s">
        <v>390</v>
      </c>
      <c r="E124" s="2" t="s">
        <v>29</v>
      </c>
      <c r="F124" s="2">
        <v>38</v>
      </c>
      <c r="G124" s="2" t="s">
        <v>198</v>
      </c>
      <c r="H124" s="2" t="s">
        <v>105</v>
      </c>
      <c r="I124" s="2" t="s">
        <v>199</v>
      </c>
      <c r="J124" s="2" t="s">
        <v>160</v>
      </c>
      <c r="K124" s="2">
        <v>2</v>
      </c>
      <c r="L124" s="4">
        <v>14000</v>
      </c>
      <c r="M124" s="5">
        <v>0.2</v>
      </c>
      <c r="N124" s="4">
        <v>5600</v>
      </c>
      <c r="O124" s="4">
        <v>4032</v>
      </c>
      <c r="P124" s="4">
        <v>250</v>
      </c>
      <c r="Q124" s="4">
        <v>26682</v>
      </c>
      <c r="R124" s="2" t="s">
        <v>59</v>
      </c>
      <c r="S124" s="2" t="s">
        <v>133</v>
      </c>
      <c r="T124" s="2" t="s">
        <v>61</v>
      </c>
      <c r="U124" s="2" t="s">
        <v>62</v>
      </c>
      <c r="V124" s="2" t="s">
        <v>63</v>
      </c>
      <c r="W124" s="2">
        <v>10</v>
      </c>
      <c r="X124" s="2" t="s">
        <v>122</v>
      </c>
      <c r="Y124" s="2">
        <v>5</v>
      </c>
      <c r="Z124" s="2" t="s">
        <v>40</v>
      </c>
    </row>
    <row r="125" spans="1:26" x14ac:dyDescent="0.25">
      <c r="A125" s="2" t="s">
        <v>391</v>
      </c>
      <c r="B125" s="3">
        <v>46144</v>
      </c>
      <c r="C125" s="2" t="s">
        <v>392</v>
      </c>
      <c r="D125" s="2" t="s">
        <v>234</v>
      </c>
      <c r="E125" s="2" t="s">
        <v>44</v>
      </c>
      <c r="F125" s="2">
        <v>39</v>
      </c>
      <c r="G125" s="2" t="s">
        <v>86</v>
      </c>
      <c r="H125" s="2" t="s">
        <v>56</v>
      </c>
      <c r="I125" s="2" t="s">
        <v>57</v>
      </c>
      <c r="J125" s="2" t="s">
        <v>245</v>
      </c>
      <c r="K125" s="2">
        <v>4</v>
      </c>
      <c r="L125" s="4">
        <v>5500</v>
      </c>
      <c r="M125" s="5">
        <v>0.1</v>
      </c>
      <c r="N125" s="4">
        <v>2200</v>
      </c>
      <c r="O125" s="4">
        <v>3564</v>
      </c>
      <c r="P125" s="4">
        <v>250</v>
      </c>
      <c r="Q125" s="4">
        <v>23614</v>
      </c>
      <c r="R125" s="2" t="s">
        <v>59</v>
      </c>
      <c r="S125" s="2" t="s">
        <v>60</v>
      </c>
      <c r="T125" s="2" t="s">
        <v>36</v>
      </c>
      <c r="U125" s="2" t="s">
        <v>37</v>
      </c>
      <c r="V125" s="2" t="s">
        <v>38</v>
      </c>
      <c r="W125" s="2">
        <v>1</v>
      </c>
      <c r="X125" s="2" t="s">
        <v>39</v>
      </c>
      <c r="Y125" s="2">
        <v>5</v>
      </c>
      <c r="Z125" s="2" t="s">
        <v>40</v>
      </c>
    </row>
    <row r="126" spans="1:26" x14ac:dyDescent="0.25">
      <c r="A126" s="2" t="s">
        <v>393</v>
      </c>
      <c r="B126" s="3">
        <v>46207</v>
      </c>
      <c r="C126" s="2" t="s">
        <v>394</v>
      </c>
      <c r="D126" s="2" t="s">
        <v>129</v>
      </c>
      <c r="E126" s="2" t="s">
        <v>44</v>
      </c>
      <c r="F126" s="2">
        <v>28</v>
      </c>
      <c r="G126" s="2" t="s">
        <v>104</v>
      </c>
      <c r="H126" s="2" t="s">
        <v>105</v>
      </c>
      <c r="I126" s="2" t="s">
        <v>106</v>
      </c>
      <c r="J126" s="2" t="s">
        <v>107</v>
      </c>
      <c r="K126" s="2">
        <v>5</v>
      </c>
      <c r="L126" s="4">
        <v>14700</v>
      </c>
      <c r="M126" s="5">
        <v>0.05</v>
      </c>
      <c r="N126" s="4">
        <v>3675</v>
      </c>
      <c r="O126" s="4">
        <v>12568.5</v>
      </c>
      <c r="P126" s="4">
        <v>50</v>
      </c>
      <c r="Q126" s="4">
        <v>82443.5</v>
      </c>
      <c r="R126" s="2" t="s">
        <v>34</v>
      </c>
      <c r="S126" s="2" t="s">
        <v>35</v>
      </c>
      <c r="T126" s="2" t="s">
        <v>138</v>
      </c>
      <c r="U126" s="2" t="s">
        <v>62</v>
      </c>
      <c r="V126" s="2" t="s">
        <v>63</v>
      </c>
      <c r="W126" s="2">
        <v>10</v>
      </c>
      <c r="X126" s="2" t="s">
        <v>39</v>
      </c>
      <c r="Y126" s="2">
        <v>0</v>
      </c>
      <c r="Z126" s="2" t="s">
        <v>64</v>
      </c>
    </row>
    <row r="127" spans="1:26" x14ac:dyDescent="0.25">
      <c r="A127" s="2" t="s">
        <v>395</v>
      </c>
      <c r="B127" s="3">
        <v>46135</v>
      </c>
      <c r="C127" s="2" t="s">
        <v>396</v>
      </c>
      <c r="D127" s="2" t="s">
        <v>169</v>
      </c>
      <c r="E127" s="2" t="s">
        <v>44</v>
      </c>
      <c r="F127" s="2">
        <v>27</v>
      </c>
      <c r="G127" s="2" t="s">
        <v>78</v>
      </c>
      <c r="H127" s="2" t="s">
        <v>31</v>
      </c>
      <c r="I127" s="2" t="s">
        <v>79</v>
      </c>
      <c r="J127" s="2" t="s">
        <v>170</v>
      </c>
      <c r="K127" s="2">
        <v>4</v>
      </c>
      <c r="L127" s="4">
        <v>7900</v>
      </c>
      <c r="M127" s="5">
        <v>0.2</v>
      </c>
      <c r="N127" s="4">
        <v>6320</v>
      </c>
      <c r="O127" s="4">
        <v>3033.6</v>
      </c>
      <c r="P127" s="4">
        <v>250</v>
      </c>
      <c r="Q127" s="4">
        <v>28563.599999999999</v>
      </c>
      <c r="R127" s="2" t="s">
        <v>34</v>
      </c>
      <c r="S127" s="2" t="s">
        <v>133</v>
      </c>
      <c r="T127" s="2" t="s">
        <v>165</v>
      </c>
      <c r="U127" s="2" t="s">
        <v>166</v>
      </c>
      <c r="V127" s="2" t="s">
        <v>82</v>
      </c>
      <c r="W127" s="2">
        <v>1</v>
      </c>
      <c r="X127" s="2" t="s">
        <v>39</v>
      </c>
      <c r="Y127" s="2">
        <v>0</v>
      </c>
      <c r="Z127" s="2" t="s">
        <v>91</v>
      </c>
    </row>
    <row r="128" spans="1:26" x14ac:dyDescent="0.25">
      <c r="A128" s="2" t="s">
        <v>397</v>
      </c>
      <c r="B128" s="3">
        <v>46192</v>
      </c>
      <c r="C128" s="2" t="s">
        <v>398</v>
      </c>
      <c r="D128" s="2" t="s">
        <v>114</v>
      </c>
      <c r="E128" s="2" t="s">
        <v>44</v>
      </c>
      <c r="F128" s="2">
        <v>38</v>
      </c>
      <c r="G128" s="2" t="s">
        <v>125</v>
      </c>
      <c r="H128" s="2" t="s">
        <v>69</v>
      </c>
      <c r="I128" s="2" t="s">
        <v>126</v>
      </c>
      <c r="J128" s="2" t="s">
        <v>71</v>
      </c>
      <c r="K128" s="2">
        <v>5</v>
      </c>
      <c r="L128" s="4">
        <v>5300</v>
      </c>
      <c r="M128" s="5">
        <v>0.2</v>
      </c>
      <c r="N128" s="4">
        <v>5300</v>
      </c>
      <c r="O128" s="4">
        <v>2544</v>
      </c>
      <c r="P128" s="4">
        <v>200</v>
      </c>
      <c r="Q128" s="4">
        <v>23944</v>
      </c>
      <c r="R128" s="2" t="s">
        <v>88</v>
      </c>
      <c r="S128" s="2" t="s">
        <v>60</v>
      </c>
      <c r="T128" s="2" t="s">
        <v>80</v>
      </c>
      <c r="U128" s="2" t="s">
        <v>81</v>
      </c>
      <c r="V128" s="2" t="s">
        <v>82</v>
      </c>
      <c r="W128" s="2">
        <v>5</v>
      </c>
      <c r="X128" s="2" t="s">
        <v>39</v>
      </c>
      <c r="Y128" s="2">
        <v>4</v>
      </c>
      <c r="Z128" s="2" t="s">
        <v>40</v>
      </c>
    </row>
    <row r="129" spans="1:26" x14ac:dyDescent="0.25">
      <c r="A129" s="2" t="s">
        <v>399</v>
      </c>
      <c r="B129" s="3">
        <v>46264</v>
      </c>
      <c r="C129" s="2" t="s">
        <v>400</v>
      </c>
      <c r="D129" s="2" t="s">
        <v>240</v>
      </c>
      <c r="E129" s="2" t="s">
        <v>44</v>
      </c>
      <c r="F129" s="2">
        <v>63</v>
      </c>
      <c r="G129" s="2" t="s">
        <v>68</v>
      </c>
      <c r="H129" s="2" t="s">
        <v>69</v>
      </c>
      <c r="I129" s="2" t="s">
        <v>70</v>
      </c>
      <c r="J129" s="2" t="s">
        <v>225</v>
      </c>
      <c r="K129" s="2">
        <v>3</v>
      </c>
      <c r="L129" s="4">
        <v>26300</v>
      </c>
      <c r="M129" s="5">
        <v>0.1</v>
      </c>
      <c r="N129" s="4">
        <v>7890</v>
      </c>
      <c r="O129" s="4">
        <v>12781.8</v>
      </c>
      <c r="P129" s="4">
        <v>250</v>
      </c>
      <c r="Q129" s="4">
        <v>84041.8</v>
      </c>
      <c r="R129" s="2" t="s">
        <v>88</v>
      </c>
      <c r="S129" s="2" t="s">
        <v>60</v>
      </c>
      <c r="T129" s="2" t="s">
        <v>36</v>
      </c>
      <c r="U129" s="2" t="s">
        <v>37</v>
      </c>
      <c r="V129" s="2" t="s">
        <v>38</v>
      </c>
      <c r="W129" s="2">
        <v>5</v>
      </c>
      <c r="X129" s="2" t="s">
        <v>39</v>
      </c>
      <c r="Y129" s="2">
        <v>5</v>
      </c>
      <c r="Z129" s="2" t="s">
        <v>40</v>
      </c>
    </row>
    <row r="130" spans="1:26" x14ac:dyDescent="0.25">
      <c r="A130" s="2" t="s">
        <v>401</v>
      </c>
      <c r="B130" s="3">
        <v>46097</v>
      </c>
      <c r="C130" s="2" t="s">
        <v>402</v>
      </c>
      <c r="D130" s="2" t="s">
        <v>129</v>
      </c>
      <c r="E130" s="2" t="s">
        <v>44</v>
      </c>
      <c r="F130" s="2">
        <v>63</v>
      </c>
      <c r="G130" s="2" t="s">
        <v>142</v>
      </c>
      <c r="H130" s="2" t="s">
        <v>69</v>
      </c>
      <c r="I130" s="2" t="s">
        <v>143</v>
      </c>
      <c r="J130" s="2" t="s">
        <v>403</v>
      </c>
      <c r="K130" s="2">
        <v>4</v>
      </c>
      <c r="L130" s="4">
        <v>79100</v>
      </c>
      <c r="M130" s="5">
        <v>0.1</v>
      </c>
      <c r="N130" s="4">
        <v>31640</v>
      </c>
      <c r="O130" s="4">
        <v>51256.800000000003</v>
      </c>
      <c r="P130" s="4">
        <v>100</v>
      </c>
      <c r="Q130" s="4">
        <v>336116.8</v>
      </c>
      <c r="R130" s="2" t="s">
        <v>59</v>
      </c>
      <c r="S130" s="2" t="s">
        <v>133</v>
      </c>
      <c r="T130" s="2" t="s">
        <v>115</v>
      </c>
      <c r="U130" s="2" t="s">
        <v>62</v>
      </c>
      <c r="V130" s="2" t="s">
        <v>116</v>
      </c>
      <c r="W130" s="2">
        <v>4</v>
      </c>
      <c r="X130" s="2" t="s">
        <v>39</v>
      </c>
      <c r="Y130" s="2">
        <v>0</v>
      </c>
      <c r="Z130" s="2" t="s">
        <v>64</v>
      </c>
    </row>
    <row r="131" spans="1:26" x14ac:dyDescent="0.25">
      <c r="A131" s="2" t="s">
        <v>404</v>
      </c>
      <c r="B131" s="3">
        <v>46058</v>
      </c>
      <c r="C131" s="2" t="s">
        <v>244</v>
      </c>
      <c r="D131" s="2" t="s">
        <v>28</v>
      </c>
      <c r="E131" s="2" t="s">
        <v>29</v>
      </c>
      <c r="F131" s="2">
        <v>33</v>
      </c>
      <c r="G131" s="2" t="s">
        <v>99</v>
      </c>
      <c r="H131" s="2" t="s">
        <v>69</v>
      </c>
      <c r="I131" s="2" t="s">
        <v>100</v>
      </c>
      <c r="J131" s="2" t="s">
        <v>119</v>
      </c>
      <c r="K131" s="2">
        <v>2</v>
      </c>
      <c r="L131" s="4">
        <v>47600</v>
      </c>
      <c r="M131" s="5">
        <v>0</v>
      </c>
      <c r="N131" s="4">
        <v>0</v>
      </c>
      <c r="O131" s="4">
        <v>11424</v>
      </c>
      <c r="P131" s="4">
        <v>75</v>
      </c>
      <c r="Q131" s="4">
        <v>106699</v>
      </c>
      <c r="R131" s="2" t="s">
        <v>34</v>
      </c>
      <c r="S131" s="2" t="s">
        <v>89</v>
      </c>
      <c r="T131" s="2" t="s">
        <v>36</v>
      </c>
      <c r="U131" s="2" t="s">
        <v>37</v>
      </c>
      <c r="V131" s="2" t="s">
        <v>38</v>
      </c>
      <c r="W131" s="2">
        <v>8</v>
      </c>
      <c r="X131" s="2" t="s">
        <v>39</v>
      </c>
      <c r="Y131" s="2">
        <v>3</v>
      </c>
      <c r="Z131" s="2" t="s">
        <v>40</v>
      </c>
    </row>
    <row r="132" spans="1:26" x14ac:dyDescent="0.25">
      <c r="A132" s="2" t="s">
        <v>405</v>
      </c>
      <c r="B132" s="3">
        <v>46190</v>
      </c>
      <c r="C132" s="2" t="s">
        <v>406</v>
      </c>
      <c r="D132" s="2" t="s">
        <v>114</v>
      </c>
      <c r="E132" s="2" t="s">
        <v>44</v>
      </c>
      <c r="F132" s="2">
        <v>59</v>
      </c>
      <c r="G132" s="2" t="s">
        <v>68</v>
      </c>
      <c r="H132" s="2" t="s">
        <v>69</v>
      </c>
      <c r="I132" s="2" t="s">
        <v>70</v>
      </c>
      <c r="J132" s="2" t="s">
        <v>71</v>
      </c>
      <c r="K132" s="2">
        <v>3</v>
      </c>
      <c r="L132" s="4">
        <v>16400</v>
      </c>
      <c r="M132" s="5">
        <v>0.25</v>
      </c>
      <c r="N132" s="4">
        <v>12300</v>
      </c>
      <c r="O132" s="4">
        <v>1845</v>
      </c>
      <c r="P132" s="4">
        <v>250</v>
      </c>
      <c r="Q132" s="4">
        <v>38995</v>
      </c>
      <c r="R132" s="2" t="s">
        <v>34</v>
      </c>
      <c r="S132" s="2" t="s">
        <v>89</v>
      </c>
      <c r="T132" s="2" t="s">
        <v>95</v>
      </c>
      <c r="U132" s="2" t="s">
        <v>62</v>
      </c>
      <c r="V132" s="2" t="s">
        <v>63</v>
      </c>
      <c r="W132" s="2">
        <v>10</v>
      </c>
      <c r="X132" s="2" t="s">
        <v>39</v>
      </c>
      <c r="Y132" s="2">
        <v>5</v>
      </c>
      <c r="Z132" s="2" t="s">
        <v>40</v>
      </c>
    </row>
    <row r="133" spans="1:26" x14ac:dyDescent="0.25">
      <c r="A133" s="2" t="s">
        <v>407</v>
      </c>
      <c r="B133" s="3">
        <v>46248</v>
      </c>
      <c r="C133" s="2" t="s">
        <v>408</v>
      </c>
      <c r="D133" s="2" t="s">
        <v>210</v>
      </c>
      <c r="E133" s="2" t="s">
        <v>29</v>
      </c>
      <c r="F133" s="2">
        <v>43</v>
      </c>
      <c r="G133" s="2" t="s">
        <v>45</v>
      </c>
      <c r="H133" s="2" t="s">
        <v>31</v>
      </c>
      <c r="I133" s="2" t="s">
        <v>46</v>
      </c>
      <c r="J133" s="2" t="s">
        <v>190</v>
      </c>
      <c r="K133" s="2">
        <v>3</v>
      </c>
      <c r="L133" s="4">
        <v>1000</v>
      </c>
      <c r="M133" s="5">
        <v>0</v>
      </c>
      <c r="N133" s="4">
        <v>0</v>
      </c>
      <c r="O133" s="4">
        <v>360</v>
      </c>
      <c r="P133" s="4">
        <v>150</v>
      </c>
      <c r="Q133" s="4">
        <v>3510</v>
      </c>
      <c r="R133" s="2" t="s">
        <v>88</v>
      </c>
      <c r="S133" s="2" t="s">
        <v>89</v>
      </c>
      <c r="T133" s="2" t="s">
        <v>144</v>
      </c>
      <c r="U133" s="2" t="s">
        <v>145</v>
      </c>
      <c r="V133" s="2" t="s">
        <v>38</v>
      </c>
      <c r="W133" s="2">
        <v>2</v>
      </c>
      <c r="X133" s="2" t="s">
        <v>39</v>
      </c>
      <c r="Y133" s="2">
        <v>0</v>
      </c>
      <c r="Z133" s="2" t="s">
        <v>64</v>
      </c>
    </row>
    <row r="134" spans="1:26" x14ac:dyDescent="0.25">
      <c r="A134" s="2" t="s">
        <v>409</v>
      </c>
      <c r="B134" s="3">
        <v>46187</v>
      </c>
      <c r="C134" s="2" t="s">
        <v>410</v>
      </c>
      <c r="D134" s="2" t="s">
        <v>132</v>
      </c>
      <c r="E134" s="2" t="s">
        <v>44</v>
      </c>
      <c r="F134" s="2">
        <v>26</v>
      </c>
      <c r="G134" s="2" t="s">
        <v>104</v>
      </c>
      <c r="H134" s="2" t="s">
        <v>105</v>
      </c>
      <c r="I134" s="2" t="s">
        <v>106</v>
      </c>
      <c r="J134" s="2" t="s">
        <v>160</v>
      </c>
      <c r="K134" s="2">
        <v>3</v>
      </c>
      <c r="L134" s="4">
        <v>9900</v>
      </c>
      <c r="M134" s="5">
        <v>0</v>
      </c>
      <c r="N134" s="4">
        <v>0</v>
      </c>
      <c r="O134" s="4">
        <v>3564</v>
      </c>
      <c r="P134" s="4">
        <v>50</v>
      </c>
      <c r="Q134" s="4">
        <v>33314</v>
      </c>
      <c r="R134" s="2" t="s">
        <v>88</v>
      </c>
      <c r="S134" s="2" t="s">
        <v>60</v>
      </c>
      <c r="T134" s="2" t="s">
        <v>36</v>
      </c>
      <c r="U134" s="2" t="s">
        <v>37</v>
      </c>
      <c r="V134" s="2" t="s">
        <v>38</v>
      </c>
      <c r="W134" s="2">
        <v>8</v>
      </c>
      <c r="X134" s="2" t="s">
        <v>39</v>
      </c>
      <c r="Y134" s="2">
        <v>3</v>
      </c>
      <c r="Z134" s="2" t="s">
        <v>40</v>
      </c>
    </row>
    <row r="135" spans="1:26" x14ac:dyDescent="0.25">
      <c r="A135" s="2" t="s">
        <v>411</v>
      </c>
      <c r="B135" s="3">
        <v>46067</v>
      </c>
      <c r="C135" s="2" t="s">
        <v>412</v>
      </c>
      <c r="D135" s="2" t="s">
        <v>390</v>
      </c>
      <c r="E135" s="2" t="s">
        <v>44</v>
      </c>
      <c r="F135" s="2">
        <v>45</v>
      </c>
      <c r="G135" s="2" t="s">
        <v>104</v>
      </c>
      <c r="H135" s="2" t="s">
        <v>105</v>
      </c>
      <c r="I135" s="2" t="s">
        <v>106</v>
      </c>
      <c r="J135" s="2" t="s">
        <v>160</v>
      </c>
      <c r="K135" s="2">
        <v>1</v>
      </c>
      <c r="L135" s="4">
        <v>15200</v>
      </c>
      <c r="M135" s="5">
        <v>0.25</v>
      </c>
      <c r="N135" s="4">
        <v>3800</v>
      </c>
      <c r="O135" s="4">
        <v>570</v>
      </c>
      <c r="P135" s="4">
        <v>50</v>
      </c>
      <c r="Q135" s="4">
        <v>12020</v>
      </c>
      <c r="R135" s="2" t="s">
        <v>48</v>
      </c>
      <c r="S135" s="2" t="s">
        <v>133</v>
      </c>
      <c r="T135" s="2" t="s">
        <v>90</v>
      </c>
      <c r="U135" s="2" t="s">
        <v>62</v>
      </c>
      <c r="V135" s="2" t="s">
        <v>63</v>
      </c>
      <c r="W135" s="2">
        <v>8</v>
      </c>
      <c r="X135" s="2" t="s">
        <v>39</v>
      </c>
      <c r="Y135" s="2">
        <v>4</v>
      </c>
      <c r="Z135" s="2" t="s">
        <v>40</v>
      </c>
    </row>
    <row r="136" spans="1:26" x14ac:dyDescent="0.25">
      <c r="A136" s="2" t="s">
        <v>413</v>
      </c>
      <c r="B136" s="3">
        <v>46267</v>
      </c>
      <c r="C136" s="2" t="s">
        <v>180</v>
      </c>
      <c r="D136" s="2" t="s">
        <v>169</v>
      </c>
      <c r="E136" s="2" t="s">
        <v>44</v>
      </c>
      <c r="F136" s="2">
        <v>55</v>
      </c>
      <c r="G136" s="2" t="s">
        <v>55</v>
      </c>
      <c r="H136" s="2" t="s">
        <v>56</v>
      </c>
      <c r="I136" s="2" t="s">
        <v>57</v>
      </c>
      <c r="J136" s="2" t="s">
        <v>235</v>
      </c>
      <c r="K136" s="2">
        <v>1</v>
      </c>
      <c r="L136" s="4">
        <v>6800</v>
      </c>
      <c r="M136" s="5">
        <v>0.25</v>
      </c>
      <c r="N136" s="4">
        <v>1700</v>
      </c>
      <c r="O136" s="4">
        <v>612</v>
      </c>
      <c r="P136" s="4">
        <v>200</v>
      </c>
      <c r="Q136" s="4">
        <v>5912</v>
      </c>
      <c r="R136" s="2" t="s">
        <v>88</v>
      </c>
      <c r="S136" s="2" t="s">
        <v>60</v>
      </c>
      <c r="T136" s="2" t="s">
        <v>115</v>
      </c>
      <c r="U136" s="2" t="s">
        <v>62</v>
      </c>
      <c r="V136" s="2" t="s">
        <v>116</v>
      </c>
      <c r="W136" s="2">
        <v>1</v>
      </c>
      <c r="X136" s="2" t="s">
        <v>39</v>
      </c>
      <c r="Y136" s="2">
        <v>0</v>
      </c>
      <c r="Z136" s="2" t="s">
        <v>91</v>
      </c>
    </row>
    <row r="137" spans="1:26" x14ac:dyDescent="0.25">
      <c r="A137" s="2" t="s">
        <v>414</v>
      </c>
      <c r="B137" s="3">
        <v>46126</v>
      </c>
      <c r="C137" s="2" t="s">
        <v>66</v>
      </c>
      <c r="D137" s="2" t="s">
        <v>141</v>
      </c>
      <c r="E137" s="2" t="s">
        <v>44</v>
      </c>
      <c r="F137" s="2">
        <v>62</v>
      </c>
      <c r="G137" s="2" t="s">
        <v>142</v>
      </c>
      <c r="H137" s="2" t="s">
        <v>69</v>
      </c>
      <c r="I137" s="2" t="s">
        <v>143</v>
      </c>
      <c r="J137" s="2" t="s">
        <v>403</v>
      </c>
      <c r="K137" s="2">
        <v>3</v>
      </c>
      <c r="L137" s="4">
        <v>74900</v>
      </c>
      <c r="M137" s="5">
        <v>0.05</v>
      </c>
      <c r="N137" s="4">
        <v>11235</v>
      </c>
      <c r="O137" s="4">
        <v>10673.25</v>
      </c>
      <c r="P137" s="4">
        <v>50</v>
      </c>
      <c r="Q137" s="4">
        <v>224188.25</v>
      </c>
      <c r="R137" s="2" t="s">
        <v>59</v>
      </c>
      <c r="S137" s="2" t="s">
        <v>89</v>
      </c>
      <c r="T137" s="2" t="s">
        <v>73</v>
      </c>
      <c r="U137" s="2" t="s">
        <v>74</v>
      </c>
      <c r="V137" s="2" t="s">
        <v>50</v>
      </c>
      <c r="W137" s="2">
        <v>3</v>
      </c>
      <c r="X137" s="2" t="s">
        <v>51</v>
      </c>
      <c r="Y137" s="2">
        <v>4</v>
      </c>
      <c r="Z137" s="2" t="s">
        <v>40</v>
      </c>
    </row>
    <row r="138" spans="1:26" x14ac:dyDescent="0.25">
      <c r="A138" s="2" t="s">
        <v>415</v>
      </c>
      <c r="B138" s="3">
        <v>46216</v>
      </c>
      <c r="C138" s="2" t="s">
        <v>416</v>
      </c>
      <c r="D138" s="2" t="s">
        <v>132</v>
      </c>
      <c r="E138" s="2" t="s">
        <v>29</v>
      </c>
      <c r="F138" s="2">
        <v>33</v>
      </c>
      <c r="G138" s="2" t="s">
        <v>86</v>
      </c>
      <c r="H138" s="2" t="s">
        <v>56</v>
      </c>
      <c r="I138" s="2" t="s">
        <v>57</v>
      </c>
      <c r="J138" s="2" t="s">
        <v>58</v>
      </c>
      <c r="K138" s="2">
        <v>1</v>
      </c>
      <c r="L138" s="4">
        <v>5100</v>
      </c>
      <c r="M138" s="5">
        <v>0.15</v>
      </c>
      <c r="N138" s="4">
        <v>765</v>
      </c>
      <c r="O138" s="4">
        <v>780.3</v>
      </c>
      <c r="P138" s="4">
        <v>200</v>
      </c>
      <c r="Q138" s="4">
        <v>5315.3</v>
      </c>
      <c r="R138" s="2" t="s">
        <v>72</v>
      </c>
      <c r="S138" s="2" t="s">
        <v>60</v>
      </c>
      <c r="T138" s="2" t="s">
        <v>49</v>
      </c>
      <c r="U138" s="2" t="s">
        <v>49</v>
      </c>
      <c r="V138" s="2" t="s">
        <v>50</v>
      </c>
      <c r="W138" s="2">
        <v>2</v>
      </c>
      <c r="X138" s="2" t="s">
        <v>39</v>
      </c>
      <c r="Y138" s="2">
        <v>0</v>
      </c>
      <c r="Z138" s="2" t="s">
        <v>64</v>
      </c>
    </row>
    <row r="139" spans="1:26" x14ac:dyDescent="0.25">
      <c r="A139" s="2" t="s">
        <v>417</v>
      </c>
      <c r="B139" s="3">
        <v>46169</v>
      </c>
      <c r="C139" s="2" t="s">
        <v>252</v>
      </c>
      <c r="D139" s="2" t="s">
        <v>132</v>
      </c>
      <c r="E139" s="2" t="s">
        <v>29</v>
      </c>
      <c r="F139" s="2">
        <v>28</v>
      </c>
      <c r="G139" s="2" t="s">
        <v>177</v>
      </c>
      <c r="H139" s="2" t="s">
        <v>31</v>
      </c>
      <c r="I139" s="2" t="s">
        <v>32</v>
      </c>
      <c r="J139" s="2" t="s">
        <v>280</v>
      </c>
      <c r="K139" s="2">
        <v>1</v>
      </c>
      <c r="L139" s="4">
        <v>2500</v>
      </c>
      <c r="M139" s="5">
        <v>0.25</v>
      </c>
      <c r="N139" s="4">
        <v>625</v>
      </c>
      <c r="O139" s="4">
        <v>337.5</v>
      </c>
      <c r="P139" s="4">
        <v>100</v>
      </c>
      <c r="Q139" s="4">
        <v>2312.5</v>
      </c>
      <c r="R139" s="2" t="s">
        <v>48</v>
      </c>
      <c r="S139" s="2" t="s">
        <v>35</v>
      </c>
      <c r="T139" s="2" t="s">
        <v>95</v>
      </c>
      <c r="U139" s="2" t="s">
        <v>62</v>
      </c>
      <c r="V139" s="2" t="s">
        <v>63</v>
      </c>
      <c r="W139" s="2">
        <v>9</v>
      </c>
      <c r="X139" s="2" t="s">
        <v>39</v>
      </c>
      <c r="Y139" s="2">
        <v>4</v>
      </c>
      <c r="Z139" s="2" t="s">
        <v>40</v>
      </c>
    </row>
    <row r="140" spans="1:26" x14ac:dyDescent="0.25">
      <c r="A140" s="2" t="s">
        <v>418</v>
      </c>
      <c r="B140" s="3">
        <v>46166</v>
      </c>
      <c r="C140" s="2" t="s">
        <v>419</v>
      </c>
      <c r="D140" s="2" t="s">
        <v>98</v>
      </c>
      <c r="E140" s="2" t="s">
        <v>44</v>
      </c>
      <c r="F140" s="2">
        <v>64</v>
      </c>
      <c r="G140" s="2" t="s">
        <v>99</v>
      </c>
      <c r="H140" s="2" t="s">
        <v>69</v>
      </c>
      <c r="I140" s="2" t="s">
        <v>100</v>
      </c>
      <c r="J140" s="2" t="s">
        <v>218</v>
      </c>
      <c r="K140" s="2">
        <v>3</v>
      </c>
      <c r="L140" s="4">
        <v>86800</v>
      </c>
      <c r="M140" s="5">
        <v>0</v>
      </c>
      <c r="N140" s="4">
        <v>0</v>
      </c>
      <c r="O140" s="4">
        <v>46872</v>
      </c>
      <c r="P140" s="4">
        <v>50</v>
      </c>
      <c r="Q140" s="4">
        <v>307322</v>
      </c>
      <c r="R140" s="2" t="s">
        <v>72</v>
      </c>
      <c r="S140" s="2" t="s">
        <v>89</v>
      </c>
      <c r="T140" s="2" t="s">
        <v>144</v>
      </c>
      <c r="U140" s="2" t="s">
        <v>145</v>
      </c>
      <c r="V140" s="2" t="s">
        <v>38</v>
      </c>
      <c r="W140" s="2">
        <v>2</v>
      </c>
      <c r="X140" s="2" t="s">
        <v>39</v>
      </c>
      <c r="Y140" s="2">
        <v>3</v>
      </c>
      <c r="Z140" s="2" t="s">
        <v>40</v>
      </c>
    </row>
    <row r="141" spans="1:26" x14ac:dyDescent="0.25">
      <c r="A141" s="2" t="s">
        <v>420</v>
      </c>
      <c r="B141" s="3">
        <v>46031</v>
      </c>
      <c r="C141" s="2" t="s">
        <v>421</v>
      </c>
      <c r="D141" s="2" t="s">
        <v>240</v>
      </c>
      <c r="E141" s="2" t="s">
        <v>44</v>
      </c>
      <c r="F141" s="2">
        <v>29</v>
      </c>
      <c r="G141" s="2" t="s">
        <v>125</v>
      </c>
      <c r="H141" s="2" t="s">
        <v>69</v>
      </c>
      <c r="I141" s="2" t="s">
        <v>126</v>
      </c>
      <c r="J141" s="2" t="s">
        <v>71</v>
      </c>
      <c r="K141" s="2">
        <v>3</v>
      </c>
      <c r="L141" s="4">
        <v>5800</v>
      </c>
      <c r="M141" s="5">
        <v>0.15</v>
      </c>
      <c r="N141" s="4">
        <v>2610</v>
      </c>
      <c r="O141" s="4">
        <v>1774.8</v>
      </c>
      <c r="P141" s="4">
        <v>100</v>
      </c>
      <c r="Q141" s="4">
        <v>16664.8</v>
      </c>
      <c r="R141" s="2" t="s">
        <v>48</v>
      </c>
      <c r="S141" s="2" t="s">
        <v>60</v>
      </c>
      <c r="T141" s="2" t="s">
        <v>95</v>
      </c>
      <c r="U141" s="2" t="s">
        <v>62</v>
      </c>
      <c r="V141" s="2" t="s">
        <v>63</v>
      </c>
      <c r="W141" s="2">
        <v>9</v>
      </c>
      <c r="X141" s="2" t="s">
        <v>122</v>
      </c>
      <c r="Y141" s="2">
        <v>4</v>
      </c>
      <c r="Z141" s="2" t="s">
        <v>40</v>
      </c>
    </row>
    <row r="142" spans="1:26" x14ac:dyDescent="0.25">
      <c r="A142" s="2" t="s">
        <v>422</v>
      </c>
      <c r="B142" s="3">
        <v>46209</v>
      </c>
      <c r="C142" s="2" t="s">
        <v>97</v>
      </c>
      <c r="D142" s="2" t="s">
        <v>77</v>
      </c>
      <c r="E142" s="2" t="s">
        <v>29</v>
      </c>
      <c r="F142" s="2">
        <v>19</v>
      </c>
      <c r="G142" s="2" t="s">
        <v>30</v>
      </c>
      <c r="H142" s="2" t="s">
        <v>31</v>
      </c>
      <c r="I142" s="2" t="s">
        <v>32</v>
      </c>
      <c r="J142" s="2" t="s">
        <v>269</v>
      </c>
      <c r="K142" s="2">
        <v>5</v>
      </c>
      <c r="L142" s="4">
        <v>1800</v>
      </c>
      <c r="M142" s="5">
        <v>0.2</v>
      </c>
      <c r="N142" s="4">
        <v>1800</v>
      </c>
      <c r="O142" s="4">
        <v>864</v>
      </c>
      <c r="P142" s="4">
        <v>250</v>
      </c>
      <c r="Q142" s="4">
        <v>8314</v>
      </c>
      <c r="R142" s="2" t="s">
        <v>72</v>
      </c>
      <c r="S142" s="2" t="s">
        <v>35</v>
      </c>
      <c r="T142" s="2" t="s">
        <v>115</v>
      </c>
      <c r="U142" s="2" t="s">
        <v>62</v>
      </c>
      <c r="V142" s="2" t="s">
        <v>116</v>
      </c>
      <c r="W142" s="2">
        <v>4</v>
      </c>
      <c r="X142" s="2" t="s">
        <v>39</v>
      </c>
      <c r="Y142" s="2">
        <v>4</v>
      </c>
      <c r="Z142" s="2" t="s">
        <v>40</v>
      </c>
    </row>
    <row r="143" spans="1:26" x14ac:dyDescent="0.25">
      <c r="A143" s="2" t="s">
        <v>423</v>
      </c>
      <c r="B143" s="3">
        <v>46230</v>
      </c>
      <c r="C143" s="2" t="s">
        <v>424</v>
      </c>
      <c r="D143" s="2" t="s">
        <v>163</v>
      </c>
      <c r="E143" s="2" t="s">
        <v>29</v>
      </c>
      <c r="F143" s="2">
        <v>33</v>
      </c>
      <c r="G143" s="2" t="s">
        <v>68</v>
      </c>
      <c r="H143" s="2" t="s">
        <v>69</v>
      </c>
      <c r="I143" s="2" t="s">
        <v>70</v>
      </c>
      <c r="J143" s="2" t="s">
        <v>110</v>
      </c>
      <c r="K143" s="2">
        <v>1</v>
      </c>
      <c r="L143" s="4">
        <v>32200</v>
      </c>
      <c r="M143" s="5">
        <v>0</v>
      </c>
      <c r="N143" s="4">
        <v>0</v>
      </c>
      <c r="O143" s="4">
        <v>3864</v>
      </c>
      <c r="P143" s="4">
        <v>150</v>
      </c>
      <c r="Q143" s="4">
        <v>36214</v>
      </c>
      <c r="R143" s="2" t="s">
        <v>34</v>
      </c>
      <c r="S143" s="2" t="s">
        <v>35</v>
      </c>
      <c r="T143" s="2" t="s">
        <v>120</v>
      </c>
      <c r="U143" s="2" t="s">
        <v>121</v>
      </c>
      <c r="V143" s="2" t="s">
        <v>38</v>
      </c>
      <c r="W143" s="2">
        <v>1</v>
      </c>
      <c r="X143" s="2" t="s">
        <v>39</v>
      </c>
      <c r="Y143" s="2">
        <v>4</v>
      </c>
      <c r="Z143" s="2" t="s">
        <v>40</v>
      </c>
    </row>
    <row r="144" spans="1:26" x14ac:dyDescent="0.25">
      <c r="A144" s="2" t="s">
        <v>425</v>
      </c>
      <c r="B144" s="3">
        <v>46058</v>
      </c>
      <c r="C144" s="2" t="s">
        <v>426</v>
      </c>
      <c r="D144" s="2" t="s">
        <v>141</v>
      </c>
      <c r="E144" s="2" t="s">
        <v>44</v>
      </c>
      <c r="F144" s="2">
        <v>32</v>
      </c>
      <c r="G144" s="2" t="s">
        <v>55</v>
      </c>
      <c r="H144" s="2" t="s">
        <v>56</v>
      </c>
      <c r="I144" s="2" t="s">
        <v>57</v>
      </c>
      <c r="J144" s="2" t="s">
        <v>235</v>
      </c>
      <c r="K144" s="2">
        <v>3</v>
      </c>
      <c r="L144" s="4">
        <v>10800</v>
      </c>
      <c r="M144" s="5">
        <v>0.2</v>
      </c>
      <c r="N144" s="4">
        <v>6480</v>
      </c>
      <c r="O144" s="4">
        <v>4665.6000000000004</v>
      </c>
      <c r="P144" s="4">
        <v>250</v>
      </c>
      <c r="Q144" s="4">
        <v>30835.599999999999</v>
      </c>
      <c r="R144" s="2" t="s">
        <v>48</v>
      </c>
      <c r="S144" s="2" t="s">
        <v>133</v>
      </c>
      <c r="T144" s="2" t="s">
        <v>49</v>
      </c>
      <c r="U144" s="2" t="s">
        <v>49</v>
      </c>
      <c r="V144" s="2" t="s">
        <v>50</v>
      </c>
      <c r="W144" s="2">
        <v>4</v>
      </c>
      <c r="X144" s="2" t="s">
        <v>39</v>
      </c>
      <c r="Y144" s="2">
        <v>5</v>
      </c>
      <c r="Z144" s="2" t="s">
        <v>40</v>
      </c>
    </row>
    <row r="145" spans="1:26" x14ac:dyDescent="0.25">
      <c r="A145" s="2" t="s">
        <v>427</v>
      </c>
      <c r="B145" s="3">
        <v>46093</v>
      </c>
      <c r="C145" s="2" t="s">
        <v>378</v>
      </c>
      <c r="D145" s="2" t="s">
        <v>129</v>
      </c>
      <c r="E145" s="2" t="s">
        <v>29</v>
      </c>
      <c r="F145" s="2">
        <v>58</v>
      </c>
      <c r="G145" s="2" t="s">
        <v>86</v>
      </c>
      <c r="H145" s="2" t="s">
        <v>56</v>
      </c>
      <c r="I145" s="2" t="s">
        <v>57</v>
      </c>
      <c r="J145" s="2" t="s">
        <v>87</v>
      </c>
      <c r="K145" s="2">
        <v>5</v>
      </c>
      <c r="L145" s="4">
        <v>4900</v>
      </c>
      <c r="M145" s="5">
        <v>0</v>
      </c>
      <c r="N145" s="4">
        <v>0</v>
      </c>
      <c r="O145" s="4">
        <v>2940</v>
      </c>
      <c r="P145" s="4">
        <v>200</v>
      </c>
      <c r="Q145" s="4">
        <v>27640</v>
      </c>
      <c r="R145" s="2" t="s">
        <v>48</v>
      </c>
      <c r="S145" s="2" t="s">
        <v>89</v>
      </c>
      <c r="T145" s="2" t="s">
        <v>120</v>
      </c>
      <c r="U145" s="2" t="s">
        <v>121</v>
      </c>
      <c r="V145" s="2" t="s">
        <v>38</v>
      </c>
      <c r="W145" s="2">
        <v>7</v>
      </c>
      <c r="X145" s="2" t="s">
        <v>39</v>
      </c>
      <c r="Y145" s="2">
        <v>0</v>
      </c>
      <c r="Z145" s="2" t="s">
        <v>91</v>
      </c>
    </row>
    <row r="146" spans="1:26" x14ac:dyDescent="0.25">
      <c r="A146" s="2" t="s">
        <v>428</v>
      </c>
      <c r="B146" s="3">
        <v>46061</v>
      </c>
      <c r="C146" s="2" t="s">
        <v>429</v>
      </c>
      <c r="D146" s="2" t="s">
        <v>240</v>
      </c>
      <c r="E146" s="2" t="s">
        <v>44</v>
      </c>
      <c r="F146" s="2">
        <v>29</v>
      </c>
      <c r="G146" s="2" t="s">
        <v>104</v>
      </c>
      <c r="H146" s="2" t="s">
        <v>105</v>
      </c>
      <c r="I146" s="2" t="s">
        <v>106</v>
      </c>
      <c r="J146" s="2" t="s">
        <v>160</v>
      </c>
      <c r="K146" s="2">
        <v>2</v>
      </c>
      <c r="L146" s="4">
        <v>10700</v>
      </c>
      <c r="M146" s="5">
        <v>0.1</v>
      </c>
      <c r="N146" s="4">
        <v>2140</v>
      </c>
      <c r="O146" s="4">
        <v>3466.8</v>
      </c>
      <c r="P146" s="4">
        <v>50</v>
      </c>
      <c r="Q146" s="4">
        <v>22776.799999999999</v>
      </c>
      <c r="R146" s="2" t="s">
        <v>48</v>
      </c>
      <c r="S146" s="2" t="s">
        <v>89</v>
      </c>
      <c r="T146" s="2" t="s">
        <v>80</v>
      </c>
      <c r="U146" s="2" t="s">
        <v>81</v>
      </c>
      <c r="V146" s="2" t="s">
        <v>82</v>
      </c>
      <c r="W146" s="2">
        <v>8</v>
      </c>
      <c r="X146" s="2" t="s">
        <v>39</v>
      </c>
      <c r="Y146" s="2">
        <v>0</v>
      </c>
      <c r="Z146" s="2" t="s">
        <v>64</v>
      </c>
    </row>
    <row r="147" spans="1:26" x14ac:dyDescent="0.25">
      <c r="A147" s="2" t="s">
        <v>430</v>
      </c>
      <c r="B147" s="3">
        <v>46165</v>
      </c>
      <c r="C147" s="2" t="s">
        <v>76</v>
      </c>
      <c r="D147" s="2" t="s">
        <v>141</v>
      </c>
      <c r="E147" s="2" t="s">
        <v>29</v>
      </c>
      <c r="F147" s="2">
        <v>42</v>
      </c>
      <c r="G147" s="2" t="s">
        <v>68</v>
      </c>
      <c r="H147" s="2" t="s">
        <v>69</v>
      </c>
      <c r="I147" s="2" t="s">
        <v>70</v>
      </c>
      <c r="J147" s="2" t="s">
        <v>71</v>
      </c>
      <c r="K147" s="2">
        <v>2</v>
      </c>
      <c r="L147" s="4">
        <v>18700</v>
      </c>
      <c r="M147" s="5">
        <v>0.25</v>
      </c>
      <c r="N147" s="4">
        <v>9350</v>
      </c>
      <c r="O147" s="4">
        <v>1402.5</v>
      </c>
      <c r="P147" s="4">
        <v>100</v>
      </c>
      <c r="Q147" s="4">
        <v>29552.5</v>
      </c>
      <c r="R147" s="2" t="s">
        <v>48</v>
      </c>
      <c r="S147" s="2" t="s">
        <v>35</v>
      </c>
      <c r="T147" s="2" t="s">
        <v>165</v>
      </c>
      <c r="U147" s="2" t="s">
        <v>166</v>
      </c>
      <c r="V147" s="2" t="s">
        <v>82</v>
      </c>
      <c r="W147" s="2">
        <v>6</v>
      </c>
      <c r="X147" s="2" t="s">
        <v>39</v>
      </c>
      <c r="Y147" s="2">
        <v>4</v>
      </c>
      <c r="Z147" s="2" t="s">
        <v>40</v>
      </c>
    </row>
    <row r="148" spans="1:26" x14ac:dyDescent="0.25">
      <c r="A148" s="2" t="s">
        <v>431</v>
      </c>
      <c r="B148" s="3">
        <v>46246</v>
      </c>
      <c r="C148" s="2" t="s">
        <v>432</v>
      </c>
      <c r="D148" s="2" t="s">
        <v>67</v>
      </c>
      <c r="E148" s="2" t="s">
        <v>29</v>
      </c>
      <c r="F148" s="2">
        <v>55</v>
      </c>
      <c r="G148" s="2" t="s">
        <v>55</v>
      </c>
      <c r="H148" s="2" t="s">
        <v>56</v>
      </c>
      <c r="I148" s="2" t="s">
        <v>57</v>
      </c>
      <c r="J148" s="2" t="s">
        <v>235</v>
      </c>
      <c r="K148" s="2">
        <v>5</v>
      </c>
      <c r="L148" s="4">
        <v>6200</v>
      </c>
      <c r="M148" s="5">
        <v>0.15</v>
      </c>
      <c r="N148" s="4">
        <v>4650</v>
      </c>
      <c r="O148" s="4">
        <v>1317.5</v>
      </c>
      <c r="P148" s="4">
        <v>250</v>
      </c>
      <c r="Q148" s="4">
        <v>27917.5</v>
      </c>
      <c r="R148" s="2" t="s">
        <v>72</v>
      </c>
      <c r="S148" s="2" t="s">
        <v>89</v>
      </c>
      <c r="T148" s="2" t="s">
        <v>173</v>
      </c>
      <c r="U148" s="2" t="s">
        <v>174</v>
      </c>
      <c r="V148" s="2" t="s">
        <v>82</v>
      </c>
      <c r="W148" s="2">
        <v>6</v>
      </c>
      <c r="X148" s="2" t="s">
        <v>122</v>
      </c>
      <c r="Y148" s="2">
        <v>4</v>
      </c>
      <c r="Z148" s="2" t="s">
        <v>40</v>
      </c>
    </row>
    <row r="149" spans="1:26" x14ac:dyDescent="0.25">
      <c r="A149" s="2" t="s">
        <v>433</v>
      </c>
      <c r="B149" s="3">
        <v>46257</v>
      </c>
      <c r="C149" s="2" t="s">
        <v>434</v>
      </c>
      <c r="D149" s="2" t="s">
        <v>77</v>
      </c>
      <c r="E149" s="2" t="s">
        <v>29</v>
      </c>
      <c r="F149" s="2">
        <v>43</v>
      </c>
      <c r="G149" s="2" t="s">
        <v>68</v>
      </c>
      <c r="H149" s="2" t="s">
        <v>69</v>
      </c>
      <c r="I149" s="2" t="s">
        <v>70</v>
      </c>
      <c r="J149" s="2" t="s">
        <v>71</v>
      </c>
      <c r="K149" s="2">
        <v>3</v>
      </c>
      <c r="L149" s="4">
        <v>21200</v>
      </c>
      <c r="M149" s="5">
        <v>0.15</v>
      </c>
      <c r="N149" s="4">
        <v>9540</v>
      </c>
      <c r="O149" s="4">
        <v>9730.7999999999993</v>
      </c>
      <c r="P149" s="4">
        <v>200</v>
      </c>
      <c r="Q149" s="4">
        <v>63990.8</v>
      </c>
      <c r="R149" s="2" t="s">
        <v>48</v>
      </c>
      <c r="S149" s="2" t="s">
        <v>133</v>
      </c>
      <c r="T149" s="2" t="s">
        <v>49</v>
      </c>
      <c r="U149" s="2" t="s">
        <v>49</v>
      </c>
      <c r="V149" s="2" t="s">
        <v>50</v>
      </c>
      <c r="W149" s="2">
        <v>5</v>
      </c>
      <c r="X149" s="2" t="s">
        <v>39</v>
      </c>
      <c r="Y149" s="2">
        <v>5</v>
      </c>
      <c r="Z149" s="2" t="s">
        <v>40</v>
      </c>
    </row>
    <row r="150" spans="1:26" x14ac:dyDescent="0.25">
      <c r="A150" s="2" t="s">
        <v>435</v>
      </c>
      <c r="B150" s="3">
        <v>46257</v>
      </c>
      <c r="C150" s="2" t="s">
        <v>436</v>
      </c>
      <c r="D150" s="2" t="s">
        <v>43</v>
      </c>
      <c r="E150" s="2" t="s">
        <v>44</v>
      </c>
      <c r="F150" s="2">
        <v>38</v>
      </c>
      <c r="G150" s="2" t="s">
        <v>78</v>
      </c>
      <c r="H150" s="2" t="s">
        <v>31</v>
      </c>
      <c r="I150" s="2" t="s">
        <v>79</v>
      </c>
      <c r="J150" s="2" t="s">
        <v>204</v>
      </c>
      <c r="K150" s="2">
        <v>5</v>
      </c>
      <c r="L150" s="4">
        <v>4300</v>
      </c>
      <c r="M150" s="5">
        <v>0.25</v>
      </c>
      <c r="N150" s="4">
        <v>5375</v>
      </c>
      <c r="O150" s="4">
        <v>806.25</v>
      </c>
      <c r="P150" s="4">
        <v>0</v>
      </c>
      <c r="Q150" s="4">
        <v>16931.25</v>
      </c>
      <c r="R150" s="2" t="s">
        <v>48</v>
      </c>
      <c r="S150" s="2" t="s">
        <v>133</v>
      </c>
      <c r="T150" s="2" t="s">
        <v>61</v>
      </c>
      <c r="U150" s="2" t="s">
        <v>62</v>
      </c>
      <c r="V150" s="2" t="s">
        <v>63</v>
      </c>
      <c r="W150" s="2">
        <v>9</v>
      </c>
      <c r="X150" s="2" t="s">
        <v>39</v>
      </c>
      <c r="Y150" s="2">
        <v>0</v>
      </c>
      <c r="Z150" s="2" t="s">
        <v>64</v>
      </c>
    </row>
    <row r="151" spans="1:26" x14ac:dyDescent="0.25">
      <c r="A151" s="2" t="s">
        <v>437</v>
      </c>
      <c r="B151" s="3">
        <v>46062</v>
      </c>
      <c r="C151" s="2" t="s">
        <v>438</v>
      </c>
      <c r="D151" s="2" t="s">
        <v>43</v>
      </c>
      <c r="E151" s="2" t="s">
        <v>44</v>
      </c>
      <c r="F151" s="2">
        <v>32</v>
      </c>
      <c r="G151" s="2" t="s">
        <v>78</v>
      </c>
      <c r="H151" s="2" t="s">
        <v>31</v>
      </c>
      <c r="I151" s="2" t="s">
        <v>79</v>
      </c>
      <c r="J151" s="2" t="s">
        <v>170</v>
      </c>
      <c r="K151" s="2">
        <v>4</v>
      </c>
      <c r="L151" s="4">
        <v>5800</v>
      </c>
      <c r="M151" s="5">
        <v>0.1</v>
      </c>
      <c r="N151" s="4">
        <v>2320</v>
      </c>
      <c r="O151" s="4">
        <v>2505.6</v>
      </c>
      <c r="P151" s="4">
        <v>200</v>
      </c>
      <c r="Q151" s="4">
        <v>23585.599999999999</v>
      </c>
      <c r="R151" s="2" t="s">
        <v>59</v>
      </c>
      <c r="S151" s="2" t="s">
        <v>89</v>
      </c>
      <c r="T151" s="2" t="s">
        <v>120</v>
      </c>
      <c r="U151" s="2" t="s">
        <v>121</v>
      </c>
      <c r="V151" s="2" t="s">
        <v>38</v>
      </c>
      <c r="W151" s="2">
        <v>8</v>
      </c>
      <c r="X151" s="2" t="s">
        <v>39</v>
      </c>
      <c r="Y151" s="2">
        <v>4</v>
      </c>
      <c r="Z151" s="2" t="s">
        <v>40</v>
      </c>
    </row>
    <row r="152" spans="1:26" x14ac:dyDescent="0.25">
      <c r="A152" s="2" t="s">
        <v>439</v>
      </c>
      <c r="B152" s="3">
        <v>46070</v>
      </c>
      <c r="C152" s="2" t="s">
        <v>440</v>
      </c>
      <c r="D152" s="2" t="s">
        <v>132</v>
      </c>
      <c r="E152" s="2" t="s">
        <v>29</v>
      </c>
      <c r="F152" s="2">
        <v>51</v>
      </c>
      <c r="G152" s="2" t="s">
        <v>99</v>
      </c>
      <c r="H152" s="2" t="s">
        <v>69</v>
      </c>
      <c r="I152" s="2" t="s">
        <v>100</v>
      </c>
      <c r="J152" s="2" t="s">
        <v>101</v>
      </c>
      <c r="K152" s="2">
        <v>1</v>
      </c>
      <c r="L152" s="4">
        <v>84100</v>
      </c>
      <c r="M152" s="5">
        <v>0</v>
      </c>
      <c r="N152" s="4">
        <v>0</v>
      </c>
      <c r="O152" s="4">
        <v>10092</v>
      </c>
      <c r="P152" s="4">
        <v>50</v>
      </c>
      <c r="Q152" s="4">
        <v>94242</v>
      </c>
      <c r="R152" s="2" t="s">
        <v>88</v>
      </c>
      <c r="S152" s="2" t="s">
        <v>35</v>
      </c>
      <c r="T152" s="2" t="s">
        <v>165</v>
      </c>
      <c r="U152" s="2" t="s">
        <v>166</v>
      </c>
      <c r="V152" s="2" t="s">
        <v>82</v>
      </c>
      <c r="W152" s="2">
        <v>4</v>
      </c>
      <c r="X152" s="2" t="s">
        <v>39</v>
      </c>
      <c r="Y152" s="2">
        <v>4</v>
      </c>
      <c r="Z152" s="2" t="s">
        <v>40</v>
      </c>
    </row>
    <row r="153" spans="1:26" x14ac:dyDescent="0.25">
      <c r="A153" s="2" t="s">
        <v>441</v>
      </c>
      <c r="B153" s="3">
        <v>46181</v>
      </c>
      <c r="C153" s="2" t="s">
        <v>442</v>
      </c>
      <c r="D153" s="2" t="s">
        <v>390</v>
      </c>
      <c r="E153" s="2" t="s">
        <v>44</v>
      </c>
      <c r="F153" s="2">
        <v>60</v>
      </c>
      <c r="G153" s="2" t="s">
        <v>45</v>
      </c>
      <c r="H153" s="2" t="s">
        <v>31</v>
      </c>
      <c r="I153" s="2" t="s">
        <v>46</v>
      </c>
      <c r="J153" s="2" t="s">
        <v>190</v>
      </c>
      <c r="K153" s="2">
        <v>1</v>
      </c>
      <c r="L153" s="4">
        <v>4200</v>
      </c>
      <c r="M153" s="5">
        <v>0.2</v>
      </c>
      <c r="N153" s="4">
        <v>840</v>
      </c>
      <c r="O153" s="4">
        <v>403.2</v>
      </c>
      <c r="P153" s="4">
        <v>0</v>
      </c>
      <c r="Q153" s="4">
        <v>3763.2</v>
      </c>
      <c r="R153" s="2" t="s">
        <v>88</v>
      </c>
      <c r="S153" s="2" t="s">
        <v>35</v>
      </c>
      <c r="T153" s="2" t="s">
        <v>138</v>
      </c>
      <c r="U153" s="2" t="s">
        <v>62</v>
      </c>
      <c r="V153" s="2" t="s">
        <v>63</v>
      </c>
      <c r="W153" s="2">
        <v>9</v>
      </c>
      <c r="X153" s="2" t="s">
        <v>39</v>
      </c>
      <c r="Y153" s="2">
        <v>0</v>
      </c>
      <c r="Z153" s="2" t="s">
        <v>91</v>
      </c>
    </row>
    <row r="154" spans="1:26" x14ac:dyDescent="0.25">
      <c r="A154" s="2" t="s">
        <v>443</v>
      </c>
      <c r="B154" s="3">
        <v>46151</v>
      </c>
      <c r="C154" s="2" t="s">
        <v>444</v>
      </c>
      <c r="D154" s="2" t="s">
        <v>163</v>
      </c>
      <c r="E154" s="2" t="s">
        <v>29</v>
      </c>
      <c r="F154" s="2">
        <v>24</v>
      </c>
      <c r="G154" s="2" t="s">
        <v>142</v>
      </c>
      <c r="H154" s="2" t="s">
        <v>69</v>
      </c>
      <c r="I154" s="2" t="s">
        <v>143</v>
      </c>
      <c r="J154" s="2" t="s">
        <v>110</v>
      </c>
      <c r="K154" s="2">
        <v>2</v>
      </c>
      <c r="L154" s="4">
        <v>31600</v>
      </c>
      <c r="M154" s="5">
        <v>0.2</v>
      </c>
      <c r="N154" s="4">
        <v>12640</v>
      </c>
      <c r="O154" s="4">
        <v>9100.7999999999993</v>
      </c>
      <c r="P154" s="4">
        <v>75</v>
      </c>
      <c r="Q154" s="4">
        <v>59735.8</v>
      </c>
      <c r="R154" s="2" t="s">
        <v>48</v>
      </c>
      <c r="S154" s="2" t="s">
        <v>60</v>
      </c>
      <c r="T154" s="2" t="s">
        <v>165</v>
      </c>
      <c r="U154" s="2" t="s">
        <v>166</v>
      </c>
      <c r="V154" s="2" t="s">
        <v>82</v>
      </c>
      <c r="W154" s="2">
        <v>6</v>
      </c>
      <c r="X154" s="2" t="s">
        <v>39</v>
      </c>
      <c r="Y154" s="2">
        <v>4</v>
      </c>
      <c r="Z154" s="2" t="s">
        <v>40</v>
      </c>
    </row>
    <row r="155" spans="1:26" x14ac:dyDescent="0.25">
      <c r="A155" s="2" t="s">
        <v>445</v>
      </c>
      <c r="B155" s="3">
        <v>46201</v>
      </c>
      <c r="C155" s="2" t="s">
        <v>446</v>
      </c>
      <c r="D155" s="2" t="s">
        <v>77</v>
      </c>
      <c r="E155" s="2" t="s">
        <v>44</v>
      </c>
      <c r="F155" s="2">
        <v>61</v>
      </c>
      <c r="G155" s="2" t="s">
        <v>142</v>
      </c>
      <c r="H155" s="2" t="s">
        <v>69</v>
      </c>
      <c r="I155" s="2" t="s">
        <v>143</v>
      </c>
      <c r="J155" s="2" t="s">
        <v>94</v>
      </c>
      <c r="K155" s="2">
        <v>1</v>
      </c>
      <c r="L155" s="4">
        <v>53500</v>
      </c>
      <c r="M155" s="5">
        <v>0.15</v>
      </c>
      <c r="N155" s="4">
        <v>8025</v>
      </c>
      <c r="O155" s="4">
        <v>5457</v>
      </c>
      <c r="P155" s="4">
        <v>150</v>
      </c>
      <c r="Q155" s="4">
        <v>51082</v>
      </c>
      <c r="R155" s="2" t="s">
        <v>48</v>
      </c>
      <c r="S155" s="2" t="s">
        <v>133</v>
      </c>
      <c r="T155" s="2" t="s">
        <v>73</v>
      </c>
      <c r="U155" s="2" t="s">
        <v>74</v>
      </c>
      <c r="V155" s="2" t="s">
        <v>50</v>
      </c>
      <c r="W155" s="2">
        <v>1</v>
      </c>
      <c r="X155" s="2" t="s">
        <v>39</v>
      </c>
      <c r="Y155" s="2">
        <v>3</v>
      </c>
      <c r="Z155" s="2" t="s">
        <v>40</v>
      </c>
    </row>
    <row r="156" spans="1:26" x14ac:dyDescent="0.25">
      <c r="A156" s="2" t="s">
        <v>447</v>
      </c>
      <c r="B156" s="3">
        <v>46167</v>
      </c>
      <c r="C156" s="2" t="s">
        <v>448</v>
      </c>
      <c r="D156" s="2" t="s">
        <v>28</v>
      </c>
      <c r="E156" s="2" t="s">
        <v>29</v>
      </c>
      <c r="F156" s="2">
        <v>32</v>
      </c>
      <c r="G156" s="2" t="s">
        <v>68</v>
      </c>
      <c r="H156" s="2" t="s">
        <v>69</v>
      </c>
      <c r="I156" s="2" t="s">
        <v>70</v>
      </c>
      <c r="J156" s="2" t="s">
        <v>225</v>
      </c>
      <c r="K156" s="2">
        <v>3</v>
      </c>
      <c r="L156" s="4">
        <v>4100</v>
      </c>
      <c r="M156" s="5">
        <v>0</v>
      </c>
      <c r="N156" s="4">
        <v>0</v>
      </c>
      <c r="O156" s="4">
        <v>2214</v>
      </c>
      <c r="P156" s="4">
        <v>75</v>
      </c>
      <c r="Q156" s="4">
        <v>14589</v>
      </c>
      <c r="R156" s="2" t="s">
        <v>72</v>
      </c>
      <c r="S156" s="2" t="s">
        <v>60</v>
      </c>
      <c r="T156" s="2" t="s">
        <v>173</v>
      </c>
      <c r="U156" s="2" t="s">
        <v>174</v>
      </c>
      <c r="V156" s="2" t="s">
        <v>82</v>
      </c>
      <c r="W156" s="2">
        <v>9</v>
      </c>
      <c r="X156" s="2" t="s">
        <v>39</v>
      </c>
      <c r="Y156" s="2">
        <v>5</v>
      </c>
      <c r="Z156" s="2" t="s">
        <v>40</v>
      </c>
    </row>
    <row r="157" spans="1:26" x14ac:dyDescent="0.25">
      <c r="A157" s="2" t="s">
        <v>449</v>
      </c>
      <c r="B157" s="3">
        <v>46173</v>
      </c>
      <c r="C157" s="2" t="s">
        <v>450</v>
      </c>
      <c r="D157" s="2" t="s">
        <v>259</v>
      </c>
      <c r="E157" s="2" t="s">
        <v>44</v>
      </c>
      <c r="F157" s="2">
        <v>22</v>
      </c>
      <c r="G157" s="2" t="s">
        <v>30</v>
      </c>
      <c r="H157" s="2" t="s">
        <v>31</v>
      </c>
      <c r="I157" s="2" t="s">
        <v>32</v>
      </c>
      <c r="J157" s="2" t="s">
        <v>33</v>
      </c>
      <c r="K157" s="2">
        <v>5</v>
      </c>
      <c r="L157" s="4">
        <v>1200</v>
      </c>
      <c r="M157" s="5">
        <v>0.2</v>
      </c>
      <c r="N157" s="4">
        <v>1200</v>
      </c>
      <c r="O157" s="4">
        <v>576</v>
      </c>
      <c r="P157" s="4">
        <v>200</v>
      </c>
      <c r="Q157" s="4">
        <v>5576</v>
      </c>
      <c r="R157" s="2" t="s">
        <v>72</v>
      </c>
      <c r="S157" s="2" t="s">
        <v>133</v>
      </c>
      <c r="T157" s="2" t="s">
        <v>173</v>
      </c>
      <c r="U157" s="2" t="s">
        <v>174</v>
      </c>
      <c r="V157" s="2" t="s">
        <v>82</v>
      </c>
      <c r="W157" s="2">
        <v>9</v>
      </c>
      <c r="X157" s="2" t="s">
        <v>39</v>
      </c>
      <c r="Y157" s="2">
        <v>4</v>
      </c>
      <c r="Z157" s="2" t="s">
        <v>40</v>
      </c>
    </row>
    <row r="158" spans="1:26" x14ac:dyDescent="0.25">
      <c r="A158" s="2" t="s">
        <v>451</v>
      </c>
      <c r="B158" s="3">
        <v>46036</v>
      </c>
      <c r="C158" s="2" t="s">
        <v>452</v>
      </c>
      <c r="D158" s="2" t="s">
        <v>28</v>
      </c>
      <c r="E158" s="2" t="s">
        <v>44</v>
      </c>
      <c r="F158" s="2">
        <v>32</v>
      </c>
      <c r="G158" s="2" t="s">
        <v>142</v>
      </c>
      <c r="H158" s="2" t="s">
        <v>69</v>
      </c>
      <c r="I158" s="2" t="s">
        <v>143</v>
      </c>
      <c r="J158" s="2" t="s">
        <v>403</v>
      </c>
      <c r="K158" s="2">
        <v>5</v>
      </c>
      <c r="L158" s="4">
        <v>74800</v>
      </c>
      <c r="M158" s="5">
        <v>0.2</v>
      </c>
      <c r="N158" s="4">
        <v>74800</v>
      </c>
      <c r="O158" s="4">
        <v>35904</v>
      </c>
      <c r="P158" s="4">
        <v>250</v>
      </c>
      <c r="Q158" s="4">
        <v>335354</v>
      </c>
      <c r="R158" s="2" t="s">
        <v>88</v>
      </c>
      <c r="S158" s="2" t="s">
        <v>89</v>
      </c>
      <c r="T158" s="2" t="s">
        <v>49</v>
      </c>
      <c r="U158" s="2" t="s">
        <v>49</v>
      </c>
      <c r="V158" s="2" t="s">
        <v>50</v>
      </c>
      <c r="W158" s="2">
        <v>1</v>
      </c>
      <c r="X158" s="2" t="s">
        <v>39</v>
      </c>
      <c r="Y158" s="2">
        <v>5</v>
      </c>
      <c r="Z158" s="2" t="s">
        <v>40</v>
      </c>
    </row>
    <row r="159" spans="1:26" x14ac:dyDescent="0.25">
      <c r="A159" s="2" t="s">
        <v>453</v>
      </c>
      <c r="B159" s="3">
        <v>46133</v>
      </c>
      <c r="C159" s="2" t="s">
        <v>454</v>
      </c>
      <c r="D159" s="2" t="s">
        <v>210</v>
      </c>
      <c r="E159" s="2" t="s">
        <v>44</v>
      </c>
      <c r="F159" s="2">
        <v>23</v>
      </c>
      <c r="G159" s="2" t="s">
        <v>198</v>
      </c>
      <c r="H159" s="2" t="s">
        <v>105</v>
      </c>
      <c r="I159" s="2" t="s">
        <v>199</v>
      </c>
      <c r="J159" s="2" t="s">
        <v>160</v>
      </c>
      <c r="K159" s="2">
        <v>2</v>
      </c>
      <c r="L159" s="4">
        <v>22200</v>
      </c>
      <c r="M159" s="5">
        <v>0</v>
      </c>
      <c r="N159" s="4">
        <v>0</v>
      </c>
      <c r="O159" s="4">
        <v>2220</v>
      </c>
      <c r="P159" s="4">
        <v>75</v>
      </c>
      <c r="Q159" s="4">
        <v>46695</v>
      </c>
      <c r="R159" s="2" t="s">
        <v>34</v>
      </c>
      <c r="S159" s="2" t="s">
        <v>89</v>
      </c>
      <c r="T159" s="2" t="s">
        <v>90</v>
      </c>
      <c r="U159" s="2" t="s">
        <v>62</v>
      </c>
      <c r="V159" s="2" t="s">
        <v>63</v>
      </c>
      <c r="W159" s="2">
        <v>7</v>
      </c>
      <c r="X159" s="2" t="s">
        <v>39</v>
      </c>
      <c r="Y159" s="2">
        <v>0</v>
      </c>
      <c r="Z159" s="2" t="s">
        <v>91</v>
      </c>
    </row>
    <row r="160" spans="1:26" x14ac:dyDescent="0.25">
      <c r="A160" s="2" t="s">
        <v>455</v>
      </c>
      <c r="B160" s="3">
        <v>46104</v>
      </c>
      <c r="C160" s="2" t="s">
        <v>456</v>
      </c>
      <c r="D160" s="2" t="s">
        <v>54</v>
      </c>
      <c r="E160" s="2" t="s">
        <v>29</v>
      </c>
      <c r="F160" s="2">
        <v>23</v>
      </c>
      <c r="G160" s="2" t="s">
        <v>99</v>
      </c>
      <c r="H160" s="2" t="s">
        <v>69</v>
      </c>
      <c r="I160" s="2" t="s">
        <v>100</v>
      </c>
      <c r="J160" s="2" t="s">
        <v>157</v>
      </c>
      <c r="K160" s="2">
        <v>4</v>
      </c>
      <c r="L160" s="4">
        <v>63400</v>
      </c>
      <c r="M160" s="5">
        <v>0.1</v>
      </c>
      <c r="N160" s="4">
        <v>25360</v>
      </c>
      <c r="O160" s="4">
        <v>11412</v>
      </c>
      <c r="P160" s="4">
        <v>50</v>
      </c>
      <c r="Q160" s="4">
        <v>239702</v>
      </c>
      <c r="R160" s="2" t="s">
        <v>72</v>
      </c>
      <c r="S160" s="2" t="s">
        <v>35</v>
      </c>
      <c r="T160" s="2" t="s">
        <v>95</v>
      </c>
      <c r="U160" s="2" t="s">
        <v>62</v>
      </c>
      <c r="V160" s="2" t="s">
        <v>63</v>
      </c>
      <c r="W160" s="2">
        <v>3</v>
      </c>
      <c r="X160" s="2" t="s">
        <v>39</v>
      </c>
      <c r="Y160" s="2">
        <v>5</v>
      </c>
      <c r="Z160" s="2" t="s">
        <v>40</v>
      </c>
    </row>
    <row r="161" spans="1:26" x14ac:dyDescent="0.25">
      <c r="A161" s="2" t="s">
        <v>457</v>
      </c>
      <c r="B161" s="3">
        <v>46113</v>
      </c>
      <c r="C161" s="2" t="s">
        <v>187</v>
      </c>
      <c r="D161" s="2" t="s">
        <v>132</v>
      </c>
      <c r="E161" s="2" t="s">
        <v>29</v>
      </c>
      <c r="F161" s="2">
        <v>56</v>
      </c>
      <c r="G161" s="2" t="s">
        <v>198</v>
      </c>
      <c r="H161" s="2" t="s">
        <v>105</v>
      </c>
      <c r="I161" s="2" t="s">
        <v>199</v>
      </c>
      <c r="J161" s="2" t="s">
        <v>160</v>
      </c>
      <c r="K161" s="2">
        <v>4</v>
      </c>
      <c r="L161" s="4">
        <v>4300</v>
      </c>
      <c r="M161" s="5">
        <v>0.1</v>
      </c>
      <c r="N161" s="4">
        <v>1720</v>
      </c>
      <c r="O161" s="4">
        <v>1857.6</v>
      </c>
      <c r="P161" s="4">
        <v>100</v>
      </c>
      <c r="Q161" s="4">
        <v>17437.599999999999</v>
      </c>
      <c r="R161" s="2" t="s">
        <v>34</v>
      </c>
      <c r="S161" s="2" t="s">
        <v>60</v>
      </c>
      <c r="T161" s="2" t="s">
        <v>80</v>
      </c>
      <c r="U161" s="2" t="s">
        <v>81</v>
      </c>
      <c r="V161" s="2" t="s">
        <v>82</v>
      </c>
      <c r="W161" s="2">
        <v>2</v>
      </c>
      <c r="X161" s="2" t="s">
        <v>39</v>
      </c>
      <c r="Y161" s="2">
        <v>0</v>
      </c>
      <c r="Z161" s="2" t="s">
        <v>91</v>
      </c>
    </row>
    <row r="162" spans="1:26" x14ac:dyDescent="0.25">
      <c r="A162" s="2" t="s">
        <v>458</v>
      </c>
      <c r="B162" s="3">
        <v>46198</v>
      </c>
      <c r="C162" s="2" t="s">
        <v>459</v>
      </c>
      <c r="D162" s="2" t="s">
        <v>203</v>
      </c>
      <c r="E162" s="2" t="s">
        <v>29</v>
      </c>
      <c r="F162" s="2">
        <v>26</v>
      </c>
      <c r="G162" s="2" t="s">
        <v>30</v>
      </c>
      <c r="H162" s="2" t="s">
        <v>31</v>
      </c>
      <c r="I162" s="2" t="s">
        <v>32</v>
      </c>
      <c r="J162" s="2" t="s">
        <v>170</v>
      </c>
      <c r="K162" s="2">
        <v>3</v>
      </c>
      <c r="L162" s="4">
        <v>2000</v>
      </c>
      <c r="M162" s="5">
        <v>0.05</v>
      </c>
      <c r="N162" s="4">
        <v>300</v>
      </c>
      <c r="O162" s="4">
        <v>285</v>
      </c>
      <c r="P162" s="4">
        <v>50</v>
      </c>
      <c r="Q162" s="4">
        <v>6035</v>
      </c>
      <c r="R162" s="2" t="s">
        <v>34</v>
      </c>
      <c r="S162" s="2" t="s">
        <v>89</v>
      </c>
      <c r="T162" s="2" t="s">
        <v>134</v>
      </c>
      <c r="U162" s="2" t="s">
        <v>135</v>
      </c>
      <c r="V162" s="2" t="s">
        <v>50</v>
      </c>
      <c r="W162" s="2">
        <v>5</v>
      </c>
      <c r="X162" s="2" t="s">
        <v>39</v>
      </c>
      <c r="Y162" s="2">
        <v>3</v>
      </c>
      <c r="Z162" s="2" t="s">
        <v>40</v>
      </c>
    </row>
    <row r="163" spans="1:26" x14ac:dyDescent="0.25">
      <c r="A163" s="2" t="s">
        <v>460</v>
      </c>
      <c r="B163" s="3">
        <v>46175</v>
      </c>
      <c r="C163" s="2" t="s">
        <v>461</v>
      </c>
      <c r="D163" s="2" t="s">
        <v>390</v>
      </c>
      <c r="E163" s="2" t="s">
        <v>29</v>
      </c>
      <c r="F163" s="2">
        <v>47</v>
      </c>
      <c r="G163" s="2" t="s">
        <v>142</v>
      </c>
      <c r="H163" s="2" t="s">
        <v>69</v>
      </c>
      <c r="I163" s="2" t="s">
        <v>143</v>
      </c>
      <c r="J163" s="2" t="s">
        <v>110</v>
      </c>
      <c r="K163" s="2">
        <v>3</v>
      </c>
      <c r="L163" s="4">
        <v>12600</v>
      </c>
      <c r="M163" s="5">
        <v>0.15</v>
      </c>
      <c r="N163" s="4">
        <v>5670</v>
      </c>
      <c r="O163" s="4">
        <v>3855.6</v>
      </c>
      <c r="P163" s="4">
        <v>250</v>
      </c>
      <c r="Q163" s="4">
        <v>36235.599999999999</v>
      </c>
      <c r="R163" s="2" t="s">
        <v>48</v>
      </c>
      <c r="S163" s="2" t="s">
        <v>133</v>
      </c>
      <c r="T163" s="2" t="s">
        <v>144</v>
      </c>
      <c r="U163" s="2" t="s">
        <v>145</v>
      </c>
      <c r="V163" s="2" t="s">
        <v>38</v>
      </c>
      <c r="W163" s="2">
        <v>7</v>
      </c>
      <c r="X163" s="2" t="s">
        <v>39</v>
      </c>
      <c r="Y163" s="2">
        <v>0</v>
      </c>
      <c r="Z163" s="2" t="s">
        <v>64</v>
      </c>
    </row>
    <row r="164" spans="1:26" x14ac:dyDescent="0.25">
      <c r="A164" s="2" t="s">
        <v>462</v>
      </c>
      <c r="B164" s="3">
        <v>46133</v>
      </c>
      <c r="C164" s="2" t="s">
        <v>463</v>
      </c>
      <c r="D164" s="2" t="s">
        <v>390</v>
      </c>
      <c r="E164" s="2" t="s">
        <v>29</v>
      </c>
      <c r="F164" s="2">
        <v>37</v>
      </c>
      <c r="G164" s="2" t="s">
        <v>177</v>
      </c>
      <c r="H164" s="2" t="s">
        <v>31</v>
      </c>
      <c r="I164" s="2" t="s">
        <v>32</v>
      </c>
      <c r="J164" s="2" t="s">
        <v>294</v>
      </c>
      <c r="K164" s="2">
        <v>4</v>
      </c>
      <c r="L164" s="4">
        <v>3200</v>
      </c>
      <c r="M164" s="5">
        <v>0.05</v>
      </c>
      <c r="N164" s="4">
        <v>640</v>
      </c>
      <c r="O164" s="4">
        <v>1459.2</v>
      </c>
      <c r="P164" s="4">
        <v>75</v>
      </c>
      <c r="Q164" s="4">
        <v>13694.2</v>
      </c>
      <c r="R164" s="2" t="s">
        <v>48</v>
      </c>
      <c r="S164" s="2" t="s">
        <v>133</v>
      </c>
      <c r="T164" s="2" t="s">
        <v>61</v>
      </c>
      <c r="U164" s="2" t="s">
        <v>62</v>
      </c>
      <c r="V164" s="2" t="s">
        <v>63</v>
      </c>
      <c r="W164" s="2">
        <v>8</v>
      </c>
      <c r="X164" s="2" t="s">
        <v>39</v>
      </c>
      <c r="Y164" s="2">
        <v>0</v>
      </c>
      <c r="Z164" s="2" t="s">
        <v>111</v>
      </c>
    </row>
    <row r="165" spans="1:26" x14ac:dyDescent="0.25">
      <c r="A165" s="2" t="s">
        <v>464</v>
      </c>
      <c r="B165" s="3">
        <v>46232</v>
      </c>
      <c r="C165" s="2" t="s">
        <v>224</v>
      </c>
      <c r="D165" s="2" t="s">
        <v>203</v>
      </c>
      <c r="E165" s="2" t="s">
        <v>44</v>
      </c>
      <c r="F165" s="2">
        <v>25</v>
      </c>
      <c r="G165" s="2" t="s">
        <v>198</v>
      </c>
      <c r="H165" s="2" t="s">
        <v>105</v>
      </c>
      <c r="I165" s="2" t="s">
        <v>199</v>
      </c>
      <c r="J165" s="2" t="s">
        <v>207</v>
      </c>
      <c r="K165" s="2">
        <v>5</v>
      </c>
      <c r="L165" s="4">
        <v>17900</v>
      </c>
      <c r="M165" s="5">
        <v>0.05</v>
      </c>
      <c r="N165" s="4">
        <v>4475</v>
      </c>
      <c r="O165" s="4">
        <v>15304.5</v>
      </c>
      <c r="P165" s="4">
        <v>250</v>
      </c>
      <c r="Q165" s="4">
        <v>100579.5</v>
      </c>
      <c r="R165" s="2" t="s">
        <v>34</v>
      </c>
      <c r="S165" s="2" t="s">
        <v>89</v>
      </c>
      <c r="T165" s="2" t="s">
        <v>255</v>
      </c>
      <c r="U165" s="2" t="s">
        <v>256</v>
      </c>
      <c r="V165" s="2" t="s">
        <v>38</v>
      </c>
      <c r="W165" s="2">
        <v>1</v>
      </c>
      <c r="X165" s="2" t="s">
        <v>39</v>
      </c>
      <c r="Y165" s="2">
        <v>1</v>
      </c>
      <c r="Z165" s="2" t="s">
        <v>111</v>
      </c>
    </row>
    <row r="166" spans="1:26" x14ac:dyDescent="0.25">
      <c r="A166" s="2" t="s">
        <v>465</v>
      </c>
      <c r="B166" s="3">
        <v>46227</v>
      </c>
      <c r="C166" s="2" t="s">
        <v>466</v>
      </c>
      <c r="D166" s="2" t="s">
        <v>240</v>
      </c>
      <c r="E166" s="2" t="s">
        <v>29</v>
      </c>
      <c r="F166" s="2">
        <v>44</v>
      </c>
      <c r="G166" s="2" t="s">
        <v>86</v>
      </c>
      <c r="H166" s="2" t="s">
        <v>56</v>
      </c>
      <c r="I166" s="2" t="s">
        <v>57</v>
      </c>
      <c r="J166" s="2" t="s">
        <v>87</v>
      </c>
      <c r="K166" s="2">
        <v>2</v>
      </c>
      <c r="L166" s="4">
        <v>5800</v>
      </c>
      <c r="M166" s="5">
        <v>0.1</v>
      </c>
      <c r="N166" s="4">
        <v>1160</v>
      </c>
      <c r="O166" s="4">
        <v>522</v>
      </c>
      <c r="P166" s="4">
        <v>75</v>
      </c>
      <c r="Q166" s="4">
        <v>11037</v>
      </c>
      <c r="R166" s="2" t="s">
        <v>48</v>
      </c>
      <c r="S166" s="2" t="s">
        <v>35</v>
      </c>
      <c r="T166" s="2" t="s">
        <v>120</v>
      </c>
      <c r="U166" s="2" t="s">
        <v>121</v>
      </c>
      <c r="V166" s="2" t="s">
        <v>38</v>
      </c>
      <c r="W166" s="2">
        <v>3</v>
      </c>
      <c r="X166" s="2" t="s">
        <v>39</v>
      </c>
      <c r="Y166" s="2">
        <v>0</v>
      </c>
      <c r="Z166" s="2" t="s">
        <v>91</v>
      </c>
    </row>
    <row r="167" spans="1:26" x14ac:dyDescent="0.25">
      <c r="A167" s="2" t="s">
        <v>467</v>
      </c>
      <c r="B167" s="3">
        <v>46137</v>
      </c>
      <c r="C167" s="2" t="s">
        <v>306</v>
      </c>
      <c r="D167" s="2" t="s">
        <v>390</v>
      </c>
      <c r="E167" s="2" t="s">
        <v>44</v>
      </c>
      <c r="F167" s="2">
        <v>55</v>
      </c>
      <c r="G167" s="2" t="s">
        <v>78</v>
      </c>
      <c r="H167" s="2" t="s">
        <v>31</v>
      </c>
      <c r="I167" s="2" t="s">
        <v>79</v>
      </c>
      <c r="J167" s="2" t="s">
        <v>468</v>
      </c>
      <c r="K167" s="2">
        <v>5</v>
      </c>
      <c r="L167" s="4">
        <v>1900</v>
      </c>
      <c r="M167" s="5">
        <v>0.1</v>
      </c>
      <c r="N167" s="4">
        <v>950</v>
      </c>
      <c r="O167" s="4">
        <v>1539</v>
      </c>
      <c r="P167" s="4">
        <v>250</v>
      </c>
      <c r="Q167" s="4">
        <v>10339</v>
      </c>
      <c r="R167" s="2" t="s">
        <v>88</v>
      </c>
      <c r="S167" s="2" t="s">
        <v>60</v>
      </c>
      <c r="T167" s="2" t="s">
        <v>255</v>
      </c>
      <c r="U167" s="2" t="s">
        <v>256</v>
      </c>
      <c r="V167" s="2" t="s">
        <v>38</v>
      </c>
      <c r="W167" s="2">
        <v>10</v>
      </c>
      <c r="X167" s="2" t="s">
        <v>39</v>
      </c>
      <c r="Y167" s="2">
        <v>5</v>
      </c>
      <c r="Z167" s="2" t="s">
        <v>40</v>
      </c>
    </row>
    <row r="168" spans="1:26" x14ac:dyDescent="0.25">
      <c r="A168" s="2" t="s">
        <v>469</v>
      </c>
      <c r="B168" s="3">
        <v>46188</v>
      </c>
      <c r="C168" s="2" t="s">
        <v>470</v>
      </c>
      <c r="D168" s="2" t="s">
        <v>390</v>
      </c>
      <c r="E168" s="2" t="s">
        <v>29</v>
      </c>
      <c r="F168" s="2">
        <v>54</v>
      </c>
      <c r="G168" s="2" t="s">
        <v>86</v>
      </c>
      <c r="H168" s="2" t="s">
        <v>56</v>
      </c>
      <c r="I168" s="2" t="s">
        <v>57</v>
      </c>
      <c r="J168" s="2" t="s">
        <v>58</v>
      </c>
      <c r="K168" s="2">
        <v>4</v>
      </c>
      <c r="L168" s="4">
        <v>6600</v>
      </c>
      <c r="M168" s="5">
        <v>0.1</v>
      </c>
      <c r="N168" s="4">
        <v>2640</v>
      </c>
      <c r="O168" s="4">
        <v>2851.2</v>
      </c>
      <c r="P168" s="4">
        <v>0</v>
      </c>
      <c r="Q168" s="4">
        <v>26611.200000000001</v>
      </c>
      <c r="R168" s="2" t="s">
        <v>59</v>
      </c>
      <c r="S168" s="2" t="s">
        <v>60</v>
      </c>
      <c r="T168" s="2" t="s">
        <v>138</v>
      </c>
      <c r="U168" s="2" t="s">
        <v>62</v>
      </c>
      <c r="V168" s="2" t="s">
        <v>63</v>
      </c>
      <c r="W168" s="2">
        <v>2</v>
      </c>
      <c r="X168" s="2" t="s">
        <v>39</v>
      </c>
      <c r="Y168" s="2">
        <v>5</v>
      </c>
      <c r="Z168" s="2" t="s">
        <v>40</v>
      </c>
    </row>
    <row r="169" spans="1:26" x14ac:dyDescent="0.25">
      <c r="A169" s="2" t="s">
        <v>471</v>
      </c>
      <c r="B169" s="3">
        <v>46137</v>
      </c>
      <c r="C169" s="2" t="s">
        <v>472</v>
      </c>
      <c r="D169" s="2" t="s">
        <v>54</v>
      </c>
      <c r="E169" s="2" t="s">
        <v>44</v>
      </c>
      <c r="F169" s="2">
        <v>47</v>
      </c>
      <c r="G169" s="2" t="s">
        <v>86</v>
      </c>
      <c r="H169" s="2" t="s">
        <v>56</v>
      </c>
      <c r="I169" s="2" t="s">
        <v>57</v>
      </c>
      <c r="J169" s="2" t="s">
        <v>58</v>
      </c>
      <c r="K169" s="2">
        <v>5</v>
      </c>
      <c r="L169" s="4">
        <v>2700</v>
      </c>
      <c r="M169" s="5">
        <v>0.1</v>
      </c>
      <c r="N169" s="4">
        <v>1350</v>
      </c>
      <c r="O169" s="4">
        <v>607.5</v>
      </c>
      <c r="P169" s="4">
        <v>100</v>
      </c>
      <c r="Q169" s="4">
        <v>12857.5</v>
      </c>
      <c r="R169" s="2" t="s">
        <v>34</v>
      </c>
      <c r="S169" s="2" t="s">
        <v>133</v>
      </c>
      <c r="T169" s="2" t="s">
        <v>95</v>
      </c>
      <c r="U169" s="2" t="s">
        <v>62</v>
      </c>
      <c r="V169" s="2" t="s">
        <v>63</v>
      </c>
      <c r="W169" s="2">
        <v>5</v>
      </c>
      <c r="X169" s="2" t="s">
        <v>51</v>
      </c>
      <c r="Y169" s="2">
        <v>4</v>
      </c>
      <c r="Z169" s="2" t="s">
        <v>40</v>
      </c>
    </row>
    <row r="170" spans="1:26" x14ac:dyDescent="0.25">
      <c r="A170" s="2" t="s">
        <v>473</v>
      </c>
      <c r="B170" s="3">
        <v>46102</v>
      </c>
      <c r="C170" s="2" t="s">
        <v>474</v>
      </c>
      <c r="D170" s="2" t="s">
        <v>169</v>
      </c>
      <c r="E170" s="2" t="s">
        <v>44</v>
      </c>
      <c r="F170" s="2">
        <v>31</v>
      </c>
      <c r="G170" s="2" t="s">
        <v>104</v>
      </c>
      <c r="H170" s="2" t="s">
        <v>105</v>
      </c>
      <c r="I170" s="2" t="s">
        <v>106</v>
      </c>
      <c r="J170" s="2" t="s">
        <v>160</v>
      </c>
      <c r="K170" s="2">
        <v>3</v>
      </c>
      <c r="L170" s="4">
        <v>17100</v>
      </c>
      <c r="M170" s="5">
        <v>0</v>
      </c>
      <c r="N170" s="4">
        <v>0</v>
      </c>
      <c r="O170" s="4">
        <v>6156</v>
      </c>
      <c r="P170" s="4">
        <v>200</v>
      </c>
      <c r="Q170" s="4">
        <v>57656</v>
      </c>
      <c r="R170" s="2" t="s">
        <v>72</v>
      </c>
      <c r="S170" s="2" t="s">
        <v>133</v>
      </c>
      <c r="T170" s="2" t="s">
        <v>36</v>
      </c>
      <c r="U170" s="2" t="s">
        <v>37</v>
      </c>
      <c r="V170" s="2" t="s">
        <v>38</v>
      </c>
      <c r="W170" s="2">
        <v>8</v>
      </c>
      <c r="X170" s="2" t="s">
        <v>39</v>
      </c>
      <c r="Y170" s="2">
        <v>5</v>
      </c>
      <c r="Z170" s="2" t="s">
        <v>40</v>
      </c>
    </row>
    <row r="171" spans="1:26" x14ac:dyDescent="0.25">
      <c r="A171" s="2" t="s">
        <v>475</v>
      </c>
      <c r="B171" s="3">
        <v>46188</v>
      </c>
      <c r="C171" s="2" t="s">
        <v>476</v>
      </c>
      <c r="D171" s="2" t="s">
        <v>28</v>
      </c>
      <c r="E171" s="2" t="s">
        <v>29</v>
      </c>
      <c r="F171" s="2">
        <v>65</v>
      </c>
      <c r="G171" s="2" t="s">
        <v>68</v>
      </c>
      <c r="H171" s="2" t="s">
        <v>69</v>
      </c>
      <c r="I171" s="2" t="s">
        <v>70</v>
      </c>
      <c r="J171" s="2" t="s">
        <v>94</v>
      </c>
      <c r="K171" s="2">
        <v>5</v>
      </c>
      <c r="L171" s="4">
        <v>9900</v>
      </c>
      <c r="M171" s="5">
        <v>0.1</v>
      </c>
      <c r="N171" s="4">
        <v>4950</v>
      </c>
      <c r="O171" s="4">
        <v>8019</v>
      </c>
      <c r="P171" s="4">
        <v>100</v>
      </c>
      <c r="Q171" s="4">
        <v>52669</v>
      </c>
      <c r="R171" s="2" t="s">
        <v>34</v>
      </c>
      <c r="S171" s="2" t="s">
        <v>60</v>
      </c>
      <c r="T171" s="2" t="s">
        <v>73</v>
      </c>
      <c r="U171" s="2" t="s">
        <v>74</v>
      </c>
      <c r="V171" s="2" t="s">
        <v>50</v>
      </c>
      <c r="W171" s="2">
        <v>4</v>
      </c>
      <c r="X171" s="2" t="s">
        <v>39</v>
      </c>
      <c r="Y171" s="2">
        <v>0</v>
      </c>
      <c r="Z171" s="2" t="s">
        <v>91</v>
      </c>
    </row>
    <row r="172" spans="1:26" x14ac:dyDescent="0.25">
      <c r="A172" s="2" t="s">
        <v>477</v>
      </c>
      <c r="B172" s="3">
        <v>46186</v>
      </c>
      <c r="C172" s="2" t="s">
        <v>478</v>
      </c>
      <c r="D172" s="2" t="s">
        <v>163</v>
      </c>
      <c r="E172" s="2" t="s">
        <v>44</v>
      </c>
      <c r="F172" s="2">
        <v>19</v>
      </c>
      <c r="G172" s="2" t="s">
        <v>55</v>
      </c>
      <c r="H172" s="2" t="s">
        <v>56</v>
      </c>
      <c r="I172" s="2" t="s">
        <v>57</v>
      </c>
      <c r="J172" s="2" t="s">
        <v>235</v>
      </c>
      <c r="K172" s="2">
        <v>2</v>
      </c>
      <c r="L172" s="4">
        <v>9200</v>
      </c>
      <c r="M172" s="5">
        <v>0.2</v>
      </c>
      <c r="N172" s="4">
        <v>3680</v>
      </c>
      <c r="O172" s="4">
        <v>1766.4</v>
      </c>
      <c r="P172" s="4">
        <v>100</v>
      </c>
      <c r="Q172" s="4">
        <v>16586.400000000001</v>
      </c>
      <c r="R172" s="2" t="s">
        <v>59</v>
      </c>
      <c r="S172" s="2" t="s">
        <v>35</v>
      </c>
      <c r="T172" s="2" t="s">
        <v>138</v>
      </c>
      <c r="U172" s="2" t="s">
        <v>62</v>
      </c>
      <c r="V172" s="2" t="s">
        <v>63</v>
      </c>
      <c r="W172" s="2">
        <v>4</v>
      </c>
      <c r="X172" s="2" t="s">
        <v>39</v>
      </c>
      <c r="Y172" s="2">
        <v>5</v>
      </c>
      <c r="Z172" s="2" t="s">
        <v>40</v>
      </c>
    </row>
    <row r="173" spans="1:26" x14ac:dyDescent="0.25">
      <c r="A173" s="2" t="s">
        <v>479</v>
      </c>
      <c r="B173" s="3">
        <v>46227</v>
      </c>
      <c r="C173" s="2" t="s">
        <v>480</v>
      </c>
      <c r="D173" s="2" t="s">
        <v>132</v>
      </c>
      <c r="E173" s="2" t="s">
        <v>29</v>
      </c>
      <c r="F173" s="2">
        <v>41</v>
      </c>
      <c r="G173" s="2" t="s">
        <v>177</v>
      </c>
      <c r="H173" s="2" t="s">
        <v>31</v>
      </c>
      <c r="I173" s="2" t="s">
        <v>32</v>
      </c>
      <c r="J173" s="2" t="s">
        <v>294</v>
      </c>
      <c r="K173" s="2">
        <v>4</v>
      </c>
      <c r="L173" s="4">
        <v>1900</v>
      </c>
      <c r="M173" s="5">
        <v>0.1</v>
      </c>
      <c r="N173" s="4">
        <v>760</v>
      </c>
      <c r="O173" s="4">
        <v>1231.2</v>
      </c>
      <c r="P173" s="4">
        <v>250</v>
      </c>
      <c r="Q173" s="4">
        <v>8321.2000000000007</v>
      </c>
      <c r="R173" s="2" t="s">
        <v>48</v>
      </c>
      <c r="S173" s="2" t="s">
        <v>89</v>
      </c>
      <c r="T173" s="2" t="s">
        <v>73</v>
      </c>
      <c r="U173" s="2" t="s">
        <v>74</v>
      </c>
      <c r="V173" s="2" t="s">
        <v>50</v>
      </c>
      <c r="W173" s="2">
        <v>9</v>
      </c>
      <c r="X173" s="2" t="s">
        <v>39</v>
      </c>
      <c r="Y173" s="2">
        <v>0</v>
      </c>
      <c r="Z173" s="2" t="s">
        <v>111</v>
      </c>
    </row>
    <row r="174" spans="1:26" x14ac:dyDescent="0.25">
      <c r="A174" s="2" t="s">
        <v>481</v>
      </c>
      <c r="B174" s="3">
        <v>46173</v>
      </c>
      <c r="C174" s="2" t="s">
        <v>482</v>
      </c>
      <c r="D174" s="2" t="s">
        <v>28</v>
      </c>
      <c r="E174" s="2" t="s">
        <v>44</v>
      </c>
      <c r="F174" s="2">
        <v>40</v>
      </c>
      <c r="G174" s="2" t="s">
        <v>45</v>
      </c>
      <c r="H174" s="2" t="s">
        <v>31</v>
      </c>
      <c r="I174" s="2" t="s">
        <v>46</v>
      </c>
      <c r="J174" s="2" t="s">
        <v>47</v>
      </c>
      <c r="K174" s="2">
        <v>2</v>
      </c>
      <c r="L174" s="4">
        <v>2700</v>
      </c>
      <c r="M174" s="5">
        <v>0.2</v>
      </c>
      <c r="N174" s="4">
        <v>1080</v>
      </c>
      <c r="O174" s="4">
        <v>777.6</v>
      </c>
      <c r="P174" s="4">
        <v>0</v>
      </c>
      <c r="Q174" s="4">
        <v>5097.6000000000004</v>
      </c>
      <c r="R174" s="2" t="s">
        <v>34</v>
      </c>
      <c r="S174" s="2" t="s">
        <v>89</v>
      </c>
      <c r="T174" s="2" t="s">
        <v>120</v>
      </c>
      <c r="U174" s="2" t="s">
        <v>121</v>
      </c>
      <c r="V174" s="2" t="s">
        <v>38</v>
      </c>
      <c r="W174" s="2">
        <v>3</v>
      </c>
      <c r="X174" s="2" t="s">
        <v>39</v>
      </c>
      <c r="Y174" s="2">
        <v>4</v>
      </c>
      <c r="Z174" s="2" t="s">
        <v>40</v>
      </c>
    </row>
    <row r="175" spans="1:26" x14ac:dyDescent="0.25">
      <c r="A175" s="2" t="s">
        <v>483</v>
      </c>
      <c r="B175" s="3">
        <v>46130</v>
      </c>
      <c r="C175" s="2" t="s">
        <v>448</v>
      </c>
      <c r="D175" s="2" t="s">
        <v>390</v>
      </c>
      <c r="E175" s="2" t="s">
        <v>29</v>
      </c>
      <c r="F175" s="2">
        <v>54</v>
      </c>
      <c r="G175" s="2" t="s">
        <v>78</v>
      </c>
      <c r="H175" s="2" t="s">
        <v>31</v>
      </c>
      <c r="I175" s="2" t="s">
        <v>79</v>
      </c>
      <c r="J175" s="2" t="s">
        <v>468</v>
      </c>
      <c r="K175" s="2">
        <v>2</v>
      </c>
      <c r="L175" s="4">
        <v>7700</v>
      </c>
      <c r="M175" s="5">
        <v>0.25</v>
      </c>
      <c r="N175" s="4">
        <v>3850</v>
      </c>
      <c r="O175" s="4">
        <v>2079</v>
      </c>
      <c r="P175" s="4">
        <v>200</v>
      </c>
      <c r="Q175" s="4">
        <v>13829</v>
      </c>
      <c r="R175" s="2" t="s">
        <v>48</v>
      </c>
      <c r="S175" s="2" t="s">
        <v>35</v>
      </c>
      <c r="T175" s="2" t="s">
        <v>173</v>
      </c>
      <c r="U175" s="2" t="s">
        <v>174</v>
      </c>
      <c r="V175" s="2" t="s">
        <v>82</v>
      </c>
      <c r="W175" s="2">
        <v>3</v>
      </c>
      <c r="X175" s="2" t="s">
        <v>39</v>
      </c>
      <c r="Y175" s="2">
        <v>4</v>
      </c>
      <c r="Z175" s="2" t="s">
        <v>40</v>
      </c>
    </row>
    <row r="176" spans="1:26" x14ac:dyDescent="0.25">
      <c r="A176" s="2" t="s">
        <v>484</v>
      </c>
      <c r="B176" s="3">
        <v>46244</v>
      </c>
      <c r="C176" s="2" t="s">
        <v>485</v>
      </c>
      <c r="D176" s="2" t="s">
        <v>54</v>
      </c>
      <c r="E176" s="2" t="s">
        <v>29</v>
      </c>
      <c r="F176" s="2">
        <v>49</v>
      </c>
      <c r="G176" s="2" t="s">
        <v>125</v>
      </c>
      <c r="H176" s="2" t="s">
        <v>69</v>
      </c>
      <c r="I176" s="2" t="s">
        <v>126</v>
      </c>
      <c r="J176" s="2" t="s">
        <v>271</v>
      </c>
      <c r="K176" s="2">
        <v>4</v>
      </c>
      <c r="L176" s="4">
        <v>8100</v>
      </c>
      <c r="M176" s="5">
        <v>0.2</v>
      </c>
      <c r="N176" s="4">
        <v>6480</v>
      </c>
      <c r="O176" s="4">
        <v>4665.6000000000004</v>
      </c>
      <c r="P176" s="4">
        <v>100</v>
      </c>
      <c r="Q176" s="4">
        <v>30685.599999999999</v>
      </c>
      <c r="R176" s="2" t="s">
        <v>59</v>
      </c>
      <c r="S176" s="2" t="s">
        <v>35</v>
      </c>
      <c r="T176" s="2" t="s">
        <v>134</v>
      </c>
      <c r="U176" s="2" t="s">
        <v>135</v>
      </c>
      <c r="V176" s="2" t="s">
        <v>50</v>
      </c>
      <c r="W176" s="2">
        <v>8</v>
      </c>
      <c r="X176" s="2" t="s">
        <v>122</v>
      </c>
      <c r="Y176" s="2">
        <v>5</v>
      </c>
      <c r="Z176" s="2" t="s">
        <v>40</v>
      </c>
    </row>
    <row r="177" spans="1:26" x14ac:dyDescent="0.25">
      <c r="A177" s="2" t="s">
        <v>486</v>
      </c>
      <c r="B177" s="3">
        <v>46226</v>
      </c>
      <c r="C177" s="2" t="s">
        <v>487</v>
      </c>
      <c r="D177" s="2" t="s">
        <v>77</v>
      </c>
      <c r="E177" s="2" t="s">
        <v>44</v>
      </c>
      <c r="F177" s="2">
        <v>20</v>
      </c>
      <c r="G177" s="2" t="s">
        <v>30</v>
      </c>
      <c r="H177" s="2" t="s">
        <v>31</v>
      </c>
      <c r="I177" s="2" t="s">
        <v>32</v>
      </c>
      <c r="J177" s="2" t="s">
        <v>33</v>
      </c>
      <c r="K177" s="2">
        <v>5</v>
      </c>
      <c r="L177" s="4">
        <v>1400</v>
      </c>
      <c r="M177" s="5">
        <v>0.05</v>
      </c>
      <c r="N177" s="4">
        <v>350</v>
      </c>
      <c r="O177" s="4">
        <v>798</v>
      </c>
      <c r="P177" s="4">
        <v>150</v>
      </c>
      <c r="Q177" s="4">
        <v>7598</v>
      </c>
      <c r="R177" s="2" t="s">
        <v>59</v>
      </c>
      <c r="S177" s="2" t="s">
        <v>133</v>
      </c>
      <c r="T177" s="2" t="s">
        <v>36</v>
      </c>
      <c r="U177" s="2" t="s">
        <v>37</v>
      </c>
      <c r="V177" s="2" t="s">
        <v>38</v>
      </c>
      <c r="W177" s="2">
        <v>8</v>
      </c>
      <c r="X177" s="2" t="s">
        <v>39</v>
      </c>
      <c r="Y177" s="2">
        <v>4</v>
      </c>
      <c r="Z177" s="2" t="s">
        <v>40</v>
      </c>
    </row>
    <row r="178" spans="1:26" x14ac:dyDescent="0.25">
      <c r="A178" s="2" t="s">
        <v>488</v>
      </c>
      <c r="B178" s="3">
        <v>46161</v>
      </c>
      <c r="C178" s="2" t="s">
        <v>489</v>
      </c>
      <c r="D178" s="2" t="s">
        <v>129</v>
      </c>
      <c r="E178" s="2" t="s">
        <v>44</v>
      </c>
      <c r="F178" s="2">
        <v>52</v>
      </c>
      <c r="G178" s="2" t="s">
        <v>68</v>
      </c>
      <c r="H178" s="2" t="s">
        <v>69</v>
      </c>
      <c r="I178" s="2" t="s">
        <v>70</v>
      </c>
      <c r="J178" s="2" t="s">
        <v>225</v>
      </c>
      <c r="K178" s="2">
        <v>1</v>
      </c>
      <c r="L178" s="4">
        <v>14400</v>
      </c>
      <c r="M178" s="5">
        <v>0.1</v>
      </c>
      <c r="N178" s="4">
        <v>1440</v>
      </c>
      <c r="O178" s="4">
        <v>648</v>
      </c>
      <c r="P178" s="4">
        <v>100</v>
      </c>
      <c r="Q178" s="4">
        <v>13708</v>
      </c>
      <c r="R178" s="2" t="s">
        <v>48</v>
      </c>
      <c r="S178" s="2" t="s">
        <v>35</v>
      </c>
      <c r="T178" s="2" t="s">
        <v>61</v>
      </c>
      <c r="U178" s="2" t="s">
        <v>62</v>
      </c>
      <c r="V178" s="2" t="s">
        <v>63</v>
      </c>
      <c r="W178" s="2">
        <v>6</v>
      </c>
      <c r="X178" s="2" t="s">
        <v>39</v>
      </c>
      <c r="Y178" s="2">
        <v>0</v>
      </c>
      <c r="Z178" s="2" t="s">
        <v>64</v>
      </c>
    </row>
    <row r="179" spans="1:26" x14ac:dyDescent="0.25">
      <c r="A179" s="2" t="s">
        <v>490</v>
      </c>
      <c r="B179" s="3">
        <v>46221</v>
      </c>
      <c r="C179" s="2" t="s">
        <v>491</v>
      </c>
      <c r="D179" s="2" t="s">
        <v>77</v>
      </c>
      <c r="E179" s="2" t="s">
        <v>29</v>
      </c>
      <c r="F179" s="2">
        <v>65</v>
      </c>
      <c r="G179" s="2" t="s">
        <v>198</v>
      </c>
      <c r="H179" s="2" t="s">
        <v>105</v>
      </c>
      <c r="I179" s="2" t="s">
        <v>199</v>
      </c>
      <c r="J179" s="2" t="s">
        <v>200</v>
      </c>
      <c r="K179" s="2">
        <v>3</v>
      </c>
      <c r="L179" s="4">
        <v>22100</v>
      </c>
      <c r="M179" s="5">
        <v>0.2</v>
      </c>
      <c r="N179" s="4">
        <v>13260</v>
      </c>
      <c r="O179" s="4">
        <v>9547.2000000000007</v>
      </c>
      <c r="P179" s="4">
        <v>100</v>
      </c>
      <c r="Q179" s="4">
        <v>62687.199999999997</v>
      </c>
      <c r="R179" s="2" t="s">
        <v>59</v>
      </c>
      <c r="S179" s="2" t="s">
        <v>133</v>
      </c>
      <c r="T179" s="2" t="s">
        <v>90</v>
      </c>
      <c r="U179" s="2" t="s">
        <v>62</v>
      </c>
      <c r="V179" s="2" t="s">
        <v>63</v>
      </c>
      <c r="W179" s="2">
        <v>10</v>
      </c>
      <c r="X179" s="2" t="s">
        <v>39</v>
      </c>
      <c r="Y179" s="2">
        <v>4</v>
      </c>
      <c r="Z179" s="2" t="s">
        <v>40</v>
      </c>
    </row>
    <row r="180" spans="1:26" x14ac:dyDescent="0.25">
      <c r="A180" s="2" t="s">
        <v>492</v>
      </c>
      <c r="B180" s="3">
        <v>46159</v>
      </c>
      <c r="C180" s="2" t="s">
        <v>491</v>
      </c>
      <c r="D180" s="2" t="s">
        <v>148</v>
      </c>
      <c r="E180" s="2" t="s">
        <v>29</v>
      </c>
      <c r="F180" s="2">
        <v>38</v>
      </c>
      <c r="G180" s="2" t="s">
        <v>55</v>
      </c>
      <c r="H180" s="2" t="s">
        <v>56</v>
      </c>
      <c r="I180" s="2" t="s">
        <v>57</v>
      </c>
      <c r="J180" s="2" t="s">
        <v>58</v>
      </c>
      <c r="K180" s="2">
        <v>3</v>
      </c>
      <c r="L180" s="4">
        <v>10800</v>
      </c>
      <c r="M180" s="5">
        <v>0.1</v>
      </c>
      <c r="N180" s="4">
        <v>3240</v>
      </c>
      <c r="O180" s="4">
        <v>5248.8</v>
      </c>
      <c r="P180" s="4">
        <v>200</v>
      </c>
      <c r="Q180" s="4">
        <v>34608.800000000003</v>
      </c>
      <c r="R180" s="2" t="s">
        <v>88</v>
      </c>
      <c r="S180" s="2" t="s">
        <v>60</v>
      </c>
      <c r="T180" s="2" t="s">
        <v>165</v>
      </c>
      <c r="U180" s="2" t="s">
        <v>166</v>
      </c>
      <c r="V180" s="2" t="s">
        <v>82</v>
      </c>
      <c r="W180" s="2">
        <v>2</v>
      </c>
      <c r="X180" s="2" t="s">
        <v>39</v>
      </c>
      <c r="Y180" s="2">
        <v>4</v>
      </c>
      <c r="Z180" s="2" t="s">
        <v>40</v>
      </c>
    </row>
    <row r="181" spans="1:26" x14ac:dyDescent="0.25">
      <c r="A181" s="2" t="s">
        <v>493</v>
      </c>
      <c r="B181" s="3">
        <v>46202</v>
      </c>
      <c r="C181" s="2" t="s">
        <v>494</v>
      </c>
      <c r="D181" s="2" t="s">
        <v>259</v>
      </c>
      <c r="E181" s="2" t="s">
        <v>29</v>
      </c>
      <c r="F181" s="2">
        <v>27</v>
      </c>
      <c r="G181" s="2" t="s">
        <v>55</v>
      </c>
      <c r="H181" s="2" t="s">
        <v>56</v>
      </c>
      <c r="I181" s="2" t="s">
        <v>57</v>
      </c>
      <c r="J181" s="2" t="s">
        <v>58</v>
      </c>
      <c r="K181" s="2">
        <v>2</v>
      </c>
      <c r="L181" s="4">
        <v>8500</v>
      </c>
      <c r="M181" s="5">
        <v>0.15</v>
      </c>
      <c r="N181" s="4">
        <v>2550</v>
      </c>
      <c r="O181" s="4">
        <v>722.5</v>
      </c>
      <c r="P181" s="4">
        <v>150</v>
      </c>
      <c r="Q181" s="4">
        <v>15322.5</v>
      </c>
      <c r="R181" s="2" t="s">
        <v>72</v>
      </c>
      <c r="S181" s="2" t="s">
        <v>89</v>
      </c>
      <c r="T181" s="2" t="s">
        <v>120</v>
      </c>
      <c r="U181" s="2" t="s">
        <v>121</v>
      </c>
      <c r="V181" s="2" t="s">
        <v>38</v>
      </c>
      <c r="W181" s="2">
        <v>5</v>
      </c>
      <c r="X181" s="2" t="s">
        <v>39</v>
      </c>
      <c r="Y181" s="2">
        <v>3</v>
      </c>
      <c r="Z181" s="2" t="s">
        <v>40</v>
      </c>
    </row>
    <row r="182" spans="1:26" x14ac:dyDescent="0.25">
      <c r="A182" s="2" t="s">
        <v>495</v>
      </c>
      <c r="B182" s="3">
        <v>46154</v>
      </c>
      <c r="C182" s="2" t="s">
        <v>496</v>
      </c>
      <c r="D182" s="2" t="s">
        <v>148</v>
      </c>
      <c r="E182" s="2" t="s">
        <v>44</v>
      </c>
      <c r="F182" s="2">
        <v>47</v>
      </c>
      <c r="G182" s="2" t="s">
        <v>45</v>
      </c>
      <c r="H182" s="2" t="s">
        <v>31</v>
      </c>
      <c r="I182" s="2" t="s">
        <v>46</v>
      </c>
      <c r="J182" s="2" t="s">
        <v>260</v>
      </c>
      <c r="K182" s="2">
        <v>5</v>
      </c>
      <c r="L182" s="4">
        <v>800</v>
      </c>
      <c r="M182" s="5">
        <v>0.25</v>
      </c>
      <c r="N182" s="4">
        <v>1000</v>
      </c>
      <c r="O182" s="4">
        <v>150</v>
      </c>
      <c r="P182" s="4">
        <v>200</v>
      </c>
      <c r="Q182" s="4">
        <v>3350</v>
      </c>
      <c r="R182" s="2" t="s">
        <v>59</v>
      </c>
      <c r="S182" s="2" t="s">
        <v>89</v>
      </c>
      <c r="T182" s="2" t="s">
        <v>73</v>
      </c>
      <c r="U182" s="2" t="s">
        <v>74</v>
      </c>
      <c r="V182" s="2" t="s">
        <v>50</v>
      </c>
      <c r="W182" s="2">
        <v>6</v>
      </c>
      <c r="X182" s="2" t="s">
        <v>39</v>
      </c>
      <c r="Y182" s="2">
        <v>0</v>
      </c>
      <c r="Z182" s="2" t="s">
        <v>64</v>
      </c>
    </row>
    <row r="183" spans="1:26" x14ac:dyDescent="0.25">
      <c r="A183" s="2" t="s">
        <v>497</v>
      </c>
      <c r="B183" s="3">
        <v>46078</v>
      </c>
      <c r="C183" s="2" t="s">
        <v>498</v>
      </c>
      <c r="D183" s="2" t="s">
        <v>163</v>
      </c>
      <c r="E183" s="2" t="s">
        <v>29</v>
      </c>
      <c r="F183" s="2">
        <v>49</v>
      </c>
      <c r="G183" s="2" t="s">
        <v>30</v>
      </c>
      <c r="H183" s="2" t="s">
        <v>31</v>
      </c>
      <c r="I183" s="2" t="s">
        <v>32</v>
      </c>
      <c r="J183" s="2" t="s">
        <v>170</v>
      </c>
      <c r="K183" s="2">
        <v>3</v>
      </c>
      <c r="L183" s="4">
        <v>1500</v>
      </c>
      <c r="M183" s="5">
        <v>0.2</v>
      </c>
      <c r="N183" s="4">
        <v>900</v>
      </c>
      <c r="O183" s="4">
        <v>648</v>
      </c>
      <c r="P183" s="4">
        <v>50</v>
      </c>
      <c r="Q183" s="4">
        <v>4298</v>
      </c>
      <c r="R183" s="2" t="s">
        <v>72</v>
      </c>
      <c r="S183" s="2" t="s">
        <v>35</v>
      </c>
      <c r="T183" s="2" t="s">
        <v>144</v>
      </c>
      <c r="U183" s="2" t="s">
        <v>145</v>
      </c>
      <c r="V183" s="2" t="s">
        <v>38</v>
      </c>
      <c r="W183" s="2">
        <v>8</v>
      </c>
      <c r="X183" s="2" t="s">
        <v>39</v>
      </c>
      <c r="Y183" s="2">
        <v>0</v>
      </c>
      <c r="Z183" s="2" t="s">
        <v>91</v>
      </c>
    </row>
    <row r="184" spans="1:26" x14ac:dyDescent="0.25">
      <c r="A184" s="2" t="s">
        <v>499</v>
      </c>
      <c r="B184" s="3">
        <v>46048</v>
      </c>
      <c r="C184" s="2" t="s">
        <v>500</v>
      </c>
      <c r="D184" s="2" t="s">
        <v>98</v>
      </c>
      <c r="E184" s="2" t="s">
        <v>29</v>
      </c>
      <c r="F184" s="2">
        <v>25</v>
      </c>
      <c r="G184" s="2" t="s">
        <v>125</v>
      </c>
      <c r="H184" s="2" t="s">
        <v>69</v>
      </c>
      <c r="I184" s="2" t="s">
        <v>126</v>
      </c>
      <c r="J184" s="2" t="s">
        <v>71</v>
      </c>
      <c r="K184" s="2">
        <v>4</v>
      </c>
      <c r="L184" s="4">
        <v>1000</v>
      </c>
      <c r="M184" s="5">
        <v>0.15</v>
      </c>
      <c r="N184" s="4">
        <v>600</v>
      </c>
      <c r="O184" s="4">
        <v>170</v>
      </c>
      <c r="P184" s="4">
        <v>200</v>
      </c>
      <c r="Q184" s="4">
        <v>3770</v>
      </c>
      <c r="R184" s="2" t="s">
        <v>34</v>
      </c>
      <c r="S184" s="2" t="s">
        <v>133</v>
      </c>
      <c r="T184" s="2" t="s">
        <v>173</v>
      </c>
      <c r="U184" s="2" t="s">
        <v>174</v>
      </c>
      <c r="V184" s="2" t="s">
        <v>82</v>
      </c>
      <c r="W184" s="2">
        <v>3</v>
      </c>
      <c r="X184" s="2" t="s">
        <v>39</v>
      </c>
      <c r="Y184" s="2">
        <v>0</v>
      </c>
      <c r="Z184" s="2" t="s">
        <v>64</v>
      </c>
    </row>
    <row r="185" spans="1:26" x14ac:dyDescent="0.25">
      <c r="A185" s="2" t="s">
        <v>501</v>
      </c>
      <c r="B185" s="3">
        <v>46046</v>
      </c>
      <c r="C185" s="2" t="s">
        <v>502</v>
      </c>
      <c r="D185" s="2" t="s">
        <v>54</v>
      </c>
      <c r="E185" s="2" t="s">
        <v>44</v>
      </c>
      <c r="F185" s="2">
        <v>23</v>
      </c>
      <c r="G185" s="2" t="s">
        <v>177</v>
      </c>
      <c r="H185" s="2" t="s">
        <v>31</v>
      </c>
      <c r="I185" s="2" t="s">
        <v>32</v>
      </c>
      <c r="J185" s="2" t="s">
        <v>294</v>
      </c>
      <c r="K185" s="2">
        <v>1</v>
      </c>
      <c r="L185" s="4">
        <v>3700</v>
      </c>
      <c r="M185" s="5">
        <v>0.25</v>
      </c>
      <c r="N185" s="4">
        <v>925</v>
      </c>
      <c r="O185" s="4">
        <v>333</v>
      </c>
      <c r="P185" s="4">
        <v>200</v>
      </c>
      <c r="Q185" s="4">
        <v>3308</v>
      </c>
      <c r="R185" s="2" t="s">
        <v>48</v>
      </c>
      <c r="S185" s="2" t="s">
        <v>35</v>
      </c>
      <c r="T185" s="2" t="s">
        <v>36</v>
      </c>
      <c r="U185" s="2" t="s">
        <v>37</v>
      </c>
      <c r="V185" s="2" t="s">
        <v>38</v>
      </c>
      <c r="W185" s="2">
        <v>4</v>
      </c>
      <c r="X185" s="2" t="s">
        <v>39</v>
      </c>
      <c r="Y185" s="2">
        <v>3</v>
      </c>
      <c r="Z185" s="2" t="s">
        <v>40</v>
      </c>
    </row>
    <row r="186" spans="1:26" x14ac:dyDescent="0.25">
      <c r="A186" s="2" t="s">
        <v>503</v>
      </c>
      <c r="B186" s="3">
        <v>46056</v>
      </c>
      <c r="C186" s="2" t="s">
        <v>504</v>
      </c>
      <c r="D186" s="2" t="s">
        <v>85</v>
      </c>
      <c r="E186" s="2" t="s">
        <v>29</v>
      </c>
      <c r="F186" s="2">
        <v>51</v>
      </c>
      <c r="G186" s="2" t="s">
        <v>86</v>
      </c>
      <c r="H186" s="2" t="s">
        <v>56</v>
      </c>
      <c r="I186" s="2" t="s">
        <v>57</v>
      </c>
      <c r="J186" s="2" t="s">
        <v>87</v>
      </c>
      <c r="K186" s="2">
        <v>1</v>
      </c>
      <c r="L186" s="4">
        <v>1800</v>
      </c>
      <c r="M186" s="5">
        <v>0.25</v>
      </c>
      <c r="N186" s="4">
        <v>450</v>
      </c>
      <c r="O186" s="4">
        <v>162</v>
      </c>
      <c r="P186" s="4">
        <v>250</v>
      </c>
      <c r="Q186" s="4">
        <v>1762</v>
      </c>
      <c r="R186" s="2" t="s">
        <v>72</v>
      </c>
      <c r="S186" s="2" t="s">
        <v>60</v>
      </c>
      <c r="T186" s="2" t="s">
        <v>95</v>
      </c>
      <c r="U186" s="2" t="s">
        <v>62</v>
      </c>
      <c r="V186" s="2" t="s">
        <v>63</v>
      </c>
      <c r="W186" s="2">
        <v>7</v>
      </c>
      <c r="X186" s="2" t="s">
        <v>39</v>
      </c>
      <c r="Y186" s="2">
        <v>0</v>
      </c>
      <c r="Z186" s="2" t="s">
        <v>91</v>
      </c>
    </row>
    <row r="187" spans="1:26" x14ac:dyDescent="0.25">
      <c r="A187" s="2" t="s">
        <v>505</v>
      </c>
      <c r="B187" s="3">
        <v>46121</v>
      </c>
      <c r="C187" s="2" t="s">
        <v>506</v>
      </c>
      <c r="D187" s="2" t="s">
        <v>67</v>
      </c>
      <c r="E187" s="2" t="s">
        <v>29</v>
      </c>
      <c r="F187" s="2">
        <v>24</v>
      </c>
      <c r="G187" s="2" t="s">
        <v>177</v>
      </c>
      <c r="H187" s="2" t="s">
        <v>31</v>
      </c>
      <c r="I187" s="2" t="s">
        <v>32</v>
      </c>
      <c r="J187" s="2" t="s">
        <v>178</v>
      </c>
      <c r="K187" s="2">
        <v>3</v>
      </c>
      <c r="L187" s="4">
        <v>2000</v>
      </c>
      <c r="M187" s="5">
        <v>0.15</v>
      </c>
      <c r="N187" s="4">
        <v>900</v>
      </c>
      <c r="O187" s="4">
        <v>255</v>
      </c>
      <c r="P187" s="4">
        <v>200</v>
      </c>
      <c r="Q187" s="4">
        <v>5555</v>
      </c>
      <c r="R187" s="2" t="s">
        <v>48</v>
      </c>
      <c r="S187" s="2" t="s">
        <v>133</v>
      </c>
      <c r="T187" s="2" t="s">
        <v>120</v>
      </c>
      <c r="U187" s="2" t="s">
        <v>121</v>
      </c>
      <c r="V187" s="2" t="s">
        <v>38</v>
      </c>
      <c r="W187" s="2">
        <v>3</v>
      </c>
      <c r="X187" s="2" t="s">
        <v>39</v>
      </c>
      <c r="Y187" s="2">
        <v>5</v>
      </c>
      <c r="Z187" s="2" t="s">
        <v>40</v>
      </c>
    </row>
    <row r="188" spans="1:26" x14ac:dyDescent="0.25">
      <c r="A188" s="2" t="s">
        <v>507</v>
      </c>
      <c r="B188" s="3">
        <v>46207</v>
      </c>
      <c r="C188" s="2" t="s">
        <v>448</v>
      </c>
      <c r="D188" s="2" t="s">
        <v>43</v>
      </c>
      <c r="E188" s="2" t="s">
        <v>29</v>
      </c>
      <c r="F188" s="2">
        <v>44</v>
      </c>
      <c r="G188" s="2" t="s">
        <v>198</v>
      </c>
      <c r="H188" s="2" t="s">
        <v>105</v>
      </c>
      <c r="I188" s="2" t="s">
        <v>199</v>
      </c>
      <c r="J188" s="2" t="s">
        <v>200</v>
      </c>
      <c r="K188" s="2">
        <v>4</v>
      </c>
      <c r="L188" s="4">
        <v>9500</v>
      </c>
      <c r="M188" s="5">
        <v>0</v>
      </c>
      <c r="N188" s="4">
        <v>0</v>
      </c>
      <c r="O188" s="4">
        <v>1900</v>
      </c>
      <c r="P188" s="4">
        <v>50</v>
      </c>
      <c r="Q188" s="4">
        <v>39950</v>
      </c>
      <c r="R188" s="2" t="s">
        <v>34</v>
      </c>
      <c r="S188" s="2" t="s">
        <v>60</v>
      </c>
      <c r="T188" s="2" t="s">
        <v>80</v>
      </c>
      <c r="U188" s="2" t="s">
        <v>81</v>
      </c>
      <c r="V188" s="2" t="s">
        <v>82</v>
      </c>
      <c r="W188" s="2">
        <v>2</v>
      </c>
      <c r="X188" s="2" t="s">
        <v>39</v>
      </c>
      <c r="Y188" s="2">
        <v>5</v>
      </c>
      <c r="Z188" s="2" t="s">
        <v>40</v>
      </c>
    </row>
    <row r="189" spans="1:26" x14ac:dyDescent="0.25">
      <c r="A189" s="2" t="s">
        <v>508</v>
      </c>
      <c r="B189" s="3">
        <v>46093</v>
      </c>
      <c r="C189" s="2" t="s">
        <v>509</v>
      </c>
      <c r="D189" s="2" t="s">
        <v>67</v>
      </c>
      <c r="E189" s="2" t="s">
        <v>29</v>
      </c>
      <c r="F189" s="2">
        <v>53</v>
      </c>
      <c r="G189" s="2" t="s">
        <v>198</v>
      </c>
      <c r="H189" s="2" t="s">
        <v>105</v>
      </c>
      <c r="I189" s="2" t="s">
        <v>199</v>
      </c>
      <c r="J189" s="2" t="s">
        <v>200</v>
      </c>
      <c r="K189" s="2">
        <v>5</v>
      </c>
      <c r="L189" s="4">
        <v>11200</v>
      </c>
      <c r="M189" s="5">
        <v>0.25</v>
      </c>
      <c r="N189" s="4">
        <v>14000</v>
      </c>
      <c r="O189" s="4">
        <v>2100</v>
      </c>
      <c r="P189" s="4">
        <v>250</v>
      </c>
      <c r="Q189" s="4">
        <v>44350</v>
      </c>
      <c r="R189" s="2" t="s">
        <v>88</v>
      </c>
      <c r="S189" s="2" t="s">
        <v>35</v>
      </c>
      <c r="T189" s="2" t="s">
        <v>165</v>
      </c>
      <c r="U189" s="2" t="s">
        <v>166</v>
      </c>
      <c r="V189" s="2" t="s">
        <v>82</v>
      </c>
      <c r="W189" s="2">
        <v>5</v>
      </c>
      <c r="X189" s="2" t="s">
        <v>39</v>
      </c>
      <c r="Y189" s="2">
        <v>4</v>
      </c>
      <c r="Z189" s="2" t="s">
        <v>40</v>
      </c>
    </row>
    <row r="190" spans="1:26" x14ac:dyDescent="0.25">
      <c r="A190" s="2" t="s">
        <v>510</v>
      </c>
      <c r="B190" s="3">
        <v>46223</v>
      </c>
      <c r="C190" s="2" t="s">
        <v>511</v>
      </c>
      <c r="D190" s="2" t="s">
        <v>77</v>
      </c>
      <c r="E190" s="2" t="s">
        <v>44</v>
      </c>
      <c r="F190" s="2">
        <v>42</v>
      </c>
      <c r="G190" s="2" t="s">
        <v>142</v>
      </c>
      <c r="H190" s="2" t="s">
        <v>69</v>
      </c>
      <c r="I190" s="2" t="s">
        <v>143</v>
      </c>
      <c r="J190" s="2" t="s">
        <v>110</v>
      </c>
      <c r="K190" s="2">
        <v>4</v>
      </c>
      <c r="L190" s="4">
        <v>77300</v>
      </c>
      <c r="M190" s="5">
        <v>0.2</v>
      </c>
      <c r="N190" s="4">
        <v>61840</v>
      </c>
      <c r="O190" s="4">
        <v>12368</v>
      </c>
      <c r="P190" s="4">
        <v>150</v>
      </c>
      <c r="Q190" s="4">
        <v>259878</v>
      </c>
      <c r="R190" s="2" t="s">
        <v>48</v>
      </c>
      <c r="S190" s="2" t="s">
        <v>89</v>
      </c>
      <c r="T190" s="2" t="s">
        <v>173</v>
      </c>
      <c r="U190" s="2" t="s">
        <v>174</v>
      </c>
      <c r="V190" s="2" t="s">
        <v>82</v>
      </c>
      <c r="W190" s="2">
        <v>1</v>
      </c>
      <c r="X190" s="2" t="s">
        <v>39</v>
      </c>
      <c r="Y190" s="2">
        <v>0</v>
      </c>
      <c r="Z190" s="2" t="s">
        <v>111</v>
      </c>
    </row>
    <row r="191" spans="1:26" x14ac:dyDescent="0.25">
      <c r="A191" s="2" t="s">
        <v>512</v>
      </c>
      <c r="B191" s="3">
        <v>46116</v>
      </c>
      <c r="C191" s="2" t="s">
        <v>513</v>
      </c>
      <c r="D191" s="2" t="s">
        <v>132</v>
      </c>
      <c r="E191" s="2" t="s">
        <v>29</v>
      </c>
      <c r="F191" s="2">
        <v>48</v>
      </c>
      <c r="G191" s="2" t="s">
        <v>142</v>
      </c>
      <c r="H191" s="2" t="s">
        <v>69</v>
      </c>
      <c r="I191" s="2" t="s">
        <v>143</v>
      </c>
      <c r="J191" s="2" t="s">
        <v>94</v>
      </c>
      <c r="K191" s="2">
        <v>5</v>
      </c>
      <c r="L191" s="4">
        <v>18900</v>
      </c>
      <c r="M191" s="5">
        <v>0</v>
      </c>
      <c r="N191" s="4">
        <v>0</v>
      </c>
      <c r="O191" s="4">
        <v>11340</v>
      </c>
      <c r="P191" s="4">
        <v>50</v>
      </c>
      <c r="Q191" s="4">
        <v>105890</v>
      </c>
      <c r="R191" s="2" t="s">
        <v>59</v>
      </c>
      <c r="S191" s="2" t="s">
        <v>133</v>
      </c>
      <c r="T191" s="2" t="s">
        <v>138</v>
      </c>
      <c r="U191" s="2" t="s">
        <v>62</v>
      </c>
      <c r="V191" s="2" t="s">
        <v>63</v>
      </c>
      <c r="W191" s="2">
        <v>1</v>
      </c>
      <c r="X191" s="2" t="s">
        <v>39</v>
      </c>
      <c r="Y191" s="2">
        <v>0</v>
      </c>
      <c r="Z191" s="2" t="s">
        <v>64</v>
      </c>
    </row>
    <row r="192" spans="1:26" x14ac:dyDescent="0.25">
      <c r="A192" s="2" t="s">
        <v>514</v>
      </c>
      <c r="B192" s="3">
        <v>46183</v>
      </c>
      <c r="C192" s="2" t="s">
        <v>515</v>
      </c>
      <c r="D192" s="2" t="s">
        <v>141</v>
      </c>
      <c r="E192" s="2" t="s">
        <v>44</v>
      </c>
      <c r="F192" s="2">
        <v>45</v>
      </c>
      <c r="G192" s="2" t="s">
        <v>55</v>
      </c>
      <c r="H192" s="2" t="s">
        <v>56</v>
      </c>
      <c r="I192" s="2" t="s">
        <v>57</v>
      </c>
      <c r="J192" s="2" t="s">
        <v>58</v>
      </c>
      <c r="K192" s="2">
        <v>1</v>
      </c>
      <c r="L192" s="4">
        <v>11600</v>
      </c>
      <c r="M192" s="5">
        <v>0.2</v>
      </c>
      <c r="N192" s="4">
        <v>2320</v>
      </c>
      <c r="O192" s="4">
        <v>1670.4</v>
      </c>
      <c r="P192" s="4">
        <v>150</v>
      </c>
      <c r="Q192" s="4">
        <v>11100.4</v>
      </c>
      <c r="R192" s="2" t="s">
        <v>34</v>
      </c>
      <c r="S192" s="2" t="s">
        <v>133</v>
      </c>
      <c r="T192" s="2" t="s">
        <v>90</v>
      </c>
      <c r="U192" s="2" t="s">
        <v>62</v>
      </c>
      <c r="V192" s="2" t="s">
        <v>63</v>
      </c>
      <c r="W192" s="2">
        <v>5</v>
      </c>
      <c r="X192" s="2" t="s">
        <v>39</v>
      </c>
      <c r="Y192" s="2">
        <v>5</v>
      </c>
      <c r="Z192" s="2" t="s">
        <v>40</v>
      </c>
    </row>
    <row r="193" spans="1:26" x14ac:dyDescent="0.25">
      <c r="A193" s="2" t="s">
        <v>516</v>
      </c>
      <c r="B193" s="3">
        <v>46123</v>
      </c>
      <c r="C193" s="2" t="s">
        <v>306</v>
      </c>
      <c r="D193" s="2" t="s">
        <v>85</v>
      </c>
      <c r="E193" s="2" t="s">
        <v>29</v>
      </c>
      <c r="F193" s="2">
        <v>37</v>
      </c>
      <c r="G193" s="2" t="s">
        <v>55</v>
      </c>
      <c r="H193" s="2" t="s">
        <v>56</v>
      </c>
      <c r="I193" s="2" t="s">
        <v>57</v>
      </c>
      <c r="J193" s="2" t="s">
        <v>58</v>
      </c>
      <c r="K193" s="2">
        <v>2</v>
      </c>
      <c r="L193" s="4">
        <v>4200</v>
      </c>
      <c r="M193" s="5">
        <v>0.05</v>
      </c>
      <c r="N193" s="4">
        <v>420</v>
      </c>
      <c r="O193" s="4">
        <v>399</v>
      </c>
      <c r="P193" s="4">
        <v>100</v>
      </c>
      <c r="Q193" s="4">
        <v>8479</v>
      </c>
      <c r="R193" s="2" t="s">
        <v>34</v>
      </c>
      <c r="S193" s="2" t="s">
        <v>35</v>
      </c>
      <c r="T193" s="2" t="s">
        <v>95</v>
      </c>
      <c r="U193" s="2" t="s">
        <v>62</v>
      </c>
      <c r="V193" s="2" t="s">
        <v>63</v>
      </c>
      <c r="W193" s="2">
        <v>8</v>
      </c>
      <c r="X193" s="2" t="s">
        <v>39</v>
      </c>
      <c r="Y193" s="2">
        <v>5</v>
      </c>
      <c r="Z193" s="2" t="s">
        <v>40</v>
      </c>
    </row>
    <row r="194" spans="1:26" x14ac:dyDescent="0.25">
      <c r="A194" s="2" t="s">
        <v>517</v>
      </c>
      <c r="B194" s="3">
        <v>46026</v>
      </c>
      <c r="C194" s="2" t="s">
        <v>518</v>
      </c>
      <c r="D194" s="2" t="s">
        <v>259</v>
      </c>
      <c r="E194" s="2" t="s">
        <v>29</v>
      </c>
      <c r="F194" s="2">
        <v>28</v>
      </c>
      <c r="G194" s="2" t="s">
        <v>45</v>
      </c>
      <c r="H194" s="2" t="s">
        <v>31</v>
      </c>
      <c r="I194" s="2" t="s">
        <v>46</v>
      </c>
      <c r="J194" s="2" t="s">
        <v>260</v>
      </c>
      <c r="K194" s="2">
        <v>5</v>
      </c>
      <c r="L194" s="4">
        <v>4100</v>
      </c>
      <c r="M194" s="5">
        <v>0.25</v>
      </c>
      <c r="N194" s="4">
        <v>5125</v>
      </c>
      <c r="O194" s="4">
        <v>1845</v>
      </c>
      <c r="P194" s="4">
        <v>50</v>
      </c>
      <c r="Q194" s="4">
        <v>17270</v>
      </c>
      <c r="R194" s="2" t="s">
        <v>88</v>
      </c>
      <c r="S194" s="2" t="s">
        <v>35</v>
      </c>
      <c r="T194" s="2" t="s">
        <v>49</v>
      </c>
      <c r="U194" s="2" t="s">
        <v>49</v>
      </c>
      <c r="V194" s="2" t="s">
        <v>50</v>
      </c>
      <c r="W194" s="2">
        <v>3</v>
      </c>
      <c r="X194" s="2" t="s">
        <v>39</v>
      </c>
      <c r="Y194" s="2">
        <v>0</v>
      </c>
      <c r="Z194" s="2" t="s">
        <v>91</v>
      </c>
    </row>
    <row r="195" spans="1:26" x14ac:dyDescent="0.25">
      <c r="A195" s="2" t="s">
        <v>519</v>
      </c>
      <c r="B195" s="3">
        <v>46220</v>
      </c>
      <c r="C195" s="2" t="s">
        <v>520</v>
      </c>
      <c r="D195" s="2" t="s">
        <v>234</v>
      </c>
      <c r="E195" s="2" t="s">
        <v>44</v>
      </c>
      <c r="F195" s="2">
        <v>45</v>
      </c>
      <c r="G195" s="2" t="s">
        <v>30</v>
      </c>
      <c r="H195" s="2" t="s">
        <v>31</v>
      </c>
      <c r="I195" s="2" t="s">
        <v>32</v>
      </c>
      <c r="J195" s="2" t="s">
        <v>204</v>
      </c>
      <c r="K195" s="2">
        <v>3</v>
      </c>
      <c r="L195" s="4">
        <v>2700</v>
      </c>
      <c r="M195" s="5">
        <v>0.2</v>
      </c>
      <c r="N195" s="4">
        <v>1620</v>
      </c>
      <c r="O195" s="4">
        <v>1166.4000000000001</v>
      </c>
      <c r="P195" s="4">
        <v>0</v>
      </c>
      <c r="Q195" s="4">
        <v>7646.4</v>
      </c>
      <c r="R195" s="2" t="s">
        <v>88</v>
      </c>
      <c r="S195" s="2" t="s">
        <v>60</v>
      </c>
      <c r="T195" s="2" t="s">
        <v>73</v>
      </c>
      <c r="U195" s="2" t="s">
        <v>74</v>
      </c>
      <c r="V195" s="2" t="s">
        <v>50</v>
      </c>
      <c r="W195" s="2">
        <v>8</v>
      </c>
      <c r="X195" s="2" t="s">
        <v>39</v>
      </c>
      <c r="Y195" s="2">
        <v>5</v>
      </c>
      <c r="Z195" s="2" t="s">
        <v>40</v>
      </c>
    </row>
    <row r="196" spans="1:26" x14ac:dyDescent="0.25">
      <c r="A196" s="2" t="s">
        <v>521</v>
      </c>
      <c r="B196" s="3">
        <v>46088</v>
      </c>
      <c r="C196" s="2" t="s">
        <v>522</v>
      </c>
      <c r="D196" s="2" t="s">
        <v>28</v>
      </c>
      <c r="E196" s="2" t="s">
        <v>29</v>
      </c>
      <c r="F196" s="2">
        <v>32</v>
      </c>
      <c r="G196" s="2" t="s">
        <v>55</v>
      </c>
      <c r="H196" s="2" t="s">
        <v>56</v>
      </c>
      <c r="I196" s="2" t="s">
        <v>57</v>
      </c>
      <c r="J196" s="2" t="s">
        <v>235</v>
      </c>
      <c r="K196" s="2">
        <v>1</v>
      </c>
      <c r="L196" s="4">
        <v>4000</v>
      </c>
      <c r="M196" s="5">
        <v>0</v>
      </c>
      <c r="N196" s="4">
        <v>0</v>
      </c>
      <c r="O196" s="4">
        <v>200</v>
      </c>
      <c r="P196" s="4">
        <v>0</v>
      </c>
      <c r="Q196" s="4">
        <v>4200</v>
      </c>
      <c r="R196" s="2" t="s">
        <v>72</v>
      </c>
      <c r="S196" s="2" t="s">
        <v>89</v>
      </c>
      <c r="T196" s="2" t="s">
        <v>73</v>
      </c>
      <c r="U196" s="2" t="s">
        <v>74</v>
      </c>
      <c r="V196" s="2" t="s">
        <v>50</v>
      </c>
      <c r="W196" s="2">
        <v>6</v>
      </c>
      <c r="X196" s="2" t="s">
        <v>39</v>
      </c>
      <c r="Y196" s="2">
        <v>5</v>
      </c>
      <c r="Z196" s="2" t="s">
        <v>40</v>
      </c>
    </row>
    <row r="197" spans="1:26" x14ac:dyDescent="0.25">
      <c r="A197" s="2" t="s">
        <v>523</v>
      </c>
      <c r="B197" s="3">
        <v>46080</v>
      </c>
      <c r="C197" s="2" t="s">
        <v>524</v>
      </c>
      <c r="D197" s="2" t="s">
        <v>169</v>
      </c>
      <c r="E197" s="2" t="s">
        <v>29</v>
      </c>
      <c r="F197" s="2">
        <v>44</v>
      </c>
      <c r="G197" s="2" t="s">
        <v>55</v>
      </c>
      <c r="H197" s="2" t="s">
        <v>56</v>
      </c>
      <c r="I197" s="2" t="s">
        <v>57</v>
      </c>
      <c r="J197" s="2" t="s">
        <v>58</v>
      </c>
      <c r="K197" s="2">
        <v>3</v>
      </c>
      <c r="L197" s="4">
        <v>4400</v>
      </c>
      <c r="M197" s="5">
        <v>0.2</v>
      </c>
      <c r="N197" s="4">
        <v>2640</v>
      </c>
      <c r="O197" s="4">
        <v>1267.2</v>
      </c>
      <c r="P197" s="4">
        <v>0</v>
      </c>
      <c r="Q197" s="4">
        <v>11827.2</v>
      </c>
      <c r="R197" s="2" t="s">
        <v>72</v>
      </c>
      <c r="S197" s="2" t="s">
        <v>89</v>
      </c>
      <c r="T197" s="2" t="s">
        <v>255</v>
      </c>
      <c r="U197" s="2" t="s">
        <v>256</v>
      </c>
      <c r="V197" s="2" t="s">
        <v>38</v>
      </c>
      <c r="W197" s="2">
        <v>1</v>
      </c>
      <c r="X197" s="2" t="s">
        <v>122</v>
      </c>
      <c r="Y197" s="2">
        <v>5</v>
      </c>
      <c r="Z197" s="2" t="s">
        <v>40</v>
      </c>
    </row>
    <row r="198" spans="1:26" x14ac:dyDescent="0.25">
      <c r="A198" s="2" t="s">
        <v>525</v>
      </c>
      <c r="B198" s="3">
        <v>46244</v>
      </c>
      <c r="C198" s="2" t="s">
        <v>526</v>
      </c>
      <c r="D198" s="2" t="s">
        <v>240</v>
      </c>
      <c r="E198" s="2" t="s">
        <v>44</v>
      </c>
      <c r="F198" s="2">
        <v>38</v>
      </c>
      <c r="G198" s="2" t="s">
        <v>142</v>
      </c>
      <c r="H198" s="2" t="s">
        <v>69</v>
      </c>
      <c r="I198" s="2" t="s">
        <v>143</v>
      </c>
      <c r="J198" s="2" t="s">
        <v>248</v>
      </c>
      <c r="K198" s="2">
        <v>1</v>
      </c>
      <c r="L198" s="4">
        <v>49700</v>
      </c>
      <c r="M198" s="5">
        <v>0.05</v>
      </c>
      <c r="N198" s="4">
        <v>2485</v>
      </c>
      <c r="O198" s="4">
        <v>5665.8</v>
      </c>
      <c r="P198" s="4">
        <v>150</v>
      </c>
      <c r="Q198" s="4">
        <v>53030.8</v>
      </c>
      <c r="R198" s="2" t="s">
        <v>48</v>
      </c>
      <c r="S198" s="2" t="s">
        <v>133</v>
      </c>
      <c r="T198" s="2" t="s">
        <v>80</v>
      </c>
      <c r="U198" s="2" t="s">
        <v>81</v>
      </c>
      <c r="V198" s="2" t="s">
        <v>82</v>
      </c>
      <c r="W198" s="2">
        <v>5</v>
      </c>
      <c r="X198" s="2" t="s">
        <v>39</v>
      </c>
      <c r="Y198" s="2">
        <v>0</v>
      </c>
      <c r="Z198" s="2" t="s">
        <v>91</v>
      </c>
    </row>
    <row r="199" spans="1:26" x14ac:dyDescent="0.25">
      <c r="A199" s="2" t="s">
        <v>527</v>
      </c>
      <c r="B199" s="3">
        <v>46174</v>
      </c>
      <c r="C199" s="2" t="s">
        <v>408</v>
      </c>
      <c r="D199" s="2" t="s">
        <v>114</v>
      </c>
      <c r="E199" s="2" t="s">
        <v>29</v>
      </c>
      <c r="F199" s="2">
        <v>64</v>
      </c>
      <c r="G199" s="2" t="s">
        <v>104</v>
      </c>
      <c r="H199" s="2" t="s">
        <v>105</v>
      </c>
      <c r="I199" s="2" t="s">
        <v>106</v>
      </c>
      <c r="J199" s="2" t="s">
        <v>181</v>
      </c>
      <c r="K199" s="2">
        <v>2</v>
      </c>
      <c r="L199" s="4">
        <v>5100</v>
      </c>
      <c r="M199" s="5">
        <v>0.15</v>
      </c>
      <c r="N199" s="4">
        <v>1530</v>
      </c>
      <c r="O199" s="4">
        <v>433.5</v>
      </c>
      <c r="P199" s="4">
        <v>50</v>
      </c>
      <c r="Q199" s="4">
        <v>9153.5</v>
      </c>
      <c r="R199" s="2" t="s">
        <v>72</v>
      </c>
      <c r="S199" s="2" t="s">
        <v>89</v>
      </c>
      <c r="T199" s="2" t="s">
        <v>255</v>
      </c>
      <c r="U199" s="2" t="s">
        <v>256</v>
      </c>
      <c r="V199" s="2" t="s">
        <v>38</v>
      </c>
      <c r="W199" s="2">
        <v>6</v>
      </c>
      <c r="X199" s="2" t="s">
        <v>39</v>
      </c>
      <c r="Y199" s="2">
        <v>3</v>
      </c>
      <c r="Z199" s="2" t="s">
        <v>40</v>
      </c>
    </row>
    <row r="200" spans="1:26" x14ac:dyDescent="0.25">
      <c r="A200" s="2" t="s">
        <v>528</v>
      </c>
      <c r="B200" s="3">
        <v>46240</v>
      </c>
      <c r="C200" s="2" t="s">
        <v>529</v>
      </c>
      <c r="D200" s="2" t="s">
        <v>240</v>
      </c>
      <c r="E200" s="2" t="s">
        <v>29</v>
      </c>
      <c r="F200" s="2">
        <v>31</v>
      </c>
      <c r="G200" s="2" t="s">
        <v>104</v>
      </c>
      <c r="H200" s="2" t="s">
        <v>105</v>
      </c>
      <c r="I200" s="2" t="s">
        <v>106</v>
      </c>
      <c r="J200" s="2" t="s">
        <v>181</v>
      </c>
      <c r="K200" s="2">
        <v>4</v>
      </c>
      <c r="L200" s="4">
        <v>17500</v>
      </c>
      <c r="M200" s="5">
        <v>0</v>
      </c>
      <c r="N200" s="4">
        <v>0</v>
      </c>
      <c r="O200" s="4">
        <v>3500</v>
      </c>
      <c r="P200" s="4">
        <v>200</v>
      </c>
      <c r="Q200" s="4">
        <v>73700</v>
      </c>
      <c r="R200" s="2" t="s">
        <v>88</v>
      </c>
      <c r="S200" s="2" t="s">
        <v>89</v>
      </c>
      <c r="T200" s="2" t="s">
        <v>61</v>
      </c>
      <c r="U200" s="2" t="s">
        <v>62</v>
      </c>
      <c r="V200" s="2" t="s">
        <v>63</v>
      </c>
      <c r="W200" s="2">
        <v>2</v>
      </c>
      <c r="X200" s="2" t="s">
        <v>39</v>
      </c>
      <c r="Y200" s="2">
        <v>5</v>
      </c>
      <c r="Z200" s="2" t="s">
        <v>40</v>
      </c>
    </row>
    <row r="201" spans="1:26" x14ac:dyDescent="0.25">
      <c r="A201" s="2" t="s">
        <v>530</v>
      </c>
      <c r="B201" s="3">
        <v>46272</v>
      </c>
      <c r="C201" s="2" t="s">
        <v>338</v>
      </c>
      <c r="D201" s="2" t="s">
        <v>67</v>
      </c>
      <c r="E201" s="2" t="s">
        <v>29</v>
      </c>
      <c r="F201" s="2">
        <v>50</v>
      </c>
      <c r="G201" s="2" t="s">
        <v>125</v>
      </c>
      <c r="H201" s="2" t="s">
        <v>69</v>
      </c>
      <c r="I201" s="2" t="s">
        <v>126</v>
      </c>
      <c r="J201" s="2" t="s">
        <v>71</v>
      </c>
      <c r="K201" s="2">
        <v>1</v>
      </c>
      <c r="L201" s="4">
        <v>8500</v>
      </c>
      <c r="M201" s="5">
        <v>0.2</v>
      </c>
      <c r="N201" s="4">
        <v>1700</v>
      </c>
      <c r="O201" s="4">
        <v>340</v>
      </c>
      <c r="P201" s="4">
        <v>100</v>
      </c>
      <c r="Q201" s="4">
        <v>7240</v>
      </c>
      <c r="R201" s="2" t="s">
        <v>48</v>
      </c>
      <c r="S201" s="2" t="s">
        <v>133</v>
      </c>
      <c r="T201" s="2" t="s">
        <v>120</v>
      </c>
      <c r="U201" s="2" t="s">
        <v>121</v>
      </c>
      <c r="V201" s="2" t="s">
        <v>38</v>
      </c>
      <c r="W201" s="2">
        <v>3</v>
      </c>
      <c r="X201" s="2" t="s">
        <v>39</v>
      </c>
      <c r="Y201" s="2">
        <v>4</v>
      </c>
      <c r="Z201" s="2" t="s">
        <v>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05F3-2866-42C6-AFF7-B8910601D6F0}">
  <dimension ref="A1"/>
  <sheetViews>
    <sheetView zoomScale="93" zoomScaleNormal="55" workbookViewId="0">
      <selection activeCell="O43" sqref="O4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Dashboard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Pagar</dc:creator>
  <cp:lastModifiedBy>Sahil Pagar</cp:lastModifiedBy>
  <cp:lastPrinted>2026-09-08T09:00:09Z</cp:lastPrinted>
  <dcterms:created xsi:type="dcterms:W3CDTF">2026-09-07T16:37:52Z</dcterms:created>
  <dcterms:modified xsi:type="dcterms:W3CDTF">2026-09-08T11:13:09Z</dcterms:modified>
</cp:coreProperties>
</file>