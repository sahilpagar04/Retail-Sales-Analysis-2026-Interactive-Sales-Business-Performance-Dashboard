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323EDB0B-B7ED-4DE8-A9CC-46EAA717724B}" xr6:coauthVersionLast="47" xr6:coauthVersionMax="47" xr10:uidLastSave="{00000000-0000-0000-0000-000000000000}"/>
  <bookViews>
    <workbookView xWindow="-120" yWindow="-120" windowWidth="29040" windowHeight="15720" activeTab="1" xr2:uid="{3FB55C3C-805D-4326-BD2F-D9BDA6A1AB01}"/>
  </bookViews>
  <sheets>
    <sheet name="Sheet4" sheetId="4" r:id="rId1"/>
    <sheet name="KPIs" sheetId="3" r:id="rId2"/>
    <sheet name="Dashboard Data" sheetId="1" r:id="rId3"/>
    <sheet name="Dashboard" sheetId="2" r:id="rId4"/>
  </sheets>
  <definedNames>
    <definedName name="_xlchart.v1.4" hidden="1">KPIs!$E$21:$E$32</definedName>
    <definedName name="_xlchart.v1.5" hidden="1">KPIs!$F$20</definedName>
    <definedName name="_xlchart.v1.6" hidden="1">KPIs!$F$21:$F$32</definedName>
    <definedName name="_xlchart.v1.7" hidden="1">KPIs!$E$21:$E$32</definedName>
    <definedName name="_xlchart.v1.8" hidden="1">KPIs!$F$20</definedName>
    <definedName name="_xlchart.v1.9" hidden="1">KPIs!$F$21:$F$32</definedName>
    <definedName name="_xlchart.v5.0" hidden="1">KPIs!$T$18</definedName>
    <definedName name="_xlchart.v5.1" hidden="1">KPIs!$T$19:$T$29</definedName>
    <definedName name="_xlchart.v5.10" hidden="1">KPIs!$T$18</definedName>
    <definedName name="_xlchart.v5.11" hidden="1">KPIs!$T$19:$T$29</definedName>
    <definedName name="_xlchart.v5.12" hidden="1">KPIs!$U$18</definedName>
    <definedName name="_xlchart.v5.13" hidden="1">KPIs!$U$19:$U$29</definedName>
    <definedName name="_xlchart.v5.2" hidden="1">KPIs!$U$18</definedName>
    <definedName name="_xlchart.v5.3" hidden="1">KPIs!$U$19:$U$29</definedName>
    <definedName name="_xlcn.WorksheetConnection_Sheet1A1Z2011" hidden="1">'Dashboard Data'!$A$1:$Z$201</definedName>
    <definedName name="ExternalData_1" localSheetId="0" hidden="1">Sheet4!$A$3:$AB$6</definedName>
    <definedName name="Slicer_Category">#N/A</definedName>
    <definedName name="Slicer_Gender">#N/A</definedName>
    <definedName name="Slicer_OrderChannel">#N/A</definedName>
    <definedName name="Slicer_region">#N/A</definedName>
    <definedName name="Timeline_Order_date">#N/A</definedName>
  </definedNames>
  <calcPr calcId="191029"/>
  <pivotCaches>
    <pivotCache cacheId="992" r:id="rId5"/>
    <pivotCache cacheId="995" r:id="rId6"/>
    <pivotCache cacheId="998" r:id="rId7"/>
    <pivotCache cacheId="1001" r:id="rId8"/>
    <pivotCache cacheId="1004" r:id="rId9"/>
    <pivotCache cacheId="1007" r:id="rId10"/>
    <pivotCache cacheId="1010" r:id="rId11"/>
    <pivotCache cacheId="1013" r:id="rId12"/>
    <pivotCache cacheId="1016" r:id="rId13"/>
    <pivotCache cacheId="101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Z$201"/>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 i="3" l="1"/>
  <c r="AC2" i="3"/>
  <c r="AA2" i="3"/>
  <c r="U20" i="3"/>
  <c r="U21" i="3"/>
  <c r="U22" i="3"/>
  <c r="U23" i="3"/>
  <c r="U24" i="3"/>
  <c r="U25" i="3"/>
  <c r="U26" i="3"/>
  <c r="U27" i="3"/>
  <c r="U28" i="3"/>
  <c r="U29" i="3"/>
  <c r="U30" i="3"/>
  <c r="T29" i="3"/>
  <c r="T20" i="3"/>
  <c r="T21" i="3"/>
  <c r="T22" i="3"/>
  <c r="T23" i="3"/>
  <c r="T24" i="3"/>
  <c r="T25" i="3"/>
  <c r="T26" i="3"/>
  <c r="T27" i="3"/>
  <c r="T28" i="3"/>
  <c r="T19" i="3"/>
  <c r="U19" i="3"/>
  <c r="E22" i="3"/>
  <c r="E23" i="3"/>
  <c r="E24" i="3"/>
  <c r="E25" i="3"/>
  <c r="E26" i="3"/>
  <c r="E27" i="3"/>
  <c r="E28" i="3"/>
  <c r="E29" i="3"/>
  <c r="E30" i="3"/>
  <c r="E31" i="3"/>
  <c r="E32" i="3"/>
  <c r="E21" i="3"/>
  <c r="F32" i="3"/>
  <c r="F22" i="3"/>
  <c r="F23" i="3"/>
  <c r="F24" i="3"/>
  <c r="F25" i="3"/>
  <c r="F26" i="3"/>
  <c r="F27" i="3"/>
  <c r="F28" i="3"/>
  <c r="F29" i="3"/>
  <c r="F30" i="3"/>
  <c r="F31" i="3"/>
  <c r="F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A2063-E07D-4DD3-839B-D92141186D5F}" keepAlive="1" name="ModelConnection_ExternalData_1" description="Data Model" type="5" refreshedVersion="8" minRefreshableVersion="5" saveData="1">
    <dbPr connection="Data Model Connection" command="DRILLTHROUGH MAXROWS 1000 SELECT FROM [Model] WHERE (([Range].[Category].[All],[Range].[Gender].[All],[Range].[OrderChannel].[All],[Range].[region].[All],[Measures].[Sum of TotalAmount],[Range].[Brand].&amp;[Dell])) RETURN [$Range].[Order_Id],[$Range].[Order_date],[$Range].[Customer_ID],[$Range].[CustomerName],[$Range].[Gender],[$Range].[Age],[$Range].[Product],[$Range].[Category],[$Range].[Subcategory],[$Range].[Brand],[$Range].[Quantity],[$Range].[UnitPrice],[$Range].[Discount],[$Range].[DiscountAmount],[$Range].[Tax],[$Range].[shippingCost],[$Range].[TotalAmount],[$Range].[PaymentMethod],[$Range].[OrderChannel],[$Range].[City],[$Range].[State],[$Range].[region],[$Range].[DeliveryDays],[$Range].[ReturnStatus],[$Range].[Rating],[$Range].[Status],[$Range].[Order_date (Month)],[$Range].[Order_date (Month Index)]" commandType="4"/>
    <extLst>
      <ext xmlns:x15="http://schemas.microsoft.com/office/spreadsheetml/2010/11/main" uri="{DE250136-89BD-433C-8126-D09CA5730AF9}">
        <x15:connection id="" model="1"/>
      </ext>
    </extLst>
  </connection>
  <connection id="2" xr16:uid="{4E426FA7-41A9-4521-8AB4-C7FA0453E8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081FACB-35FC-40CD-9874-0CEF936CB15D}" name="WorksheetConnection_Sheet1!$A$1:$Z$201" type="102" refreshedVersion="8" minRefreshableVersion="5">
    <extLst>
      <ext xmlns:x15="http://schemas.microsoft.com/office/spreadsheetml/2010/11/main" uri="{DE250136-89BD-433C-8126-D09CA5730AF9}">
        <x15:connection id="Range" autoDelete="1">
          <x15:rangePr sourceName="_xlcn.WorksheetConnection_Sheet1A1Z2011"/>
        </x15:connection>
      </ext>
    </extLst>
  </connection>
</connections>
</file>

<file path=xl/sharedStrings.xml><?xml version="1.0" encoding="utf-8"?>
<sst xmlns="http://schemas.openxmlformats.org/spreadsheetml/2006/main" count="3206" uniqueCount="574">
  <si>
    <t>Order_Id</t>
  </si>
  <si>
    <t>Order_date</t>
  </si>
  <si>
    <t>Customer_ID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</si>
  <si>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</si>
  <si>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</si>
  <si>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</si>
  <si>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</si>
  <si>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</si>
  <si>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</si>
  <si>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</si>
  <si>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</si>
  <si>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</si>
  <si>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</si>
  <si>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</si>
  <si>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</si>
  <si>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</si>
  <si>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</si>
  <si>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</si>
  <si>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</si>
  <si>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</si>
  <si>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</si>
  <si>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</si>
  <si>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</si>
  <si>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</si>
  <si>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</si>
  <si>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</si>
  <si>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</si>
  <si>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CUST323</t>
  </si>
  <si>
    <t>Sneha Joshi</t>
  </si>
  <si>
    <t>Male</t>
  </si>
  <si>
    <t>T-Shirt</t>
  </si>
  <si>
    <t>Fashion</t>
  </si>
  <si>
    <t>Clothing</t>
  </si>
  <si>
    <t>Puma</t>
  </si>
  <si>
    <t>Credit Card</t>
  </si>
  <si>
    <t>Website</t>
  </si>
  <si>
    <t>Kochi</t>
  </si>
  <si>
    <t>Kerala</t>
  </si>
  <si>
    <t>South</t>
  </si>
  <si>
    <t>Not Returned</t>
  </si>
  <si>
    <t>Delivered</t>
  </si>
  <si>
    <t>ORD00002</t>
  </si>
  <si>
    <t>CUST194</t>
  </si>
  <si>
    <t>Vivek Pawar</t>
  </si>
  <si>
    <t>Female</t>
  </si>
  <si>
    <t>Backpack</t>
  </si>
  <si>
    <t>Bags</t>
  </si>
  <si>
    <t>American Tourister</t>
  </si>
  <si>
    <t>Cash on Delivery</t>
  </si>
  <si>
    <t>Delhi</t>
  </si>
  <si>
    <t>North</t>
  </si>
  <si>
    <t>Exchange</t>
  </si>
  <si>
    <t>ORD00003</t>
  </si>
  <si>
    <t>CUST470</t>
  </si>
  <si>
    <t>Isha Verma</t>
  </si>
  <si>
    <t>Air Fryer</t>
  </si>
  <si>
    <t>Home Appliances</t>
  </si>
  <si>
    <t>Kitchen Appliances</t>
  </si>
  <si>
    <t>Prestige</t>
  </si>
  <si>
    <t>Net Banking</t>
  </si>
  <si>
    <t>Mobile App</t>
  </si>
  <si>
    <t>Aurangabad</t>
  </si>
  <si>
    <t>Maharashtra</t>
  </si>
  <si>
    <t>West</t>
  </si>
  <si>
    <t>Processing</t>
  </si>
  <si>
    <t>ORD00004</t>
  </si>
  <si>
    <t>CUST818</t>
  </si>
  <si>
    <t>Rahul Deshmukh</t>
  </si>
  <si>
    <t>Smartwatch</t>
  </si>
  <si>
    <t>Electronics</t>
  </si>
  <si>
    <t>Wearables</t>
  </si>
  <si>
    <t>Noise</t>
  </si>
  <si>
    <t>UPI</t>
  </si>
  <si>
    <t>Lucknow</t>
  </si>
  <si>
    <t>Uttar Pradesh</t>
  </si>
  <si>
    <t>ORD00005</t>
  </si>
  <si>
    <t>CUST374</t>
  </si>
  <si>
    <t>Neha More</t>
  </si>
  <si>
    <t>Shoes</t>
  </si>
  <si>
    <t>Footwear</t>
  </si>
  <si>
    <t>Kolkata</t>
  </si>
  <si>
    <t>West Bengal</t>
  </si>
  <si>
    <t>East</t>
  </si>
  <si>
    <t>ORD00006</t>
  </si>
  <si>
    <t>CUST651</t>
  </si>
  <si>
    <t>Omkar Sawant</t>
  </si>
  <si>
    <t>Mixer Grinder</t>
  </si>
  <si>
    <t>Bajaj</t>
  </si>
  <si>
    <t>Debit Card</t>
  </si>
  <si>
    <t>Store</t>
  </si>
  <si>
    <t>Nashik</t>
  </si>
  <si>
    <t>Shipped</t>
  </si>
  <si>
    <t>ORD00007</t>
  </si>
  <si>
    <t>CUST165</t>
  </si>
  <si>
    <t>Samsung</t>
  </si>
  <si>
    <t>Pune</t>
  </si>
  <si>
    <t>ORD00008</t>
  </si>
  <si>
    <t>CUST996</t>
  </si>
  <si>
    <t>Siddharth Rao</t>
  </si>
  <si>
    <t>Laptop</t>
  </si>
  <si>
    <t>Computers</t>
  </si>
  <si>
    <t>Dell</t>
  </si>
  <si>
    <t>ORD00009</t>
  </si>
  <si>
    <t>CUST713</t>
  </si>
  <si>
    <t>Office Chair</t>
  </si>
  <si>
    <t>Furniture</t>
  </si>
  <si>
    <t>Chairs</t>
  </si>
  <si>
    <t>Cello</t>
  </si>
  <si>
    <t>ORD00010</t>
  </si>
  <si>
    <t>CUST884</t>
  </si>
  <si>
    <t>Apple</t>
  </si>
  <si>
    <t>Cancelled</t>
  </si>
  <si>
    <t>ORD00011</t>
  </si>
  <si>
    <t>CUST629</t>
  </si>
  <si>
    <t>Meera Nair</t>
  </si>
  <si>
    <t>Nagpur</t>
  </si>
  <si>
    <t>Central</t>
  </si>
  <si>
    <t>ORD00012</t>
  </si>
  <si>
    <t>CUST172</t>
  </si>
  <si>
    <t>HP</t>
  </si>
  <si>
    <t>Hyderabad</t>
  </si>
  <si>
    <t>Telangana</t>
  </si>
  <si>
    <t>Returned</t>
  </si>
  <si>
    <t>ORD00013</t>
  </si>
  <si>
    <t>CUST462</t>
  </si>
  <si>
    <t>Headphones</t>
  </si>
  <si>
    <t>Audio</t>
  </si>
  <si>
    <t>ORD00014</t>
  </si>
  <si>
    <t>CUST177</t>
  </si>
  <si>
    <t>Priya Patil</t>
  </si>
  <si>
    <t>ORD00015</t>
  </si>
  <si>
    <t>CUST902</t>
  </si>
  <si>
    <t>Tanvi Desai</t>
  </si>
  <si>
    <t>Marketplace</t>
  </si>
  <si>
    <t>Jaipur</t>
  </si>
  <si>
    <t>Rajasthan</t>
  </si>
  <si>
    <t>ORD00016</t>
  </si>
  <si>
    <t>CUST973</t>
  </si>
  <si>
    <t>Mumbai</t>
  </si>
  <si>
    <t>ORD00017</t>
  </si>
  <si>
    <t>CUST678</t>
  </si>
  <si>
    <t>Yash Thakur</t>
  </si>
  <si>
    <t>Smartphone</t>
  </si>
  <si>
    <t>Mobiles</t>
  </si>
  <si>
    <t>Chennai</t>
  </si>
  <si>
    <t>Tamil Nadu</t>
  </si>
  <si>
    <t>ORD00018</t>
  </si>
  <si>
    <t>CUST109</t>
  </si>
  <si>
    <t>Aditya Shinde</t>
  </si>
  <si>
    <t>ORD00019</t>
  </si>
  <si>
    <t>CUST820</t>
  </si>
  <si>
    <t>ORD00020</t>
  </si>
  <si>
    <t>CUST803</t>
  </si>
  <si>
    <t>ORD00021</t>
  </si>
  <si>
    <t>CUST664</t>
  </si>
  <si>
    <t>ORD00022</t>
  </si>
  <si>
    <t>CUST140</t>
  </si>
  <si>
    <t>Lenovo</t>
  </si>
  <si>
    <t>ORD00023</t>
  </si>
  <si>
    <t>CUST125</t>
  </si>
  <si>
    <t>Wakefit</t>
  </si>
  <si>
    <t>ORD00024</t>
  </si>
  <si>
    <t>CUST328</t>
  </si>
  <si>
    <t>Riya Khan</t>
  </si>
  <si>
    <t>Sony</t>
  </si>
  <si>
    <t>Bhubaneswar</t>
  </si>
  <si>
    <t>Odisha</t>
  </si>
  <si>
    <t>ORD00025</t>
  </si>
  <si>
    <t>CUST367</t>
  </si>
  <si>
    <t>Kunal Gupta</t>
  </si>
  <si>
    <t>Adidas</t>
  </si>
  <si>
    <t>ORD00026</t>
  </si>
  <si>
    <t>CUST632</t>
  </si>
  <si>
    <t>Guwahati</t>
  </si>
  <si>
    <t>Assam</t>
  </si>
  <si>
    <t>ORD00027</t>
  </si>
  <si>
    <t>CUST530</t>
  </si>
  <si>
    <t>Jeans</t>
  </si>
  <si>
    <t>Pepe Jeans</t>
  </si>
  <si>
    <t>ORD00028</t>
  </si>
  <si>
    <t>CUST576</t>
  </si>
  <si>
    <t>Green Soul</t>
  </si>
  <si>
    <t>ORD00029</t>
  </si>
  <si>
    <t>CUST869</t>
  </si>
  <si>
    <t>ORD00030</t>
  </si>
  <si>
    <t>CUST349</t>
  </si>
  <si>
    <t>ORD00031</t>
  </si>
  <si>
    <t>CUST672</t>
  </si>
  <si>
    <t>ORD00032</t>
  </si>
  <si>
    <t>CUST633</t>
  </si>
  <si>
    <t>Wildcraft</t>
  </si>
  <si>
    <t>ORD00033</t>
  </si>
  <si>
    <t>ORD00034</t>
  </si>
  <si>
    <t>CUST871</t>
  </si>
  <si>
    <t>ORD00035</t>
  </si>
  <si>
    <t>CUST960</t>
  </si>
  <si>
    <t>ORD00036</t>
  </si>
  <si>
    <t>CUST565</t>
  </si>
  <si>
    <t>Table</t>
  </si>
  <si>
    <t>Tables</t>
  </si>
  <si>
    <t>Nilkamal</t>
  </si>
  <si>
    <t>ORD00037</t>
  </si>
  <si>
    <t>CUST899</t>
  </si>
  <si>
    <t>Akash Chavan</t>
  </si>
  <si>
    <t>Nike</t>
  </si>
  <si>
    <t>ORD00038</t>
  </si>
  <si>
    <t>CUST720</t>
  </si>
  <si>
    <t>Ikea</t>
  </si>
  <si>
    <t>ORD00039</t>
  </si>
  <si>
    <t>CUST204</t>
  </si>
  <si>
    <t>Ananya Singh</t>
  </si>
  <si>
    <t>ORD00040</t>
  </si>
  <si>
    <t>CUST208</t>
  </si>
  <si>
    <t>ORD00041</t>
  </si>
  <si>
    <t>CUST188</t>
  </si>
  <si>
    <t>JBL</t>
  </si>
  <si>
    <t>ORD00042</t>
  </si>
  <si>
    <t>CUST382</t>
  </si>
  <si>
    <t>Acer</t>
  </si>
  <si>
    <t>ORD00043</t>
  </si>
  <si>
    <t>CUST514</t>
  </si>
  <si>
    <t>ORD00044</t>
  </si>
  <si>
    <t>CUST297</t>
  </si>
  <si>
    <t>ORD00045</t>
  </si>
  <si>
    <t>CUST825</t>
  </si>
  <si>
    <t>Fire-Boltt</t>
  </si>
  <si>
    <t>ORD00046</t>
  </si>
  <si>
    <t>CUST982</t>
  </si>
  <si>
    <t>ORD00047</t>
  </si>
  <si>
    <t>CUST733</t>
  </si>
  <si>
    <t>ORD00048</t>
  </si>
  <si>
    <t>CUST345</t>
  </si>
  <si>
    <t>ORD00049</t>
  </si>
  <si>
    <t>CUST564</t>
  </si>
  <si>
    <t>Aarav Sharma</t>
  </si>
  <si>
    <t>Agaro</t>
  </si>
  <si>
    <t>ORD00050</t>
  </si>
  <si>
    <t>CUST549</t>
  </si>
  <si>
    <t>ORD00051</t>
  </si>
  <si>
    <t>CUST718</t>
  </si>
  <si>
    <t>Pooja Jadhav</t>
  </si>
  <si>
    <t>ORD00052</t>
  </si>
  <si>
    <t>CUST603</t>
  </si>
  <si>
    <t>ORD00053</t>
  </si>
  <si>
    <t>CUST663</t>
  </si>
  <si>
    <t>Philips</t>
  </si>
  <si>
    <t>ORD00054</t>
  </si>
  <si>
    <t>CUST740</t>
  </si>
  <si>
    <t>Vivo</t>
  </si>
  <si>
    <t>ORD00055</t>
  </si>
  <si>
    <t>CUST418</t>
  </si>
  <si>
    <t>ORD00056</t>
  </si>
  <si>
    <t>CUST525</t>
  </si>
  <si>
    <t>ORD00057</t>
  </si>
  <si>
    <t>CUST389</t>
  </si>
  <si>
    <t>Bengaluru</t>
  </si>
  <si>
    <t>Karnataka</t>
  </si>
  <si>
    <t>ORD00058</t>
  </si>
  <si>
    <t>CUST814</t>
  </si>
  <si>
    <t>Rohan Kulkarni</t>
  </si>
  <si>
    <t>Skybags</t>
  </si>
  <si>
    <t>ORD00059</t>
  </si>
  <si>
    <t>CUST202</t>
  </si>
  <si>
    <t>ORD00060</t>
  </si>
  <si>
    <t>CUST979</t>
  </si>
  <si>
    <t>ORD00061</t>
  </si>
  <si>
    <t>CUST993</t>
  </si>
  <si>
    <t>ORD00062</t>
  </si>
  <si>
    <t>CUST279</t>
  </si>
  <si>
    <t>Levis</t>
  </si>
  <si>
    <t>ORD00063</t>
  </si>
  <si>
    <t>Boat</t>
  </si>
  <si>
    <t>ORD00064</t>
  </si>
  <si>
    <t>CUST402</t>
  </si>
  <si>
    <t>ORD00065</t>
  </si>
  <si>
    <t>CUST335</t>
  </si>
  <si>
    <t>ORD00066</t>
  </si>
  <si>
    <t>CUST134</t>
  </si>
  <si>
    <t>ORD00067</t>
  </si>
  <si>
    <t>CUST950</t>
  </si>
  <si>
    <t>Lee</t>
  </si>
  <si>
    <t>ORD00068</t>
  </si>
  <si>
    <t>CUST474</t>
  </si>
  <si>
    <t>ORD00069</t>
  </si>
  <si>
    <t>CUST435</t>
  </si>
  <si>
    <t>ORD00070</t>
  </si>
  <si>
    <t>ORD00071</t>
  </si>
  <si>
    <t>CUST201</t>
  </si>
  <si>
    <t>ORD00072</t>
  </si>
  <si>
    <t>CUST905</t>
  </si>
  <si>
    <t>ORD00073</t>
  </si>
  <si>
    <t>CUST356</t>
  </si>
  <si>
    <t>ORD00074</t>
  </si>
  <si>
    <t>CUST638</t>
  </si>
  <si>
    <t>Wrangler</t>
  </si>
  <si>
    <t>ORD00075</t>
  </si>
  <si>
    <t>CUST590</t>
  </si>
  <si>
    <t>ORD00076</t>
  </si>
  <si>
    <t>CUST490</t>
  </si>
  <si>
    <t>ORD00077</t>
  </si>
  <si>
    <t>CUST508</t>
  </si>
  <si>
    <t>ORD00078</t>
  </si>
  <si>
    <t>CUST931</t>
  </si>
  <si>
    <t>ORD00079</t>
  </si>
  <si>
    <t>CUST772</t>
  </si>
  <si>
    <t>ORD00080</t>
  </si>
  <si>
    <t>CUST773</t>
  </si>
  <si>
    <t>ORD00081</t>
  </si>
  <si>
    <t>CUST131</t>
  </si>
  <si>
    <t>ORD00082</t>
  </si>
  <si>
    <t>CUST183</t>
  </si>
  <si>
    <t>ORD00083</t>
  </si>
  <si>
    <t>CUST783</t>
  </si>
  <si>
    <t>ORD00084</t>
  </si>
  <si>
    <t>CUST645</t>
  </si>
  <si>
    <t>ORD00085</t>
  </si>
  <si>
    <t>CUST527</t>
  </si>
  <si>
    <t>ORD00086</t>
  </si>
  <si>
    <t>CUST863</t>
  </si>
  <si>
    <t>ORD00087</t>
  </si>
  <si>
    <t>CUST716</t>
  </si>
  <si>
    <t>ORD00088</t>
  </si>
  <si>
    <t>CUST410</t>
  </si>
  <si>
    <t>ORD00089</t>
  </si>
  <si>
    <t>CUST667</t>
  </si>
  <si>
    <t>ORD00090</t>
  </si>
  <si>
    <t>CUST616</t>
  </si>
  <si>
    <t>ORD00091</t>
  </si>
  <si>
    <t>CUST153</t>
  </si>
  <si>
    <t>ORD00092</t>
  </si>
  <si>
    <t>CUST232</t>
  </si>
  <si>
    <t>ORD00093</t>
  </si>
  <si>
    <t>CUST449</t>
  </si>
  <si>
    <t>ORD00094</t>
  </si>
  <si>
    <t>CUST732</t>
  </si>
  <si>
    <t>ORD00095</t>
  </si>
  <si>
    <t>CUST391</t>
  </si>
  <si>
    <t>ORD00096</t>
  </si>
  <si>
    <t>CUST920</t>
  </si>
  <si>
    <t>ORD00097</t>
  </si>
  <si>
    <t>CUST625</t>
  </si>
  <si>
    <t>ORD00098</t>
  </si>
  <si>
    <t>CUST959</t>
  </si>
  <si>
    <t>ORD00099</t>
  </si>
  <si>
    <t>CUST723</t>
  </si>
  <si>
    <t>ORD00100</t>
  </si>
  <si>
    <t>CUST611</t>
  </si>
  <si>
    <t>ORD00101</t>
  </si>
  <si>
    <t>CUST469</t>
  </si>
  <si>
    <t>ORD00102</t>
  </si>
  <si>
    <t>CUST852</t>
  </si>
  <si>
    <t>ORD00103</t>
  </si>
  <si>
    <t>CUST142</t>
  </si>
  <si>
    <t>ORD00104</t>
  </si>
  <si>
    <t>CUST547</t>
  </si>
  <si>
    <t>ORD00105</t>
  </si>
  <si>
    <t>CUST658</t>
  </si>
  <si>
    <t>ORD00106</t>
  </si>
  <si>
    <t>CUST461</t>
  </si>
  <si>
    <t>ORD00107</t>
  </si>
  <si>
    <t>CUST794</t>
  </si>
  <si>
    <t>ORD00108</t>
  </si>
  <si>
    <t>CUST642</t>
  </si>
  <si>
    <t>ORD00109</t>
  </si>
  <si>
    <t>CUST319</t>
  </si>
  <si>
    <t>ORD00110</t>
  </si>
  <si>
    <t>CUST826</t>
  </si>
  <si>
    <t>ORD00111</t>
  </si>
  <si>
    <t>CUST686</t>
  </si>
  <si>
    <t>ORD00112</t>
  </si>
  <si>
    <t>CUST943</t>
  </si>
  <si>
    <t>ORD00113</t>
  </si>
  <si>
    <t>ORD00114</t>
  </si>
  <si>
    <t>ORD00115</t>
  </si>
  <si>
    <t>CUST984</t>
  </si>
  <si>
    <t>ORD00116</t>
  </si>
  <si>
    <t>CUST926</t>
  </si>
  <si>
    <t>ORD00117</t>
  </si>
  <si>
    <t>CUST426</t>
  </si>
  <si>
    <t>ORD00118</t>
  </si>
  <si>
    <t>CUST354</t>
  </si>
  <si>
    <t>ORD00119</t>
  </si>
  <si>
    <t>CUST617</t>
  </si>
  <si>
    <t>ORD00120</t>
  </si>
  <si>
    <t>CUST370</t>
  </si>
  <si>
    <t>ORD00121</t>
  </si>
  <si>
    <t>CUST738</t>
  </si>
  <si>
    <t>ORD00122</t>
  </si>
  <si>
    <t>CUST585</t>
  </si>
  <si>
    <t>ORD00123</t>
  </si>
  <si>
    <t>Kavya Shah</t>
  </si>
  <si>
    <t>ORD00124</t>
  </si>
  <si>
    <t>CUST894</t>
  </si>
  <si>
    <t>ORD00125</t>
  </si>
  <si>
    <t>CUST212</t>
  </si>
  <si>
    <t>ORD00126</t>
  </si>
  <si>
    <t>CUST631</t>
  </si>
  <si>
    <t>ORD00127</t>
  </si>
  <si>
    <t>CUST671</t>
  </si>
  <si>
    <t>ORD00128</t>
  </si>
  <si>
    <t>CUST504</t>
  </si>
  <si>
    <t>ORD00129</t>
  </si>
  <si>
    <t>CUST377</t>
  </si>
  <si>
    <t>OnePlus</t>
  </si>
  <si>
    <t>ORD00130</t>
  </si>
  <si>
    <t>ORD00131</t>
  </si>
  <si>
    <t>CUST138</t>
  </si>
  <si>
    <t>ORD00132</t>
  </si>
  <si>
    <t>CUST443</t>
  </si>
  <si>
    <t>ORD00133</t>
  </si>
  <si>
    <t>CUST445</t>
  </si>
  <si>
    <t>ORD00134</t>
  </si>
  <si>
    <t>CUST341</t>
  </si>
  <si>
    <t>ORD00135</t>
  </si>
  <si>
    <t>ORD00136</t>
  </si>
  <si>
    <t>ORD00137</t>
  </si>
  <si>
    <t>CUST214</t>
  </si>
  <si>
    <t>ORD00138</t>
  </si>
  <si>
    <t>ORD00139</t>
  </si>
  <si>
    <t>CUST161</t>
  </si>
  <si>
    <t>ORD00140</t>
  </si>
  <si>
    <t>CUST650</t>
  </si>
  <si>
    <t>ORD00141</t>
  </si>
  <si>
    <t>ORD00142</t>
  </si>
  <si>
    <t>CUST652</t>
  </si>
  <si>
    <t>ORD00143</t>
  </si>
  <si>
    <t>CUST326</t>
  </si>
  <si>
    <t>ORD00144</t>
  </si>
  <si>
    <t>ORD00145</t>
  </si>
  <si>
    <t>CUST675</t>
  </si>
  <si>
    <t>ORD00146</t>
  </si>
  <si>
    <t>ORD00147</t>
  </si>
  <si>
    <t>CUST294</t>
  </si>
  <si>
    <t>ORD00148</t>
  </si>
  <si>
    <t>CUST200</t>
  </si>
  <si>
    <t>ORD00149</t>
  </si>
  <si>
    <t>CUST693</t>
  </si>
  <si>
    <t>ORD00150</t>
  </si>
  <si>
    <t>CUST243</t>
  </si>
  <si>
    <t>ORD00151</t>
  </si>
  <si>
    <t>CUST566</t>
  </si>
  <si>
    <t>ORD00152</t>
  </si>
  <si>
    <t>CUST648</t>
  </si>
  <si>
    <t>ORD00153</t>
  </si>
  <si>
    <t>CUST515</t>
  </si>
  <si>
    <t>ORD00154</t>
  </si>
  <si>
    <t>CUST965</t>
  </si>
  <si>
    <t>ORD00155</t>
  </si>
  <si>
    <t>CUST422</t>
  </si>
  <si>
    <t>ORD00156</t>
  </si>
  <si>
    <t>CUST805</t>
  </si>
  <si>
    <t>ORD00157</t>
  </si>
  <si>
    <t>CUST333</t>
  </si>
  <si>
    <t>ORD00158</t>
  </si>
  <si>
    <t>CUST749</t>
  </si>
  <si>
    <t>ORD00159</t>
  </si>
  <si>
    <t>CUST205</t>
  </si>
  <si>
    <t>ORD00160</t>
  </si>
  <si>
    <t>ORD00161</t>
  </si>
  <si>
    <t>CUST357</t>
  </si>
  <si>
    <t>ORD00162</t>
  </si>
  <si>
    <t>CUST437</t>
  </si>
  <si>
    <t>ORD00163</t>
  </si>
  <si>
    <t>CUST433</t>
  </si>
  <si>
    <t>ORD00164</t>
  </si>
  <si>
    <t>ORD00165</t>
  </si>
  <si>
    <t>CUST908</t>
  </si>
  <si>
    <t>ORD00166</t>
  </si>
  <si>
    <t>Skechers</t>
  </si>
  <si>
    <t>ORD00167</t>
  </si>
  <si>
    <t>CUST694</t>
  </si>
  <si>
    <t>ORD00168</t>
  </si>
  <si>
    <t>CUST847</t>
  </si>
  <si>
    <t>ORD00169</t>
  </si>
  <si>
    <t>CUST217</t>
  </si>
  <si>
    <t>ORD00170</t>
  </si>
  <si>
    <t>CUST744</t>
  </si>
  <si>
    <t>ORD00171</t>
  </si>
  <si>
    <t>CUST164</t>
  </si>
  <si>
    <t>ORD00172</t>
  </si>
  <si>
    <t>CUST711</t>
  </si>
  <si>
    <t>ORD00173</t>
  </si>
  <si>
    <t>CUST482</t>
  </si>
  <si>
    <t>ORD00174</t>
  </si>
  <si>
    <t>ORD00175</t>
  </si>
  <si>
    <t>CUST184</t>
  </si>
  <si>
    <t>ORD00176</t>
  </si>
  <si>
    <t>CUST893</t>
  </si>
  <si>
    <t>ORD00177</t>
  </si>
  <si>
    <t>CUST189</t>
  </si>
  <si>
    <t>ORD00178</t>
  </si>
  <si>
    <t>CUST160</t>
  </si>
  <si>
    <t>ORD00179</t>
  </si>
  <si>
    <t>ORD00180</t>
  </si>
  <si>
    <t>CUST913</t>
  </si>
  <si>
    <t>ORD00181</t>
  </si>
  <si>
    <t>CUST914</t>
  </si>
  <si>
    <t>ORD00182</t>
  </si>
  <si>
    <t>CUST798</t>
  </si>
  <si>
    <t>ORD00183</t>
  </si>
  <si>
    <t>CUST409</t>
  </si>
  <si>
    <t>ORD00184</t>
  </si>
  <si>
    <t>CUST318</t>
  </si>
  <si>
    <t>ORD00185</t>
  </si>
  <si>
    <t>CUST589</t>
  </si>
  <si>
    <t>ORD00186</t>
  </si>
  <si>
    <t>CUST268</t>
  </si>
  <si>
    <t>ORD00187</t>
  </si>
  <si>
    <t>ORD00188</t>
  </si>
  <si>
    <t>CUST501</t>
  </si>
  <si>
    <t>ORD00189</t>
  </si>
  <si>
    <t>CUST235</t>
  </si>
  <si>
    <t>ORD00190</t>
  </si>
  <si>
    <t>CUST507</t>
  </si>
  <si>
    <t>ORD00191</t>
  </si>
  <si>
    <t>CUST927</t>
  </si>
  <si>
    <t>ORD00192</t>
  </si>
  <si>
    <t>ORD00193</t>
  </si>
  <si>
    <t>CUST994</t>
  </si>
  <si>
    <t>ORD00194</t>
  </si>
  <si>
    <t>CUST270</t>
  </si>
  <si>
    <t>ORD00195</t>
  </si>
  <si>
    <t>CUST978</t>
  </si>
  <si>
    <t>ORD00196</t>
  </si>
  <si>
    <t>CUST510</t>
  </si>
  <si>
    <t>ORD00197</t>
  </si>
  <si>
    <t>CUST348</t>
  </si>
  <si>
    <t>ORD00198</t>
  </si>
  <si>
    <t>ORD00199</t>
  </si>
  <si>
    <t>CUST522</t>
  </si>
  <si>
    <t>ORD00200</t>
  </si>
  <si>
    <t>Row Labels</t>
  </si>
  <si>
    <t>Grand Total</t>
  </si>
  <si>
    <t>Jan</t>
  </si>
  <si>
    <t>Feb</t>
  </si>
  <si>
    <t>Mar</t>
  </si>
  <si>
    <t>Apr</t>
  </si>
  <si>
    <t>May</t>
  </si>
  <si>
    <t>Jun</t>
  </si>
  <si>
    <t>Jul</t>
  </si>
  <si>
    <t>Aug</t>
  </si>
  <si>
    <t>Sep</t>
  </si>
  <si>
    <t>Sum of TotalAmount</t>
  </si>
  <si>
    <t>Average of DeliveryDays</t>
  </si>
  <si>
    <t>Average of Rating</t>
  </si>
  <si>
    <t>Range[Order_Id]</t>
  </si>
  <si>
    <t>Range[Order_date]</t>
  </si>
  <si>
    <t>Range[Customer_ID]</t>
  </si>
  <si>
    <t>Range[CustomerName]</t>
  </si>
  <si>
    <t>Range[Gender]</t>
  </si>
  <si>
    <t>Range[Age]</t>
  </si>
  <si>
    <t>Range[Product]</t>
  </si>
  <si>
    <t>Range[Category]</t>
  </si>
  <si>
    <t>Range[Subcategory]</t>
  </si>
  <si>
    <t>Range[Brand]</t>
  </si>
  <si>
    <t>Range[Quantity]</t>
  </si>
  <si>
    <t>Range[UnitPrice]</t>
  </si>
  <si>
    <t>Range[Discount]</t>
  </si>
  <si>
    <t>Range[DiscountAmount]</t>
  </si>
  <si>
    <t>Range[Tax]</t>
  </si>
  <si>
    <t>Range[shippingCost]</t>
  </si>
  <si>
    <t>Range[TotalAmount]</t>
  </si>
  <si>
    <t>Range[PaymentMethod]</t>
  </si>
  <si>
    <t>Range[OrderChannel]</t>
  </si>
  <si>
    <t>Range[City]</t>
  </si>
  <si>
    <t>Range[State]</t>
  </si>
  <si>
    <t>Range[region]</t>
  </si>
  <si>
    <t>Range[DeliveryDays]</t>
  </si>
  <si>
    <t>Range[ReturnStatus]</t>
  </si>
  <si>
    <t>Range[Rating]</t>
  </si>
  <si>
    <t>Range[Status]</t>
  </si>
  <si>
    <t>Range[Order_date (Month)]</t>
  </si>
  <si>
    <t>Range[Order_date (Month Index)]</t>
  </si>
  <si>
    <t>Data returned for Sum of TotalAmount, Dell,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</si>
</sst>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3" fillId="0" borderId="1" xfId="0" applyFont="1" applyBorder="1" applyAlignment="1">
      <alignment horizontal="center" vertical="top"/>
    </xf>
    <xf numFmtId="0" fontId="0" fillId="0" borderId="1" xfId="0" applyBorder="1"/>
    <xf numFmtId="15" fontId="0" fillId="0" borderId="1" xfId="0" applyNumberFormat="1" applyBorder="1"/>
    <xf numFmtId="4" fontId="0" fillId="0" borderId="1" xfId="0" applyNumberFormat="1" applyBorder="1"/>
    <xf numFmtId="9" fontId="0" fillId="0" borderId="1" xfId="0" applyNumberFormat="1" applyBorder="1"/>
    <xf numFmtId="0" fontId="0" fillId="0" borderId="0" xfId="0" pivotButton="1"/>
    <xf numFmtId="0" fontId="0" fillId="0" borderId="0" xfId="0" applyAlignment="1">
      <alignment horizontal="left"/>
    </xf>
    <xf numFmtId="0" fontId="2" fillId="2" borderId="2" xfId="0" applyFont="1" applyFill="1" applyBorder="1"/>
    <xf numFmtId="1" fontId="0" fillId="0" borderId="0" xfId="0" applyNumberFormat="1"/>
    <xf numFmtId="10" fontId="0" fillId="0" borderId="0" xfId="0" applyNumberFormat="1"/>
    <xf numFmtId="2" fontId="0" fillId="0" borderId="0" xfId="0" applyNumberFormat="1"/>
    <xf numFmtId="14" fontId="0" fillId="0" borderId="0" xfId="0" applyNumberFormat="1"/>
    <xf numFmtId="0" fontId="2" fillId="0" borderId="0" xfId="0" applyFont="1"/>
    <xf numFmtId="9" fontId="0" fillId="0" borderId="0" xfId="2" applyFont="1"/>
    <xf numFmtId="164" fontId="0" fillId="0" borderId="0" xfId="1" applyNumberFormat="1" applyFont="1"/>
    <xf numFmtId="164" fontId="0" fillId="0" borderId="0" xfId="0" applyNumberFormat="1"/>
  </cellXfs>
  <cellStyles count="3">
    <cellStyle name="Comma" xfId="1" builtinId="3"/>
    <cellStyle name="Normal" xfId="0" builtinId="0"/>
    <cellStyle name="Percent" xfId="2" builtinId="5"/>
  </cellStyles>
  <dxfs count="12">
    <dxf>
      <numFmt numFmtId="14" formatCode="0.00%"/>
    </dxf>
    <dxf>
      <numFmt numFmtId="14" formatCode="0.00%"/>
    </dxf>
    <dxf>
      <numFmt numFmtId="1" formatCode="0"/>
    </dxf>
    <dxf>
      <numFmt numFmtId="14" formatCode="0.00%"/>
    </dxf>
    <dxf>
      <numFmt numFmtId="164" formatCode="_(* #,##0_);_(* \(#,##0\);_(* &quot;-&quot;??_);_(@_)"/>
    </dxf>
    <dxf>
      <numFmt numFmtId="2" formatCode="0.00"/>
    </dxf>
    <dxf>
      <numFmt numFmtId="14" formatCode="0.00%"/>
    </dxf>
    <dxf>
      <numFmt numFmtId="14" formatCode="0.00%"/>
    </dxf>
    <dxf>
      <numFmt numFmtId="1" formatCode="0"/>
    </dxf>
    <dxf>
      <numFmt numFmtId="14" formatCode="0.00%"/>
    </dxf>
    <dxf>
      <numFmt numFmtId="14" formatCode="0.00%"/>
    </dxf>
    <dxf>
      <numFmt numFmtId="19" formatCode="mm/dd/yyyy"/>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KPIs!$A$4:$A$13</c:f>
              <c:strCache>
                <c:ptCount val="9"/>
                <c:pt idx="0">
                  <c:v>Jan</c:v>
                </c:pt>
                <c:pt idx="1">
                  <c:v>Feb</c:v>
                </c:pt>
                <c:pt idx="2">
                  <c:v>Mar</c:v>
                </c:pt>
                <c:pt idx="3">
                  <c:v>Apr</c:v>
                </c:pt>
                <c:pt idx="4">
                  <c:v>May</c:v>
                </c:pt>
                <c:pt idx="5">
                  <c:v>Jun</c:v>
                </c:pt>
                <c:pt idx="6">
                  <c:v>Jul</c:v>
                </c:pt>
                <c:pt idx="7">
                  <c:v>Aug</c:v>
                </c:pt>
                <c:pt idx="8">
                  <c:v>Sep</c:v>
                </c:pt>
              </c:strCache>
            </c:strRef>
          </c:cat>
          <c:val>
            <c:numRef>
              <c:f>KPIs!$B$4:$B$13</c:f>
              <c:numCache>
                <c:formatCode>0.00%</c:formatCode>
                <c:ptCount val="9"/>
                <c:pt idx="0">
                  <c:v>0.1708377866693773</c:v>
                </c:pt>
                <c:pt idx="1">
                  <c:v>0.1218694786983248</c:v>
                </c:pt>
                <c:pt idx="2">
                  <c:v>0.17844558585861875</c:v>
                </c:pt>
                <c:pt idx="3">
                  <c:v>6.4546834094979494E-2</c:v>
                </c:pt>
                <c:pt idx="4">
                  <c:v>0.15350568856177835</c:v>
                </c:pt>
                <c:pt idx="5">
                  <c:v>0.12193233485517871</c:v>
                </c:pt>
                <c:pt idx="6">
                  <c:v>9.5278589585397519E-2</c:v>
                </c:pt>
                <c:pt idx="7">
                  <c:v>7.7052879695356E-2</c:v>
                </c:pt>
                <c:pt idx="8">
                  <c:v>1.6530821980989052E-2</c:v>
                </c:pt>
              </c:numCache>
            </c:numRef>
          </c:val>
          <c:extLst>
            <c:ext xmlns:c16="http://schemas.microsoft.com/office/drawing/2014/chart" uri="{C3380CC4-5D6E-409C-BE32-E72D297353CC}">
              <c16:uniqueId val="{00000001-15AA-48F1-9971-1416FBED01B8}"/>
            </c:ext>
          </c:extLst>
        </c:ser>
        <c:dLbls>
          <c:dLblPos val="outEnd"/>
          <c:showLegendKey val="0"/>
          <c:showVal val="1"/>
          <c:showCatName val="0"/>
          <c:showSerName val="0"/>
          <c:showPercent val="0"/>
          <c:showBubbleSize val="0"/>
        </c:dLbls>
        <c:gapWidth val="182"/>
        <c:axId val="581715856"/>
        <c:axId val="584966224"/>
      </c:barChart>
      <c:catAx>
        <c:axId val="5817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66224"/>
        <c:crosses val="autoZero"/>
        <c:auto val="1"/>
        <c:lblAlgn val="ctr"/>
        <c:lblOffset val="100"/>
        <c:noMultiLvlLbl val="0"/>
      </c:catAx>
      <c:valAx>
        <c:axId val="5849662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Dashboard.xlsx]KPIs!Brand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5509514468277"/>
          <c:y val="5.9550110172720896E-2"/>
          <c:w val="0.73390176834056364"/>
          <c:h val="0.86993934845262288"/>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extLst>
            <c:ext xmlns:c16="http://schemas.microsoft.com/office/drawing/2014/chart" uri="{C3380CC4-5D6E-409C-BE32-E72D297353CC}">
              <c16:uniqueId val="{00000000-69A7-4FF6-B17F-C48932D40AD7}"/>
            </c:ext>
          </c:extLst>
        </c:ser>
        <c:dLbls>
          <c:showLegendKey val="0"/>
          <c:showVal val="0"/>
          <c:showCatName val="0"/>
          <c:showSerName val="0"/>
          <c:showPercent val="0"/>
          <c:showBubbleSize val="0"/>
        </c:dLbls>
        <c:gapWidth val="182"/>
        <c:axId val="1544526192"/>
        <c:axId val="584964784"/>
      </c:barChart>
      <c:catAx>
        <c:axId val="154452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64784"/>
        <c:crosses val="autoZero"/>
        <c:auto val="1"/>
        <c:lblAlgn val="ctr"/>
        <c:lblOffset val="100"/>
        <c:noMultiLvlLbl val="0"/>
      </c:catAx>
      <c:valAx>
        <c:axId val="584964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2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Dashboard.xlsx]KPIs!Paymenr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0.23509862814460147</c:v>
                </c:pt>
                <c:pt idx="1">
                  <c:v>0.13352585201817244</c:v>
                </c:pt>
                <c:pt idx="2">
                  <c:v>0.28481768422667142</c:v>
                </c:pt>
                <c:pt idx="3">
                  <c:v>0.24191662563918168</c:v>
                </c:pt>
                <c:pt idx="4">
                  <c:v>0.10464120997137301</c:v>
                </c:pt>
              </c:numCache>
            </c:numRef>
          </c:val>
          <c:extLst>
            <c:ext xmlns:c16="http://schemas.microsoft.com/office/drawing/2014/chart" uri="{C3380CC4-5D6E-409C-BE32-E72D297353CC}">
              <c16:uniqueId val="{00000000-65DC-46FC-85E7-CB39674290C7}"/>
            </c:ext>
          </c:extLst>
        </c:ser>
        <c:dLbls>
          <c:showLegendKey val="0"/>
          <c:showVal val="0"/>
          <c:showCatName val="0"/>
          <c:showSerName val="0"/>
          <c:showPercent val="0"/>
          <c:showBubbleSize val="0"/>
        </c:dLbls>
        <c:gapWidth val="219"/>
        <c:overlap val="-27"/>
        <c:axId val="1544534080"/>
        <c:axId val="584994544"/>
      </c:barChart>
      <c:catAx>
        <c:axId val="1544534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94544"/>
        <c:crosses val="autoZero"/>
        <c:auto val="1"/>
        <c:lblAlgn val="ctr"/>
        <c:lblOffset val="100"/>
        <c:noMultiLvlLbl val="0"/>
      </c:catAx>
      <c:valAx>
        <c:axId val="5849945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Dashboard.xlsx]KPIs!Order channel</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pivotFmt>
      <c:pivotFmt>
        <c:idx val="2"/>
        <c:spPr>
          <a:solidFill>
            <a:schemeClr val="accent1">
              <a:shade val="86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tint val="58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8D52-48EF-AD77-99C7FB47DA96}"/>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8D52-48EF-AD77-99C7FB47DA96}"/>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8D52-48EF-AD77-99C7FB47DA96}"/>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8D52-48EF-AD77-99C7FB47DA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KPIs!$Q$4:$Q$8</c:f>
              <c:strCache>
                <c:ptCount val="4"/>
                <c:pt idx="0">
                  <c:v>Marketplace</c:v>
                </c:pt>
                <c:pt idx="1">
                  <c:v>Mobile App</c:v>
                </c:pt>
                <c:pt idx="2">
                  <c:v>Store</c:v>
                </c:pt>
                <c:pt idx="3">
                  <c:v>Website</c:v>
                </c:pt>
              </c:strCache>
            </c:strRef>
          </c:cat>
          <c:val>
            <c:numRef>
              <c:f>KPIs!$R$4:$R$8</c:f>
              <c:numCache>
                <c:formatCode>0.00%</c:formatCode>
                <c:ptCount val="4"/>
                <c:pt idx="0">
                  <c:v>0.21513147183705822</c:v>
                </c:pt>
                <c:pt idx="1">
                  <c:v>0.24578529861919754</c:v>
                </c:pt>
                <c:pt idx="2">
                  <c:v>0.32674722161630565</c:v>
                </c:pt>
                <c:pt idx="3">
                  <c:v>0.21233600792743854</c:v>
                </c:pt>
              </c:numCache>
            </c:numRef>
          </c:val>
          <c:extLst>
            <c:ext xmlns:c16="http://schemas.microsoft.com/office/drawing/2014/chart" uri="{C3380CC4-5D6E-409C-BE32-E72D297353CC}">
              <c16:uniqueId val="{00000000-BE01-4B20-A460-954568AEE87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Dashboard.xlsx]KPIs!Return 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D-40EF-ADB2-9E30E6769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D-40EF-ADB2-9E30E6769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D-40EF-ADB2-9E30E676928A}"/>
              </c:ext>
            </c:extLst>
          </c:dPt>
          <c:cat>
            <c:strRef>
              <c:f>KPIs!$W$4:$W$7</c:f>
              <c:strCache>
                <c:ptCount val="3"/>
                <c:pt idx="0">
                  <c:v>Exchange</c:v>
                </c:pt>
                <c:pt idx="1">
                  <c:v>Not Returned</c:v>
                </c:pt>
                <c:pt idx="2">
                  <c:v>Returned</c:v>
                </c:pt>
              </c:strCache>
            </c:strRef>
          </c:cat>
          <c:val>
            <c:numRef>
              <c:f>KPIs!$X$4:$X$7</c:f>
              <c:numCache>
                <c:formatCode>0.00%</c:formatCode>
                <c:ptCount val="3"/>
                <c:pt idx="0">
                  <c:v>0.10311225517805445</c:v>
                </c:pt>
                <c:pt idx="1">
                  <c:v>0.83002070245083304</c:v>
                </c:pt>
                <c:pt idx="2">
                  <c:v>6.6867042371112503E-2</c:v>
                </c:pt>
              </c:numCache>
            </c:numRef>
          </c:val>
          <c:extLst>
            <c:ext xmlns:c16="http://schemas.microsoft.com/office/drawing/2014/chart" uri="{C3380CC4-5D6E-409C-BE32-E72D297353CC}">
              <c16:uniqueId val="{00000000-BB5A-488E-87B1-A0112965CECD}"/>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Dashboard.xlsx]KPIs!Brand</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smooth val="0"/>
          <c:extLst>
            <c:ext xmlns:c16="http://schemas.microsoft.com/office/drawing/2014/chart" uri="{C3380CC4-5D6E-409C-BE32-E72D297353CC}">
              <c16:uniqueId val="{00000000-1AAB-44AF-9138-1AC93365496B}"/>
            </c:ext>
          </c:extLst>
        </c:ser>
        <c:dLbls>
          <c:dLblPos val="t"/>
          <c:showLegendKey val="0"/>
          <c:showVal val="1"/>
          <c:showCatName val="0"/>
          <c:showSerName val="0"/>
          <c:showPercent val="0"/>
          <c:showBubbleSize val="0"/>
        </c:dLbls>
        <c:smooth val="0"/>
        <c:axId val="1209330496"/>
        <c:axId val="1043429552"/>
      </c:lineChart>
      <c:catAx>
        <c:axId val="12093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9552"/>
        <c:crosses val="autoZero"/>
        <c:auto val="1"/>
        <c:lblAlgn val="ctr"/>
        <c:lblOffset val="100"/>
        <c:noMultiLvlLbl val="0"/>
      </c:catAx>
      <c:valAx>
        <c:axId val="1043429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Dashboard.xlsx]KPIs!Month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lumMod val="75000"/>
              </a:schemeClr>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KPIs!$A$4:$A$13</c:f>
              <c:strCache>
                <c:ptCount val="9"/>
                <c:pt idx="0">
                  <c:v>Jan</c:v>
                </c:pt>
                <c:pt idx="1">
                  <c:v>Feb</c:v>
                </c:pt>
                <c:pt idx="2">
                  <c:v>Mar</c:v>
                </c:pt>
                <c:pt idx="3">
                  <c:v>Apr</c:v>
                </c:pt>
                <c:pt idx="4">
                  <c:v>May</c:v>
                </c:pt>
                <c:pt idx="5">
                  <c:v>Jun</c:v>
                </c:pt>
                <c:pt idx="6">
                  <c:v>Jul</c:v>
                </c:pt>
                <c:pt idx="7">
                  <c:v>Aug</c:v>
                </c:pt>
                <c:pt idx="8">
                  <c:v>Sep</c:v>
                </c:pt>
              </c:strCache>
            </c:strRef>
          </c:cat>
          <c:val>
            <c:numRef>
              <c:f>KPIs!$B$4:$B$13</c:f>
              <c:numCache>
                <c:formatCode>0.00%</c:formatCode>
                <c:ptCount val="9"/>
                <c:pt idx="0">
                  <c:v>0.1708377866693773</c:v>
                </c:pt>
                <c:pt idx="1">
                  <c:v>0.1218694786983248</c:v>
                </c:pt>
                <c:pt idx="2">
                  <c:v>0.17844558585861875</c:v>
                </c:pt>
                <c:pt idx="3">
                  <c:v>6.4546834094979494E-2</c:v>
                </c:pt>
                <c:pt idx="4">
                  <c:v>0.15350568856177835</c:v>
                </c:pt>
                <c:pt idx="5">
                  <c:v>0.12193233485517871</c:v>
                </c:pt>
                <c:pt idx="6">
                  <c:v>9.5278589585397519E-2</c:v>
                </c:pt>
                <c:pt idx="7">
                  <c:v>7.7052879695356E-2</c:v>
                </c:pt>
                <c:pt idx="8">
                  <c:v>1.6530821980989052E-2</c:v>
                </c:pt>
              </c:numCache>
            </c:numRef>
          </c:val>
          <c:extLst>
            <c:ext xmlns:c16="http://schemas.microsoft.com/office/drawing/2014/chart" uri="{C3380CC4-5D6E-409C-BE32-E72D297353CC}">
              <c16:uniqueId val="{00000002-3B8E-49C2-8907-BB02A839E7FA}"/>
            </c:ext>
          </c:extLst>
        </c:ser>
        <c:dLbls>
          <c:dLblPos val="outEnd"/>
          <c:showLegendKey val="0"/>
          <c:showVal val="1"/>
          <c:showCatName val="0"/>
          <c:showSerName val="0"/>
          <c:showPercent val="0"/>
          <c:showBubbleSize val="0"/>
        </c:dLbls>
        <c:gapWidth val="85"/>
        <c:axId val="581715856"/>
        <c:axId val="584966224"/>
      </c:barChart>
      <c:catAx>
        <c:axId val="5817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66224"/>
        <c:crosses val="autoZero"/>
        <c:auto val="1"/>
        <c:lblAlgn val="ctr"/>
        <c:lblOffset val="100"/>
        <c:noMultiLvlLbl val="0"/>
      </c:catAx>
      <c:valAx>
        <c:axId val="5849662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17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Dashboard.xlsx]KPIs!Brand</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5265818290814"/>
          <c:y val="8.0971641536606617E-2"/>
          <c:w val="0.73390176834056364"/>
          <c:h val="0.86993934845262288"/>
        </c:manualLayout>
      </c:layout>
      <c:barChart>
        <c:barDir val="bar"/>
        <c:grouping val="clustered"/>
        <c:varyColors val="0"/>
        <c:ser>
          <c:idx val="0"/>
          <c:order val="0"/>
          <c:tx>
            <c:strRef>
              <c:f>KPIs!$J$3</c:f>
              <c:strCache>
                <c:ptCount val="1"/>
                <c:pt idx="0">
                  <c:v>Total</c:v>
                </c:pt>
              </c:strCache>
            </c:strRef>
          </c:tx>
          <c:spPr>
            <a:solidFill>
              <a:schemeClr val="accent1">
                <a:lumMod val="75000"/>
              </a:schemeClr>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extLst>
            <c:ext xmlns:c16="http://schemas.microsoft.com/office/drawing/2014/chart" uri="{C3380CC4-5D6E-409C-BE32-E72D297353CC}">
              <c16:uniqueId val="{00000000-747F-4EB9-97B0-BB9C2C012832}"/>
            </c:ext>
          </c:extLst>
        </c:ser>
        <c:dLbls>
          <c:dLblPos val="outEnd"/>
          <c:showLegendKey val="0"/>
          <c:showVal val="1"/>
          <c:showCatName val="0"/>
          <c:showSerName val="0"/>
          <c:showPercent val="0"/>
          <c:showBubbleSize val="0"/>
        </c:dLbls>
        <c:gapWidth val="20"/>
        <c:axId val="1544526192"/>
        <c:axId val="584964784"/>
      </c:barChart>
      <c:catAx>
        <c:axId val="154452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64784"/>
        <c:crosses val="autoZero"/>
        <c:auto val="1"/>
        <c:lblAlgn val="ctr"/>
        <c:lblOffset val="100"/>
        <c:noMultiLvlLbl val="0"/>
      </c:catAx>
      <c:valAx>
        <c:axId val="584964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452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Dashboard.xlsx]KPIs!Paymenr Method</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8480684841544"/>
          <c:y val="5.5828771519253931E-2"/>
          <c:w val="0.76145677521910216"/>
          <c:h val="0.77067922474337547"/>
        </c:manualLayout>
      </c:layout>
      <c:barChart>
        <c:barDir val="col"/>
        <c:grouping val="clustered"/>
        <c:varyColors val="0"/>
        <c:ser>
          <c:idx val="0"/>
          <c:order val="0"/>
          <c:tx>
            <c:strRef>
              <c:f>KPIs!$N$3</c:f>
              <c:strCache>
                <c:ptCount val="1"/>
                <c:pt idx="0">
                  <c:v>Total</c:v>
                </c:pt>
              </c:strCache>
            </c:strRef>
          </c:tx>
          <c:spPr>
            <a:solidFill>
              <a:schemeClr val="accent1">
                <a:lumMod val="75000"/>
              </a:schemeClr>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0.23509862814460147</c:v>
                </c:pt>
                <c:pt idx="1">
                  <c:v>0.13352585201817244</c:v>
                </c:pt>
                <c:pt idx="2">
                  <c:v>0.28481768422667142</c:v>
                </c:pt>
                <c:pt idx="3">
                  <c:v>0.24191662563918168</c:v>
                </c:pt>
                <c:pt idx="4">
                  <c:v>0.10464120997137301</c:v>
                </c:pt>
              </c:numCache>
            </c:numRef>
          </c:val>
          <c:extLst>
            <c:ext xmlns:c16="http://schemas.microsoft.com/office/drawing/2014/chart" uri="{C3380CC4-5D6E-409C-BE32-E72D297353CC}">
              <c16:uniqueId val="{00000000-4BC3-482B-9D42-9F5305D34679}"/>
            </c:ext>
          </c:extLst>
        </c:ser>
        <c:dLbls>
          <c:showLegendKey val="0"/>
          <c:showVal val="0"/>
          <c:showCatName val="0"/>
          <c:showSerName val="0"/>
          <c:showPercent val="0"/>
          <c:showBubbleSize val="0"/>
        </c:dLbls>
        <c:gapWidth val="219"/>
        <c:overlap val="-27"/>
        <c:axId val="1544534080"/>
        <c:axId val="584994544"/>
      </c:barChart>
      <c:catAx>
        <c:axId val="1544534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94544"/>
        <c:crosses val="autoZero"/>
        <c:auto val="1"/>
        <c:lblAlgn val="ctr"/>
        <c:lblOffset val="100"/>
        <c:noMultiLvlLbl val="0"/>
      </c:catAx>
      <c:valAx>
        <c:axId val="5849945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45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rgbClr val="FFFFCD"/>
        </a:gs>
        <a:gs pos="50000">
          <a:schemeClr val="bg1"/>
        </a:gs>
        <a:gs pos="79000">
          <a:srgbClr val="FFFFCD"/>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Dashboard.xlsx]KPIs!Order channel</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9525">
            <a:solidFill>
              <a:schemeClr val="bg1"/>
            </a:solidFill>
          </a:ln>
          <a:effectLst>
            <a:innerShdw blurRad="114300">
              <a:prstClr val="black"/>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9525">
            <a:solidFill>
              <a:schemeClr val="bg1"/>
            </a:solidFill>
          </a:ln>
          <a:effectLst>
            <a:innerShdw blurRad="114300">
              <a:prstClr val="black"/>
            </a:innerShdw>
          </a:effectLst>
          <a:scene3d>
            <a:camera prst="orthographicFront"/>
            <a:lightRig rig="threePt" dir="t"/>
          </a:scene3d>
          <a:sp3d>
            <a:bevelT/>
          </a:sp3d>
        </c:spPr>
      </c:pivotFmt>
      <c:pivotFmt>
        <c:idx val="8"/>
        <c:spPr>
          <a:solidFill>
            <a:schemeClr val="accent1">
              <a:shade val="86000"/>
            </a:schemeClr>
          </a:solidFill>
          <a:ln w="9525">
            <a:solidFill>
              <a:schemeClr val="bg1"/>
            </a:solidFill>
          </a:ln>
          <a:effectLst>
            <a:innerShdw blurRad="114300">
              <a:prstClr val="black"/>
            </a:innerShdw>
          </a:effectLst>
          <a:scene3d>
            <a:camera prst="orthographicFront"/>
            <a:lightRig rig="threePt" dir="t"/>
          </a:scene3d>
          <a:sp3d>
            <a:bevelT/>
          </a:sp3d>
        </c:spPr>
      </c:pivotFmt>
      <c:pivotFmt>
        <c:idx val="9"/>
        <c:spPr>
          <a:solidFill>
            <a:srgbClr val="FFC000"/>
          </a:solidFill>
          <a:ln w="9525">
            <a:solidFill>
              <a:schemeClr val="bg1"/>
            </a:solidFill>
          </a:ln>
          <a:effectLst>
            <a:innerShdw blurRad="114300">
              <a:prstClr val="black"/>
            </a:inn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0000"/>
          </a:solidFill>
          <a:ln w="9525">
            <a:solidFill>
              <a:schemeClr val="bg1"/>
            </a:solidFill>
          </a:ln>
          <a:effectLst>
            <a:innerShdw blurRad="114300">
              <a:prstClr val="black"/>
            </a:innerShdw>
          </a:effectLst>
          <a:scene3d>
            <a:camera prst="orthographicFront"/>
            <a:lightRig rig="threePt" dir="t"/>
          </a:scene3d>
          <a:sp3d>
            <a:bevelT/>
          </a:sp3d>
        </c:spPr>
      </c:pivotFmt>
    </c:pivotFmts>
    <c:plotArea>
      <c:layout>
        <c:manualLayout>
          <c:layoutTarget val="inner"/>
          <c:xMode val="edge"/>
          <c:yMode val="edge"/>
          <c:x val="8.6945154797709506E-2"/>
          <c:y val="6.2499300965227211E-2"/>
          <c:w val="0.81551867417155532"/>
          <c:h val="0.87500139806954558"/>
        </c:manualLayout>
      </c:layout>
      <c:pieChart>
        <c:varyColors val="1"/>
        <c:ser>
          <c:idx val="0"/>
          <c:order val="0"/>
          <c:tx>
            <c:strRef>
              <c:f>KPIs!$R$3</c:f>
              <c:strCache>
                <c:ptCount val="1"/>
                <c:pt idx="0">
                  <c:v>Total</c:v>
                </c:pt>
              </c:strCache>
            </c:strRef>
          </c:tx>
          <c:spPr>
            <a:ln w="9525">
              <a:solidFill>
                <a:schemeClr val="bg1"/>
              </a:solidFill>
            </a:ln>
            <a:effectLst>
              <a:innerShdw blurRad="114300">
                <a:prstClr val="black"/>
              </a:innerShdw>
            </a:effectLst>
            <a:scene3d>
              <a:camera prst="orthographicFront"/>
              <a:lightRig rig="threePt" dir="t"/>
            </a:scene3d>
            <a:sp3d>
              <a:bevelT/>
            </a:sp3d>
          </c:spPr>
          <c:dPt>
            <c:idx val="0"/>
            <c:bubble3D val="0"/>
            <c:spPr>
              <a:solidFill>
                <a:schemeClr val="accent1">
                  <a:lumMod val="50000"/>
                </a:schemeClr>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1-4285-4D3F-B7E6-93FE31A3E7E8}"/>
              </c:ext>
            </c:extLst>
          </c:dPt>
          <c:dPt>
            <c:idx val="1"/>
            <c:bubble3D val="0"/>
            <c:spPr>
              <a:solidFill>
                <a:schemeClr val="accent1">
                  <a:shade val="86000"/>
                </a:schemeClr>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3-4285-4D3F-B7E6-93FE31A3E7E8}"/>
              </c:ext>
            </c:extLst>
          </c:dPt>
          <c:dPt>
            <c:idx val="2"/>
            <c:bubble3D val="0"/>
            <c:spPr>
              <a:solidFill>
                <a:srgbClr val="FFC000"/>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5-4285-4D3F-B7E6-93FE31A3E7E8}"/>
              </c:ext>
            </c:extLst>
          </c:dPt>
          <c:dPt>
            <c:idx val="3"/>
            <c:bubble3D val="0"/>
            <c:spPr>
              <a:solidFill>
                <a:srgbClr val="FF0000"/>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7-4285-4D3F-B7E6-93FE31A3E7E8}"/>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4285-4D3F-B7E6-93FE31A3E7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KPIs!$Q$4:$Q$8</c:f>
              <c:strCache>
                <c:ptCount val="4"/>
                <c:pt idx="0">
                  <c:v>Marketplace</c:v>
                </c:pt>
                <c:pt idx="1">
                  <c:v>Mobile App</c:v>
                </c:pt>
                <c:pt idx="2">
                  <c:v>Store</c:v>
                </c:pt>
                <c:pt idx="3">
                  <c:v>Website</c:v>
                </c:pt>
              </c:strCache>
            </c:strRef>
          </c:cat>
          <c:val>
            <c:numRef>
              <c:f>KPIs!$R$4:$R$8</c:f>
              <c:numCache>
                <c:formatCode>0.00%</c:formatCode>
                <c:ptCount val="4"/>
                <c:pt idx="0">
                  <c:v>0.21513147183705822</c:v>
                </c:pt>
                <c:pt idx="1">
                  <c:v>0.24578529861919754</c:v>
                </c:pt>
                <c:pt idx="2">
                  <c:v>0.32674722161630565</c:v>
                </c:pt>
                <c:pt idx="3">
                  <c:v>0.21233600792743854</c:v>
                </c:pt>
              </c:numCache>
            </c:numRef>
          </c:val>
          <c:extLst>
            <c:ext xmlns:c16="http://schemas.microsoft.com/office/drawing/2014/chart" uri="{C3380CC4-5D6E-409C-BE32-E72D297353CC}">
              <c16:uniqueId val="{00000008-4285-4D3F-B7E6-93FE31A3E7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5">
            <a:lumMod val="67000"/>
          </a:schemeClr>
        </a:gs>
        <a:gs pos="17000">
          <a:srgbClr val="00B0F0"/>
        </a:gs>
        <a:gs pos="100000">
          <a:schemeClr val="accent5">
            <a:lumMod val="60000"/>
            <a:lumOff val="40000"/>
          </a:schemeClr>
        </a:gs>
      </a:gsLst>
      <a:lin ang="16200000" scaled="1"/>
    </a:gradFill>
    <a:ln w="9525" cap="flat" cmpd="sng" algn="ctr">
      <a:gradFill flip="none" rotWithShape="1">
        <a:gsLst>
          <a:gs pos="75000">
            <a:schemeClr val="accent5">
              <a:lumMod val="67000"/>
            </a:schemeClr>
          </a:gs>
          <a:gs pos="48000">
            <a:schemeClr val="accent5">
              <a:lumMod val="97000"/>
              <a:lumOff val="3000"/>
            </a:schemeClr>
          </a:gs>
          <a:gs pos="100000">
            <a:schemeClr val="accent5">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Dashboard.xlsx]KPIs!Return status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a:scene3d>
            <a:camera prst="orthographicFront"/>
            <a:lightRig rig="threePt" dir="t"/>
          </a:scene3d>
          <a:sp3d>
            <a:bevelT/>
          </a:sp3d>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
      </c:pivotFmt>
      <c:pivotFmt>
        <c:idx val="7"/>
        <c:spPr>
          <a:solidFill>
            <a:schemeClr val="accent5">
              <a:lumMod val="50000"/>
            </a:schemeClr>
          </a:solidFill>
          <a:ln w="19050">
            <a:solidFill>
              <a:schemeClr val="lt1"/>
            </a:solidFill>
          </a:ln>
          <a:effectLst/>
          <a:scene3d>
            <a:camera prst="orthographicFront"/>
            <a:lightRig rig="threePt" dir="t"/>
          </a:scene3d>
          <a:sp3d>
            <a:bevelT/>
          </a:sp3d>
        </c:spPr>
      </c:pivotFmt>
      <c:pivotFmt>
        <c:idx val="8"/>
        <c:spPr>
          <a:solidFill>
            <a:srgbClr val="FF0000"/>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9.6205450812493321E-2"/>
          <c:y val="4.4109758768030638E-2"/>
          <c:w val="0.84241614285650879"/>
          <c:h val="0.92352222257574879"/>
        </c:manualLayout>
      </c:layout>
      <c:doughnutChart>
        <c:varyColors val="1"/>
        <c:ser>
          <c:idx val="0"/>
          <c:order val="0"/>
          <c:tx>
            <c:strRef>
              <c:f>KPIs!$X$3</c:f>
              <c:strCache>
                <c:ptCount val="1"/>
                <c:pt idx="0">
                  <c:v>Total</c:v>
                </c:pt>
              </c:strCache>
            </c:strRef>
          </c:tx>
          <c:spPr>
            <a:scene3d>
              <a:camera prst="orthographicFront"/>
              <a:lightRig rig="threePt" dir="t"/>
            </a:scene3d>
            <a:sp3d>
              <a:bevelT/>
            </a:sp3d>
          </c:spPr>
          <c:dPt>
            <c:idx val="0"/>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F37E-4025-A7F9-47B2FECE9A23}"/>
              </c:ext>
            </c:extLst>
          </c:dPt>
          <c:dPt>
            <c:idx val="1"/>
            <c:bubble3D val="0"/>
            <c:spPr>
              <a:solidFill>
                <a:schemeClr val="accent5">
                  <a:lumMod val="5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F37E-4025-A7F9-47B2FECE9A23}"/>
              </c:ext>
            </c:extLst>
          </c:dPt>
          <c:dPt>
            <c:idx val="2"/>
            <c:bubble3D val="0"/>
            <c:spPr>
              <a:solidFill>
                <a:srgbClr val="FF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F37E-4025-A7F9-47B2FECE9A2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KPIs!$W$4:$W$7</c:f>
              <c:strCache>
                <c:ptCount val="3"/>
                <c:pt idx="0">
                  <c:v>Exchange</c:v>
                </c:pt>
                <c:pt idx="1">
                  <c:v>Not Returned</c:v>
                </c:pt>
                <c:pt idx="2">
                  <c:v>Returned</c:v>
                </c:pt>
              </c:strCache>
            </c:strRef>
          </c:cat>
          <c:val>
            <c:numRef>
              <c:f>KPIs!$X$4:$X$7</c:f>
              <c:numCache>
                <c:formatCode>0.00%</c:formatCode>
                <c:ptCount val="3"/>
                <c:pt idx="0">
                  <c:v>0.10311225517805445</c:v>
                </c:pt>
                <c:pt idx="1">
                  <c:v>0.83002070245083304</c:v>
                </c:pt>
                <c:pt idx="2">
                  <c:v>6.6867042371112503E-2</c:v>
                </c:pt>
              </c:numCache>
            </c:numRef>
          </c:val>
          <c:extLst>
            <c:ext xmlns:c16="http://schemas.microsoft.com/office/drawing/2014/chart" uri="{C3380CC4-5D6E-409C-BE32-E72D297353CC}">
              <c16:uniqueId val="{00000006-F37E-4025-A7F9-47B2FECE9A23}"/>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75000"/>
        </a:schemeClr>
      </a:solidFill>
      <a:round/>
    </a:ln>
    <a:effectLst>
      <a:glow rad="2286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Dashboard.xlsx]KPIs!Brand</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smooth val="0"/>
          <c:extLst>
            <c:ext xmlns:c16="http://schemas.microsoft.com/office/drawing/2014/chart" uri="{C3380CC4-5D6E-409C-BE32-E72D297353CC}">
              <c16:uniqueId val="{00000000-30E2-427D-9F2B-C11FD0DBFDE4}"/>
            </c:ext>
          </c:extLst>
        </c:ser>
        <c:dLbls>
          <c:dLblPos val="t"/>
          <c:showLegendKey val="0"/>
          <c:showVal val="1"/>
          <c:showCatName val="0"/>
          <c:showSerName val="0"/>
          <c:showPercent val="0"/>
          <c:showBubbleSize val="0"/>
        </c:dLbls>
        <c:smooth val="0"/>
        <c:axId val="1209330496"/>
        <c:axId val="1043429552"/>
      </c:lineChart>
      <c:catAx>
        <c:axId val="12093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9552"/>
        <c:crosses val="autoZero"/>
        <c:auto val="1"/>
        <c:lblAlgn val="ctr"/>
        <c:lblOffset val="100"/>
        <c:noMultiLvlLbl val="0"/>
      </c:catAx>
      <c:valAx>
        <c:axId val="1043429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00000000-689C-45F0-8812-5164024565EB}">
          <cx:tx>
            <cx:txData>
              <cx:f>_xlchart.v1.5</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accent1">
                <a:lumMod val="75000"/>
              </a:schemeClr>
            </a:solidFill>
          </cx:spPr>
        </cx:plotSurface>
        <cx:series layoutId="regionMap" uniqueId="{00000000-5C8B-413C-B012-C2A4D6D76520}">
          <cx:tx>
            <cx:txData>
              <cx:f>_xlchart.v5.2</cx:f>
              <cx:v>Sum of TotalAmount</cx:v>
            </cx:txData>
          </cx:tx>
          <cx:spPr>
            <a:effectLst>
              <a:outerShdw blurRad="50800" dist="50800" dir="5400000" algn="ctr" rotWithShape="0">
                <a:srgbClr val="FFFFCD"/>
              </a:outerShdw>
            </a:effectLst>
          </cx:spPr>
          <cx:dataId val="0"/>
          <cx:layoutPr>
            <cx:geography cultureLanguage="en-US" cultureRegion="US" attribution="Powered by Bing">
              <cx:geoCache provider="{E9337A44-BEBE-4D9F-B70C-5C5E7DAFC167}">
                <cx:binary>1HvZct22tu2vuPx84QAEAYK7dk7VAcnVaKmXLFt+YcmSzBYte379mbKdlKVoO7l1cqtu1oMtLRJE
MzDnHGOA+vf9/K/79vHOv5lVq7t/3c+/vi373v7rl1+6+/JR3XXvVHXvTWe+9O/ujfrFfPlS3T/+
8uDvpkoXvwSYhL/cl3e+f5zf/te/4WnFozk293d9ZfTF8OiXy8duaPvuJ9devfTm7kFVOq263lf3
Pfn17X933Z16++ZR91W/XC/28de3z255++aXlw/6Q6dvWhhXPzxA24C/oyykIiYi/vZ5+6Y1uvh+
OQ7eiSBiMY7pt6v0t65P7xQ0/9PRfB3L3cODf+w6mMvX/39v9mzg8O3V2zf3ZtD902oVsHC/vt3r
h+ru7ZuqM8m3C4l5GvX+9Os0f3m+zv/17xdfwMRffPMDFC9X6c8u/QGJ6ztVtW9O7x6G39bkfw8H
Ie8w4QRjIZ7hEIl3IY5wgFn0W2ffAPhrg3gdhR/bvoDiGhb4HwRF+tiW1W8L879HIRDveEhpjDnH
Xz/kORjRO0JYGAlGvgUF/63rb5j86Wheh+N7sxdIpMf/KCQOd17f9XcNBO3flaJI+C4iOAzCMHgV
Df6O8CgmDAD7+nmRov7SiF5H5IemL1A5/Pc/CpXLu/qu68s7/fehAoWDiZBxTr6jEjyPEfpOhDFE
UPw9RthvXX+Lkb80otdR+aHpC1Quj/5RqBwe/V37dwYKfheGsYiiKHyOBYfiIQIeku/pDKD6Fpzf
sPjzcbwOxG/tXqBw+GdlrLOHqiv/RhQC/I4RisOQsm/5KH4GhgjfhYEAyoXjb9nsRWD8+XBeB+O3
di/AOLv8R4XEyR1w6Luu7P3fiAiJ34UswAIA+U8FBIuYBpCvvn5eIPIXx/Q6LM8av8DmZPePwub6
sb3TxZ3+O5GJ3gmMOQP18SxIovgdxjEUEPYdE7j8Y8b6S0N5HZAfmr6A43r7j4Ljfd+DXD33dw+P
Xfnb8vwN3Je/iwPKOAER8vVDniEjILtxTlkgXmdbf3lUr6PzovkLhN6f/6MQ+vDY9W/kI8RM+zfi
A8SKPSn2gL6KT/QujgjEDWXfLgMV+DFy/uKYXkfnWeMX2HyQ/19j87qY/VGiPLvj/9ZFCcBFCQQn
34Mi/kM6o5xSgaHqf/28EPHfXY7/PJrX4fje7NnA/x9bJv/ZTvndZEpB/mVf3akfHJWfX/06PTDM
XjT9vnFfzWnf1mr/8OvbKMY0oEBpf/e9nh7zbNNvhxpYRf9bJDxr9QjCCB4CrCziNA45yMgAUwLP
myB8f33LxTsIJ0xxQIIQBzSEgNLG9yV4Z0/CNGA05hEwOsI4NOrM8PUSBosgAsRJGASExCT83RU8
N+1SGP37inz//Y0e1LmpdN/9+ha6sN/u+jrUEEMPIsYEbDgSRCTCcP3+7hKMR7iZ/J84qEbetXOU
9axsS7muy/KhDPj8zSX7ZpK90g3YFi+6ETwMooDHEQ9gXi+66Tjm9VRonvGwGT+NGImNwLTwcuyb
cVsoO0IF/R2FVzp8qvJ/6JGzKAQSAA4jEU8j+nFiam3E0OQ8i8gcK2kVbstkQKWapI6oThVX1ZUY
onrX5+JymHCMpIvV+kkvlGyxi+ujjpf0iLgxyIJ1qI/ipZ1OVLGux2Ru7MmfjBeY4B/GC5CHjAGV
jPCTzvpxvHWEmmWadZQ1uVEP07g0SRcR+LeJdZzWKBdyKiI+yUqYB2/w+jDMYrpZitpu2WDCL8Uw
NO+1mfujYl7Nl58PL/jjPhE8ohRHBNwr2JOwH38cXhQ7bOt44dlAbHhSraSZk4oZmkbdVB6Weo6M
1MSaQ9vTOcMIF7u+COYMxix25RxGH4KlUGfLXB4IsXtcoou5IEzJfBxEKbkbm1sacrEd89CftyYw
n4eCNFu1OHv587mEoJL+sNQgZZ/qHA0F/P98LqJaJ9wPlGV2aMvjhXmRTPMcFOlsRXk0+WpoEkUx
y5DppgfNJ5PLVum4kVr1bDfzGF0M89zf8nCkSBKij1WD2MeZNJuuYyeRr4JUR9WYRC0qzjQdxn1v
yjLzRX1rmStllbOPMevpaY+GROvlTCzVuLMLV/vGt/yUKO2OQ5SvVgblxLQMKpJvSqW5rEGjZ8Mi
Qhm0Ez3xFpcPgvtilWSg9sC4W0/6WtFClpCNDl7haZF1gOI+Netcf/z5Wr6ylGDuQ3KDVCRoGDzt
6h+izLdTbW3gWKYZDQ4UqfVh5Y4fh57iy2DuYL9qM8VGQvXS57HOffrzAXzNHM8TmIjw0zlDRCih
nL+IcxuprmHdwjKSU3VmcKM3pp7wsQjENqLkC6qn+WxYqrlL1CxKtRtg0F+4a/3n0Lr+xBXTqGTg
gmg/mbZNI+QmLrWOSIJyas9NabrdOHbFfCisWh7iYSJXg83NIW5n9JHQpji2Ky+KpLUVlkuB52PR
DPWmHzj+k50Lqf0POxdSw1NNEsDCIBafL7cV2I7RUxR2jRtPCxUM+RO24d5CXTlHC483jpBA5qRd
L7wTxYFahicZCmF3ZA3Fe9ax5dFPBb7/OQ6vJHgBxQSsIPhgwV9shLZY1NiyiWWTCFhCvflSjss+
7Js5jeYRzLWfJfdXlgEEXBCA5qaCQE15vgwGCtQklp5ly9JFH7FZzFMaqc9+3ssrGflZLy/SRCvq
infUs6yhVfWI4QDveBk0sjLs9bL5eV+vzCgOozAG4x8YOPz4YkZoYtaVjGVtH403ZHKhnPM1+pMq
HDw95sdgYYIAcWBMQAoH1yICAfZjuAaQcsXS1jwbmb+0XVAkCi/buhovZnVt4ups1jSh8/QwT0sy
lC06W0mbS6gnIq3ptKTxMHRJX4bmgnd22kZF30s2X3aBdUmzlDizVdFKPJR7G87BImm8+lRN7rEu
quTnS/YSHibA6gqhVoYEDBZMwZv/cS5ruDZu4D7KHJSdJB8qIfkyFunKDUp/3tUflg3M5qfCRzgQ
GMLEi81drnnQRgOKs6jlxVG+NGgX4XU8FF63G9rlww6WOv6TToEKvgwqDmdyOAK6BIktYkDPnk9x
CnoWKDLl2dhO16xqTEYL4bdxPk8fqTOKSzJ3l6io9r6YbqNY15toWoK7ugiI7HF5AO4jl0hEkub8
vLMWp5Bb3Lbydtv22sour27zoLs1I9lWeDJSiKaTncoD6dreyGia96wZQ+mjDp/HfLKJU62Mq6Us
JGItkhVe8MaTnJ0Ik89p4fGxDVC7ieaplHEeIEmtuhhcGUvtCgt14HKJmgRy7r4JxVURm+Fs5Xeh
XR80XrszvSqWasaKj51BwxlydbCZ6q5I87UmUjmhpO+iettWXGP4va1vlxWRdB4qXSbx3I0PQRv7
bViGcS1VT8PbuQrEJsbq2trx3IvtAPOs6oLc5xXzGcuVlhUq1KeIsWqVfcv8hrmmyXQV293cMpUE
i1enoaubczLzfJBB7fqM1CHUXD8Ejx1txIlSUbepSEHSvGqmPInJmGfrxCOV5lAkPjWdnrKq07OW
9ZLYll8xW5m0d1QVUg9D2CarK5eDp2V4kZejS6JqyWaKs9jMO1PqdRu0dJfz62Fs5DKHab8E8Zdl
osfNNFy7cXisgV3eVIFpNnTVKovF+EGV7qhTc7fphn48yQNHblxd04ux8UzIxRoFz2pRJ+M1ljF1
Fypeb+ZiECdjE4W73novy6FArWzEzBOC+vHMz+u8JWvLzvtRqAfdAWyDB4Uq87L4IsY+3hZr3u2w
E/aiawX5qJ1tP0wV3eq6N/2mqmdxboyyF6hpBy/nApcsUYFb0q4el/dtsfYXNF+G9zao48Qhv1yj
Mrdba1Bziqwrduvs0WUDROt0qF2Z1HC8nRKnIuiZ29N8RUPWTDPOhlCQO5QTvzfcsNPAW5eWgN5u
rVV/UQ7tZz9Gy+f6aYYTZmjr8/EcF+F2NdeYEJIItZy5fDnJUdRta1xPe0Mac5/npLw2GLako0MF
BFyQVLiGHKGoXdO+d326xmsrzVywi8hN5WnjzJpiu5DELF5/EbibN2gMlyNlvTrTTDyWjt1qjPNY
dsTYXPqgmj9EXWR2YTEhuSxxC5xupnLoynUvplrLwRcfvO0+2Hgaatkz4j+3hvQ3hWj4TsVObWO6
mMzmOkhA+XTHXnmW+tjzXe1tu/FIFBmjMCiCub4JvUYnFYwqtSSHmxt9CRl23jnlpj3pKc/grmIb
RNNx3o2PlBWH1sxcdnXMtdSYzkldlXADKsqrcY5FNs4j2jRUiLO8s01GDBJXdFg+d4KZy9ZP/IwN
kBUgBtc0pNW4bxU7Xy2mF0OpAJNgMDotu2k4Ckk3QVD15aaMpykZYprMgbHHUT2WsqG8ksVS1gnL
1/J9T0sD39n1gLGDCRrXJQuD7MjCboEC4ZRkpIRzzUEPx2PBptNqzdsLtpjppGdIZcj6Pi3besvC
6taVqtsUvNZpiFoHedWnzRiP6YxUfWoaTeWC5uCeTvUgJ+Hq1MUlTqumcOcBUnEhc5B2fENVeENz
xyAHFrXPylKnJGrOUI+HyyJfDkSNyUC7/drU13nTaJixbS4onknSLlXwgNe5vbRjDUxfTGu4rbsg
EtKvuk5nz888HNKl2pbrzs30iuRzwnQYyGHIRxlFw1avdshiH3zWozuUhKVt2HzWVchlpcdwO1ke
bD3CV6axaVfO44lmY348DaZ2kmHbfexXRVLrJp1/KkCejbLMVbRZ6qUHdb36Q0/6IgkUzeauKU6H
tRNJH0wkKSe6Bklk5kYi54dkqGKNJOt0uOFxWCVmyo+AdpitqevmYCgazxGp3KbCWh+Xxtgjxjtz
GXJ3UTZkkaaN0V0VenO3etxsSR5VN7kWYdbPYXVc5Z5+hFGbrBsadqrHqt3Gs1i3JbflXUxQfeQE
HmTEoXL6YHEQFzbejdUwJLavQQ62i0i7wqi9payC1M9c2vgGn7STHTa9g+RdV/7Cky9NCT6C5Gjp
rkUf6aQjpT0Ppna55EUjDta3yyFao/oA3t2ShW2ff9BrvHwc2sYmcdCSy7lwbqtZCLWwDOpt6Pvq
kzBsTWzYuc3oRPTRFhjvqzI2RzUtoNyWyznmTZnODS3OwdnpMwyzPZ6KhR36sWPHOR1YVuYjvg5w
WV20VU/3vpvEcRgXQ4bjujgZlYCfung8dVH9YJWrr0umcFKFBd7BFs3c0H0WipUb3QJflJF/yi5x
WZJGthZo9xrxZd+FNKPIH9nhjOEqUx3XZ1NbOVnYWfQJsTzP0CCiE+q4uezXij2wyqmPUaBZglB4
s+QhS02Jofy5ftyyafSx7Ne+3uIw1hKFXB31jeOQw0K/CSNE0wrXXRIh764QG0MMxLSNx01kWbl3
NLIbvIShbIkz6Roq2Ph575FNZ83DfV2M614L/EGEfXQuoL0cZoQudFy3J2vlHngXkAw3ngIDbr2+
0n44RR3dRV34RQt/VDRrcc6amKfzMjZpMZX1fqSwzkVUscTRZZJgR510hc3GIk+AqOUbn6vJgkGw
lNmISHw2kXg46/uueA8KjxOp24ps4lDzUkbd6E9DGuc3kY/IpVI9Pgn6yR7RophP5nnuHjpWYSVH
V5bXk4bBIByyRzrj+F5UpT5qqqrOghLakVyg1HPtiayA9G1yVtNRQl5Y7oK4i47V2C1IFtTozMeR
vrQ60vvS1eNjO818kDVF9lCUYtx2xlIrI1KR9ygHTlKXTSxSw6Bej2D/GKl4jrfhZEMolYPLr0NL
BgC/jYFGTqrYLo6yFnim41a6Mlhl1QXtjWHx/NFHa1ukvmt7L21Z5nlWD7Tk0pk6Pm3KZtwEDZpS
CmJohmSD2G3hoARFNm9veTBE25ghtMhmqo2cJhWfxK2zMHjMqQI+U9NstMh1snVoPZsbMCjT3nf2
zC5ld1KP9aXi6+cwqj8MKhw2ZbkER77Ii90wrB+HNYCAXpVLlrLxu4GuJgvUqKV4Kjc4iCJgt351
TxbRnGrFXWpbMRwH1JNNmQ/lJqJ1fqRQpAvpVT7vx3La5IqmtWrjDVTXShKqjJLdousDmit7o+f1
MOQPaxhdiim49mK8I67ci6X4xJruYwlvMe1UgdSFG7HYdVhHSYhVdNyOounT1lQqNZh0Xpp1jU8V
tj6F1y/XnWrRQMCKCoAnCaZPYub7K9Q1TUqMoJ0MbTCcNroqQtlxxu7mSYsqgSEM5y5nxUUbz1f5
rOjOhFrfzitejfQTpjuwlqbHsc77q1VFbrvMBmXa2min0VIIyaDsPQyDGMF8JbksQp7LXFO7hUgW
Lum9uRBFPe1GTIpbbXoiPRlExk2h56SIj6hu7AVvwO+QJK5cOnaV3UdMTzfYV1B0hBipk1XBbMLN
CpoVw2utcsh59QXa6Kz1arWpWxCHwsp9GSbr2qGjZhJ1Bvy/O4vauCqzEKzWzAexOh7DEjFZcRNt
2rqMtnWMe0i5oaEJqQK00V0srtAcgWCIwDR8X66LuQXBjg/gEJitF0EMwT3EW1SgQob5ekHqKRlj
pR96MB03M+3xHcRwkC10ynfNINZzNOIhm6O4BRo8eLOnWqATXNK8lnj2zUlbuvzMA/nIWNnoxJDW
bIdcVGlFQ3JQhXjfjvgoUJ35vA5FtcWlK6/CEZmrlVGUDLZfLioF6bRTMb+I4wB/KlkbXw5NEJwE
Ec4lPLK4f0qFn1RhyqthUo7Blw05+JoF0tYofh+tfX8dNXETp0Nf3UNiaU/LcZrfT3ip6rSKGrMh
rtOfpkU7mEPZ7MpCrMdtXxWnZC3cxehnc2RqS/e2GPrTiigjDQqKD5Ud8jMbFBoCCCzEiYvqoICw
fVBxRVfph7jdAuexNnNjiDKh5njnxmjsn1yG6gyMufGmCcGYm9Gijkw8drHkZuoucFdGYKesftlp
4GsH3vb8cSIucHKtdXVBYateOFEvupRoCoI9i0Afly2oyV3jwZSVuprajauF3pV6qj90nfK3rg4x
ySiGgwNp3IrjFMh5/X4gLE4DsZAsVMh3MlIKhI0oFD525VieIo51RpixuzH3o0SUWJCBpT+HMllv
PF1bClHiiqRcxHKDiNbvUYXaRLSCpc6uOYhD3Z820XwR5SKCzT82w87CFJC0wuov8GvIkylsgVo2
i4gmGSMHZx1zIdglKosqjXwNLCQPmjBxcdG9Jz0BvxJj4Hdw2d23Np+zcR2DMzIqD/IeCM9p7tF4
x8q8vtUMaZ/lhPVjYnQ4VZe0LPtt6yiQXbQugzuYsIPMUCyXMFGw0K2fEYgqRbdQ1JftHHG1ayjC
9EblefdlDOoWpDUYd/ooCBUPExAGbDrES8UDueYkWtJ2afyUApNG6Awz3osDWXg7ZTNjHwc1q51d
Bb1sVxrvKlS5RarR9EICw68NRDuzIgOdOZ31bnKQCtZ1mGXeVHG5UXq2aW9GILfRKmy2dH4JjsGl
znHCKwYHVcLUq2STQ/vZMXPS0Lh7X42sTiaEuZxcBDoNifnLauNVgQsbTkcrMuozI3bcdLaFErlA
hS0knkZ6rCK1fgh02H0pwQc6wStDDzB1dzvkU8ekyG1/BKUQ0gBgE+psGZTwp0wUy2lnuLBSDGu7
GdmIj8ENKyCfj6qd0pG2VepyY8+qMcanBrP6E0hLkIvR5MTnuvYNmNuQuD84eEu/yQSdDnVfCpNM
E9JOxhO3t52LTdraMP8IR0oQV2NbgdCrzJUec3Gce1Y0GyTo5zYAA2rqyiTsQzg8AT9zW4/rUdNM
Iyw2WGBSr6i4rJaovZ6Hud9QbIuDLQU5a1iDwPjwg4/kMOpus+i13y/KBZlFle8zFRj/gdZ83NVQ
vm6Kpsh7yPAlr2EmpDvya93cGaBL2TSZfgehWhycGMi57WrEJVRALeQcoBwl/dznOpnnJe9SFpVQ
JedxPakJAWEAavhzwJzYg7taHIJxfuzI+Og79B6DBJBtXZE9JdGcCkPDTThBCjVMDzfeFsWRiG18
XIdF9ThGqqjkaqrlFJwtqAwKiLUUKIgG6UICNqivumSdLXrs4im3Es7WvnQBm7r7py60DPnUx5dz
GZYs48GIG7mOFUh7DseZi8R0CaUlI03CHCZnlhwk+HrDvB/hPHCdPlfI6iYZxdyfzXl0PpY9O+kh
BzOYVp5W/dyBo9PQ4TD2bt37KewlRMcthqdwGSAWpiBMmi3vl7l9ShFz6pf1kxjAhyu2sQpvIy+m
M+wi+rGDqR8JKMMS/MV+D2dcJgN3id5AdUpCVLpV1vnCThGZpwS4TC2nthGpI+tJqZU7xNyPSd47
+7C0M9htakDb3ILWRXNtE+qmPk9yvUSJEQPEASJs3wGlLaSFYjXJfoaS3DfBvOV+RVuDuzZVnptO
FkNgT7sA6Q0OfbQ3UVBgCZmOXFnh+T1YGXWcTrWYcYLqeb+S7lLlvjwnAfiCMepa0IADPcnzIelr
2IcLX0yRCGGWHSDeT8kahHDoKibYsWV8MGP8cUI0uilXzo+axdukESsBa1bNKYPaezTUnJ6IceCp
ALrycSS8PiimVALkwGbBPE5JNToj4b206WSeRBOCl4CWLKYlnNZp0FcX0QKqOByn8eCjuLov/AoF
uM19QhmcYjVVod8rzprrohjWS4SK6AbO6w1IoipXuQwHRzNRYJO0vCY0DXUvbgSqWvBg2+CqX3QM
erbKE5BAdk/WrttYeLUk8ZOvk841o05CDVslDmdVbSfgklso0zWWVYSnBDUsL9O4DAugW8v4CdKo
60H+sjrexGYCap+vVb+HU2ixJkvnrNp0VTRc9kTgXQv03kA2FW4C2RVUhYzZhC6qdqlPnTH5kXCq
35bGt+k0MX48h9rtpobojXBrnbKxAw3UtTz1eW3Pq9mcd4rS92TOpfbBp8rwu7iNmWSGz5UExucy
Xq6qS7XnSb+0J3zI2a4oSnxpDaOJ01QcqWVqT6quudZlHEjSjuUXRwJyFfkwvB4ak+8roCAZcuNV
HkwNJGk+XU5qwruhZc3pDJUU3rzQWVfUw2WO1uKKr0pt4e+t+CZQ4DKDoUtPJh0OW8Ztvxk6oyUc
htwOwuMDLlq0nXO1H1sfbYcQtlFd9l96UCsPy4oTatGcDMvgk5mtkRzh4KmprNrjwLSZ87rZRmUH
3lAe9QZ2OC2yla7ldT8MmxWOQ6nTgDEc2WZ46e7DTq2HYpromRh6z6RvQmwlgkyqwX/ahjkeNqbB
yEnbByIL2JljDqRY39gx8awbNvUS2VL2cLRsM+zag/DwtohFWVzr07FCw62K2cMgULEd0Ez2i+7h
btHyiwH7xHT8OFj7HbKg70xfhAfvyjPwfg2cHaitKesLgxj+XNp1gtQEcjiY1Ax2/rgcwAB738Qh
2Ao4SuDgIQmqCsy+cbB76qtDoesQtMTcPtA+r5KG+k/rWhzDO4ikkPCXYKaQJCiUhLP9AMoBYhvL
QAKtrNpHwdJZaWKnrOw1nGQB9YgODM1N4lcQyLxdImko05kgqgaTEuQE/N3O/EmLmB/U2IQpNRxE
+zBvCsi5KY6KZkzbin02SodX3BV6yIoyKL2cUMA34VL3u3ZZbAheiymPGKoavqWKsFs/ElTc5fAF
hKe3HHRvTK5pGFWgtUZw25plzBqIW5uAls5WIZZ48z/UnEmT5LaWpf9Qo4wESYDc1IKkT+HuMUdm
RG5omRkpDAQngCN+fR+X3tNTqbq6uxa9aJOZzKSMId2duLj3nO9cGBSQMqzanioSVy9DH025mrIu
O/CUnrIkKkU60LshoQo+/Lws23HmXn2veIVbkWs8UlaFnX4lymtYjmEks+9CVSjEyMTwIhgkqc5M
YT4pRM3C5SPLdP2UCZ5EJ7jJ2hTbBH8E/qi+mGT2ha/XtVgGCk2UjSqfBO5DFsBCQD3N2JDXVj3r
Za5fpjFGtUXdaA+R9tA0l6pNwIEoxj/61kzft44mnzWv69zG2dTkS4a+2WGuK2i3mr33Iy3SYQvH
o05w3ZsAHzWGwRnTYtWDLkmJfYdQbHeaLhYW5sjvOEug4ROex/GYoFqZexZ0K+bf4SHS9OSa/rsM
jMVfdHlIcL8DtXqIiDg7PZKXOFy2II9FK54SNCRXPHHyoxr0gIl4yBcnggvfwk+brFMpNtofzTwo
uEvbkDc6O8xN9m0W83MyrO9x5dYxx8HFiffRcFpr/K5UjIe4td19hjBSwSwe9EZBbBQJvUE24fSM
u7vFDVlDJdOmb3YYAzCpjiReRW783Pzyc2IKG0euQNtzalsZ5SOvMDPFcwDKhMGV6jO3vGRdO76J
qff5qiKI1CYZ7jX4gcDUVxeRaheuPCzDVEKkcF1VvWNeaIIdqLSh5HXkT3MXjd9UqF1TWLatZz+6
QBRzUms0vgq28DDi0m0mgZInixR6waZFdtyCcCoDjDoU9afp7gPTJi/DkoVotKCfqoDAHEn0hxMk
PGwzKi601fWqusSWtFr9+8YxtTUFrCwoGwwPywOzzfuyhNGT8GEl9m6Mtm99oOrjhO74Gmcje98G
H0L8gq2HlsgnRae3LLiuhgRDzjneBvBgRB8aJ6qHCNLQT8ymmEK8ru7VLFoIFXj/8E4SycNdlYTm
DSOcKp21h3qjxdKEwTnOCPwCN9dvzTgc7dQv+6RZvoyuGfAOijcYyIc+TPnRwEvaTd66Itg2K8vE
JtC4NXmIBCxF1BX1NnbcANjoMZnMeNBywwL7W+vVfT/wOo/VduDUlu1iuh2rF1zZEPILnyoo8LLf
SRrNpQPoMuUx7cU+2xqKGR8wCivjRP2gE016QI39cmwwf74HbQZtlcXDKdF0+Gxr6LHlSvGALMpW
Km+GbH4xSUjXYgjH+lhXNaYG7/mFy7R5oytz9jBBrMuKIBYefy8+5HPLxJMc6vuRT+gs5l7dwTmB
5UAbc1xtZprSBlM35HGz+Ge/qvYI8GxxJZUpPaZ1YAywoQl2wqb1u0ZV/OlDGxYt2JYX1lczdOK1
V+fExyhhCZ8fxxq22UwrDHIdJWejaI+Raejik6Vz3BYsWer7BX3M3bxVYoSF1sdw0+S6udybDod9
DGhcLiPe8oLQ6UvtvMT84dOdYrM9LGmo0dbRE+M9rsFFJofEoYPKMZTSKya4LpcWruJcDoN/avtP
pxX51dUrKSyfyKW+dbyLp+oZvF53H2XzVHSN0Y/ae3bEUYoeM8hBX2JJ+S7NSFKms28x7yVjTr2j
RVJ3axFrjbrV0voCzChGWzajd66G5YyKuxYzern9hCp9YFEN37+zN2dsqMKvBnLDXQUXqOzrTJat
itjz5DN1rcMu+RlmnFc5VD1cHrVeo3KKE5LLhejCyGkpoSFFZSDDKe9rMr5bJZOXEM/nk+xDPEoi
GqE7+O45ASmVd/ChCtw8rtQoshCo5vgUDEENNaXeVJnWSfOimr4+TI6NX4cKta4LIhj6SwuyLd8C
jVfckEnOhWlDOEuCj27HO/kTADT9SOZUPWzUDSXsRFJQgIp5p6OkSHk2FzQQDO+U6QrdRttZkhRX
juhmfDpLN6TfyUI+2nT7JWYeXZMsesQDBbUealLRmFE/ShI2Uzlpe5scYtms95mHdX3oMfVOhw7F
UxbSuvmIx3pA+xhBMl2aVJ5CrcQbHwK33S6iOSi7zGxrQfDOAhnw2aWdw+qY8Mb+pGLJI2juFY/G
h4E026kNVl7UNZltMS4a+IwcVfUkIBa94OlSX+u2D98XGpmScSd2giRiX3WVf2BtZ4qBT5gvq22G
7WzC4B3U5fhWewphKm0GyOE+TE/S0qEAtSV+ZcKnZV8F9S5jfnsZsqG/tE3b7HFbmB3j1t21a9Bj
Hg1mCvsl/H1Knoo1aocz0Zi+qDDmLtlEeCJjNrrbHRIV3qTb3sWzv4fQMp68rMn3Wgj2JXJotFsM
SUdHpIMOy+VhVVrtw5HtDF2nT5IN9KQWWoU5pwszhQzVpfLL+ogn0qClju1Hx2b9M8oMtHQp/Avn
dF7yDfNOX26wj0EwlFCNc/CN+HcNleR1E1U2FTA30rUI5tG9hGvj7uO6G5L7IG3nu3ELW7BLZJl2
CWat46AkHHRfB49bJFNMkqwJj1koza5nIxiVsIeql2n+Ws0RvZd9h0Yk5BBtDF1wnnH0euFgYqbe
vEnbACEhQKi8666kI2+8Jb8ioJ2vTU+G526Kqz3pVnXraru5iJX6EhA7P2yT4K/RWs/PZJu7Uuun
BVLrnsZ6eq875h6TMFrfSSXHnQaIco46lRYTr6Z3lJV3VpvoupFbf7A09X1Ux/TcGhccjJDNoxhV
XVTJXH/Oc+X2w0KDwjazwqgSoDoAsDpiNlSiGHo6ygL4R3Iy3A2H2ab+oxGD3fJx8/RnExH0Y64P
SG7QJ5+1SkTZxgy6bNw2pWPcF6KfaDHENzSinVKUJtGfmp5B92HjwUZ8uuuXqiskC8P3JDMdai3+
Vk0+qCZ8gtiqzrMfoz00W42fytd91wf1SUwmeuz54HZNloUlkW16nkJIGrr9bYFew1bcGaaa1gPa
6MzmWxQPeaVlUFROt8eBQTVmqfhIpfwEpfQrhdpaCLjYqgr3KweiNjimD/3Q/apZ3eUZI4dWWZM3
W43it8WlbOaLsOKy8O7LOqHsrJ6Xq4ExRMItgG8sdziyxRTG5ax4eDJz/7K58AhiqODBLI+bbk2R
LAoEAlyhMV9WGFnpBLmncUEuKDn6YLgzUXyc9HaJB6jfGzLqz5C64qNLV72PRwEeufdYcgF3X3/j
/Wb3hAt9TbmqXyj8r9ekxcTYeQUpvOnCw//wXYC+Edb9jtej+E6kjK8YgYO9T0V9aJ1yb78Tc//I
aDz+NWfws8MvUEL+YwHJn//5768dmMHm9zUZ//qft/0l//qvw6/ulhN2f/+i2+/586v+tWrjlr74
c+/G3xIdfyxB+S/iHv/bP/y/y4KAncqAGP6Jqf6nJMg/U7L/io/841v+iIGk/N9iZKTjOAUeGyGA
CAT0jxhIGiJDjX8SbCLIgEkxQNb/jIHQf0uAnWUIaQSQDZED+TMGEiLfCDGC4XvCDEx+kv13YiCc
3VjCv6KhLAUcmkYsiMBxB4je/0fWEDGQIY270e970w1QPZvEtDkU/OAquQW6zl22n4AF7TKAAc2O
mqa6hAz8Y2XW4VxrjeZ4DZoKkjTGUsxgGP0oRQMI2WTh9gDX317XUEmeZ9247kCOpujo1GLv2mwb
3sEHmHKCtnFSkZHHptawXZt53M1ukscBo/SDguI85oMY56xMohjKSFNT9DgdboIlp7G17YmmJj6r
VaEdnEBR7KopItcFMviQw9uH7tRkK/lVucnCQ4Ed/0NlwP+DYEmvGD3UXTdlgcyb2neXNInYV4f0
+7oLA+lwsfQ8gMGh7IxONZpEOetWf9Gj+Vh8oK7KqtfKel8kopnRTjP7nTEvzzEd5HNlR3a7y8w1
UJoegEW5XcAVogDwn07zRkiOKe00Emv2mDv9LsNbtwuFlgWoGbRnrVyebUtH5EFSsJarOVNU9EK4
+pOKPskn1qnnKk30CTEMgztt3r6B22UXmcCxxXVOUHgUq2eT6zSK7upOaV+4IPIY8qZergBrkvRM
RqH6HG9arHJjwhCC0LroJm8kT99C4YNHhpnsOZuNyU5pq6jLAy2GhzpaNxheDXXfOy6X4QTRYjoD
i6c2D4D4PHQpKhHGCdT5vLGa9+elD00EariXcU54PBnoSSJ7dLOgUcFGRHv27Ra3d251uqh609A8
qNJBlWJqlNqz2EUlZDl9LzJHMasR/Y3ME91XDqJCq3G/4iXN5nkQWfrWjy7ZJWO6XmrXzA9jyA0+
SriFWx6v6a3LXuz8koaQovJGRfTrlCzsS9eHdil6XMJPWZKxB0bjucHQVnXHKeHm2GRAH4plmrev
mB/EjyFR+skpeSNjpBh2Wm0bLgu8pHk/mbDbJZuxVdEypp4ln9LjyOvgyGqx7m9KsSmqeu6OQ8+7
q6Fm3Iv5hSKOggsDlAuRX7plWIsOUtA9BJXhFIKE/Vj5MD0maPaLJJZDntr2YVzD+2jbwrKeVv9U
D2gL9EDwlhHbFRDcBqASSdQcDMYLnGqEcg6LtdCItpaMOu8ttX43Zdr6gvRrAu4tWH5xXX2MIGMu
eoja6zJk60n0C/R+7flwnFwTXzogAHctyC+XpzSsHrRzxEJ4qtrzpAh4GPBgihc2UPypVcZ9CWsr
x2KVhl9dFtr3ld46iND2Y53ztGPnpMdtfkKmwE0n8MMMxtQcpds3gA8qenGQk0uXtN2nyZaOiSIc
GOsvKZ593P7hMKnwK1DEdT1JzZMwBwOUDjs4O3XwM2JVhb68G2rIy1uk8FF0dZYvE0+bO0Xw44sg
BIyKXjAsk2lsvmIGjps72SkA1EFd68KPCXIeakKZhmYeoafmyWS+KrUuhymzJMFIzL5MQ7Zcwmh0
92QJ2jdjgecXgjIM86lZg0/ONT+4tTJXe0N3Z0hu+3nUFUIom48eunDdfrSuCj8MJKeC21sCCacI
FRbjfarH/nVRNHQYPHyCmcPEQ/cp5rF78gAufmnitmPNJ/9pl3XetTTADw4rgMo7E/l4PawiStyr
ImGcQhJ0qQDe36XrMxR8Pu+4cyvb8wFfehI6CsuxtRU4ZnQx7FjRta7KBsSAubYN7+mpmaKp2d3k
xikPa+Ff9RTTJgfSPEZQ3VgsS5fGlh1o0oq5SF1WX9cE2IjlItr3oUQj5dHp5BQBm8OWdb4Isg4f
pREPxjXmYlMrCihe6wo+DKphhIsHkrrr7yamMY5P0O4AoqzNVaDfeQNwJi5jl0FQ9pBDvk0WL6ew
NY4E8KS1T0oOz+QsCEn9fuANptHG9MgE1qJdmqJSzfYzAPi95XO9ZT/kgAERRIRa2rzn0kPlHCCg
HNDxRtDZm23b0MsnMaAk2Zlnx7mjO0z5XJ4rFklVsmkSGW6wrlUPvAvseWnk0p207+PT0sNCvpq4
W47I0OMUONKcu82o41JlaZbDxAJei5EIhrIcn/k6jXtnbPB9GP1zPPM0grVdTS8BfIk2F8SRoBy1
vc227cwdZISafYc7H5iy7lf21U7JlBUx67U41qOf5W4aGHppBw3Uo2brERrVgmEZ2dG3JByXlzET
Y1128za+sCjIzgPOcL4SGj+Hboi/Epc1ZxTs+M4lBGaPtgJmznb1mYnhZDC55GlSX8BF39ERBxaY
s/GfjelijQsn3rab0sGSewXelhQNPkqRD0NjMVhamNUHCF3Rb2ictmnfE3DZTxG48bdERvPtpwfp
uQ4bJg4q6qI3vWrUOx6wsb8bumy0O9sM4wPhE+IsZKbZ195kzTGEeQBSOA6G6JgQEPtFRSrEGJhE
v5Y3ja2T0kEKikABad08uBVW6y6dnfkYqjp4sJoAOWqiCYiRnbcWPUQGriDgZvoYMFU/TNTfRtPK
R4UQiXtxUKy+p1gnAkVnclztJiFQaIIGdJI0dBgKauLmAa96uKskCdyR9cGyFrWc3C9nZBCVjVgA
V1VpFvNjt91sbztFHDIrGeA5y0CiYDMfElfosVmuHNO8B7ExIoonwCZ8hilN6oK3c3fn5BD1RbwM
P2E7m2M/eP5zwhAP+msFQgh+lySIzSWN3/XdoNE56EB8JJWwlyTQ81dYi77N4S/p6xx2b+kCpyE3
Tolwh5Qi1B/r9E43s54wOLWfWMRV4Sqr7Ltvu+5khxqfOfzSCVZan6lcBs2YVxDNUFN0p6F8pvW2
b+tpeNTKexz5aiRhbiINQ0UPw/SBpKadcoFsc7iHUL68b7KhyCrUoRY7ksbiTOJUvE0rk78mJFNx
pOebcNpNnQ8L5Vs8eqtohtKPSAagKk8OyRcHkoYjkpOVFdVNMYOh/jLDcQPrL+3BQvHL+8H0ULg3
v/ObPKAhPdZBzVxutW5h87C+SAPPxrxex+4uSuEFLnCEAN1ylEDV1A5xCOAYMWyjAvc+6gn0H3on
0qhCbtb0l24Wy+tQpUsBbrgpozBeP7KBGVM4Gww/hG3A6Hkpo59rA5ijmndV3fkPWbFfMxhoyBdI
4LqKzmGebswDR9vSJM8mxCAOVdXAyqiV9Idtk3TbkdEG72GM2+irHDrSQEiJksdoZunJKweiKLLG
DEcx9iaEETMBoZqytv7Ri2QdCo8CAbmsgyjAUklm2MMIziDrGhUj7oDTqkz/jHDZ8qUaV6jaCxST
g9PoMjHAn2fKJZLXQK+3I3FNuuZgrwBwtjRbXtPatDaHE9kdIl43P3iIJoGqGuAw7Dfyy8akQdeJ
OOCXak3tEypQQIspiKCe13XnHoN+yS4gtgQpKY+yx1q39gVrEpP6UEEu6fMbsPaNKUzOUDR0G5Zo
0LaPNF37n9BicDr42A7ZGQcPjSEiRt33jE3uNQGccZniiD42a+je0iit+13UTwA6I8E23LMAsoHI
kuwQw6864ulZAB3JYPqMxw1y0204P7MIHAlKLe9vbMySQkPfonYutQN3SAMqj8Y0MVAsx8X7LV1f
IIIOasdMBh/gCBdmBHJBwu9Z6qa7kC3iutCmM/mW3lqweRToBxpPLZqDqIpy9ISQu7PNXbYKOEU+
zBv4MU+rIDvINm5+oUjo73pZ+NWkgY7KbR3aHd4zIAUQXiExj6GsS+j1VVWGVfcFasl8xmGFn6kW
Usx9FN6FkVrzFOJTLpNp2aGqIsHBCQ2BCWYVTEamI1kIv4k3iJ3Zp8h6HG0rWf0Dioq+2D6BG89V
uoJ1djb8gYANGO5AikKRmu77DXPjErf9rqPr2SKNlw/ITNwwCgMfz7ePHWeaFjOBGJw5MJ553+nT
Yp0tEhRJgAIBxBHQJt9ULf2P1dwibT0w2+uGBN2PniJygqyFeJmasH6nVRO8qEVg/uO4Q+7nvq+W
Aw1bNxZY3jDWBQ5WQPdjkLTFqKw9w3ZJdmuzAEQLyBFB1Q3m28sGxo+CtPPbE7aspEUX93BqJp7x
8yZakHAApswXJyN5XD2aC/DbxsvCtk5+sgiCLPJ16W6AhnxowQsKGEytPIsxmx5ZWMmTwQfwmiWz
eUG9GC4iwstAZwRkf64llLsFF+7mt/mVLuQOvicmqtB8cI1qu2axeEE86Q8NCNIM9mn8QwL662qJ
v6cmWcaQDE84Q0wXax9ussZfA5pphDc26kd/qG2on/rFj/cxBL/StyG/U97wQ9iu8v+Qmvz72geE
gaFURkg+YF8BDf+eCkVOvvMVr9fDIoW5oMsYH0W1dGUUaPnaezvtMZKxk1uQSf2L2vO/eLn/KayJ
3wzZJIRbEfMsi/+24qJPkoWbxvkDYm8RWh0ez/naMXK2W1T73GRV+/n/RGS7/nO78N9Vtr+KbP/+
/5MUF8Z41v5rJe4/bA6+rTmhv3/DHzpcxrAGN6IQ2qKYYbnn7bH8hw6X/Rt4eHwpi9Hd0d//5J86
HFYfIYELJ4zhm28y2Z86HDa1hBTDP+IaUOqwhSD87+hwf+hs/9LhEDi/HZYkDDOaIdkchX/LGneS
L1iOgdxJJX23AAInMtxNWG6AWEw3TW2Rdt48pqqSiLvCdmiLWWwjR9RF900hRz6jC0kCbksPpH6P
xItP8qjBipDjSqZKHaCWkWMKmmKH7TLxLxAUeFoJ1lXcxQkuFnB1qSnibFYnZP12OmndY6xa+pS5
kN0LujEkNUl7WWmmTvDM1+tE45c07h3KYbIdAkgmZdfR8aod37u0hxG46F3CojtA0QXvp6n0dvEF
wtrYazH2QJtt2u35ViMCWE90FyXTVnRDdq3AAdxDKBOH2MtvbajUeaMGSXQys8IjwLQHyvXZZ1g4
sMzuZ9vU6aHukQOH1uOBmVXbCWbr+OQB3CEdg0UZ6KDgK27gSdtw/M5XksJ4DuxeQysslwy/M1Xs
VzXz8H4c1k8/Tck+WDf48ZrcswHXhvY/MoQyiIjKsam+rpgex8FcANOU4zbdNTGC1BJiXc4H8jPu
UoQ+1ujTmP7gYrS0NdsAj21dQZfoVWRyzm8y3C6pFQZpAYJlCPVXoMPrbuT8nengom0ICJGXi1ts
oaZ12GViSMt0IvMZlrnF6orwrmm67bCp+LASBCHR6T7WtgfD7VfXoMls6BEJnR/bQn6HJ4MnHzEK
swlTiLHx9K1xtEGwjs3iJ62Q0pB6xU+ACHhowyX+aS2YTTMN6UPTCH6OVrb9ZrMRAaoY/EjeOQRX
YHAvFyvrhyDs1W+xXbqbshfl6LyguSLLnSfKjJ99DTCcpOQ5HLK7GqpKgcR0DeWP2OiBVkhFbCZ9
rDsOA5b551R2TzUPEKhY+KNv1HLCBafOahhZBz23oo/Z3A2lSrafJtHrPiXmG6ax+eo4OxFqfAAo
wNXPsL4TBIcGfV4DSCcDS/eR7pddu0aYjeJ2O481fwhJnDyPwrnwAkccyeNAtuFQthuBGNTEdYP8
X2MmVRCzCLJDaAP2sp7xYm/0NM6dZlO2FGxSjdnFHo3DoVaa4QUTTZ9tmiLAq6PGzfCGEG4pDfNB
UEzzEEBzQ9pD7BxHG1J6L9VtAukqXlamgkMpdBhb9MstZNpW2FlcoM8243EKs34sJIWmmes6Vv1X
At0ceBxp09GXdZMifAXROi3oDNPzPpF63I5pW9vtXA3SLPt0TdDTi9ba9AUJ7KQ71Yj1d7/1tfIZ
fq/OcAKcNADAKNEs36qqjRGyyRAc3jLEJAsxB0l3kBHbYMUnWJ6yG2mgJMJOJHWfHQT6BrGVFIHZ
EIs6JMJ+WfINYun2tV1wYjJIXY9W2HQrdYXcJ5Y4rLKDtrSYIKczaQBv6BWzRdIZAb2mNnizeE1y
O8fQKDHd1TrACRlTHAUFaAPtavPitBh/LRUAkFJJ3PVFDey6fmSdbvTeT3Gb7poR2ZF7hGrw6ccQ
oQ9iXum4oxVs2iJgqUf7K0gPMmgC+XNigx3Nz8GSSe0zXg81sq5phfTUHPrvbcbhHa6TfM5aH+wS
w/ALp74uR6R68UJ7iL2nrVpBXg7zmpvO3zFC6beaKXlts3j8voB3QXRRrsN16pBLzmXq9alZmf+e
JqRIpIvzgLlXPfJXOa7vaavX0rWAutNkGfa+luYp0iHKnhJsL9p2fIk57/bYXJN+CDqA1ozG2H8L
sThqAQx7A3DaLxWxZZ+1JUHuHqr8PJ4Zfq7N2RgAAEQJxZ6GywjqPDpkGL5/LTM2IRRMLNB3DHrp
h82acEfkWk0HsQAdLTsO3W1H29YsZ1TtL/MYr3zP5DC+6Iab6Lkyw1ztDecpdjY4dnYIReh8s2Ow
PidGIa8GBRPWCmA0+WJ4KD8JM2GSwzJ1skxtrF4t1IwZIWQM7XcerJrfy1k50KpC5qGqoXcu649V
atDbDM8yJmDBQD6L3u8RvNOFXR2IoXFTDzFpwa1F63pNo+lpQ4bmVCFy8AQPb4K45pHC8QG/EKz6
+XBr0j/1JMA8AXk5e3XebE9bZRvzOGdd96ONkuQ4gc4/VXPDkXyZ0uY7g9L6BGHMgm0Ys4d1bJA4
GUOd/hA0nb4aADdDadtEsdxGUwWDfozS31Ljh0u/TctvWASxTIXKwIS9OjJw7AQjmy1oxLBOCgqi
Nr+p2/anQhMZ3NfzzJ67LmRfG9A7BzUryhEvRWTmErYD9JMWQVQC4uu1E0MvCgd+7BdS5N1vMyfL
OyiiCSmZWGYlSxrb5aEegSYqAI4PpFPRVRhoklfEl+NXAMdDc2n7NQUTFnYx2wlFZkxhgUzfeSeA
lWuXrQcNIZfesbCOPztiZ+T5aPoadK25tGpUyJiNFYcmHibf/IQbBNkRFEnebOKdzSR4omsIosMg
OnDtNsxLKeXQnZcsgjWWhGcp6HiaY1rPiBciQoaBMyCoEZ2t96nFuFZ4siEFTzLv3lYZkvuqRSoQ
mo8DGsOE8fbaEAXyyYumXVAlB7PlNshaiAh+MzuJLSh3blxhK/kocsmT1bN5ByuIh66DdDfvGnAL
8KGqjGND3G0yO6XVNFYngsSgPcL3xf03iJS1T3NCyfaQsErSJwLRbMN4oMd5jzVTEPFcxLe+7CVe
OlRTI2pQUPUC4TEN6+UgbJaIi2oJ24q5XeankALVuMPalCS4wITxDaLdpE+LHlF5LAzpOUJuZAOW
Pqik/1I1SbE2GFC1ge5CM2wVaWsceWQOsmIJ2XytMZMelnHIXhH1ZE8anQuWA1Wo+2wd1JHEPjpm
CYIiPVX0iPusecBA22DxjcPOtlgiDgtixZRAhPzFVTFyRC1Y0rOKwEBi3cnQL3ggZvtzBZPV5usG
pHmKgnu3Lcgy2uoZAiSwa6eq3cgCqPOmn9/TEKmy5sZWaTfA+USuCYm1nonXOBFSYNMAbgcPo+/k
txQgk+26tD5gz6L+n+yd2XacVtutr4hvwKI/pRrUWZ3lRj5hOLZF37NgwdXvp/zlTyRiWX8Y+2iP
fZbEDkVRrO5953ymf+aAn+Bnxa5u7pCAWMOtEIV+4/Wu+a7QEvODNVGNgiOjIYut6YsqaDGOk+8b
Cr3nmheZH2ZjxLVZz7MbH/xZyvfKzCZE9bOXX2Bljr+zzDFZRt1kq2CccHGcFamOfJbzx9fGKH2q
4Xpxu1j1bQuJJ+xpFXEObApKXIt9VXeNt6+kfdli1aRiNDzQ38qxbFfR5aTZy1cWjOx97IrieyMB
JLZ5a7RHLEn5uTF0URVwlGm/x0hUg7q2o/O40CdUxyULVKMSF5NR2tGV13uUMbjjgR7Q12zRMiq2
7e/sBE5Lj2+DnpdSy01uUR9ph7n+1vTzN1wIOeU7A+so+jwcU0dpcoLdG0VJw+XZ4ewXB2eED8+U
B/888ZwO1s8YcqaS1JeQBJxbdYGjhHYUkoBCyx7+/cdATfPhUDoIxOzV+XxcygotszaduwolDL3A
ONu1c2u5b3ydlxWI09c5/b7QokydEyH/+vLrGL4mBs+35fkiK/k1O63wzrBwIohnDwSl0vL0RzEu
SQlHrBTeG58uXpYh/vvxLgWQn7R+31l/TSpVOfQSczi3urQ5JqeNgPBKvAenzcE49cWd15rtMa+t
+TGfa5BN7CZG3X9Y2F1YP7cZRrwvThuPymHfv6hb2I71uWO2qrnQdYrAdHwHF/fIlBY3yKCZqmp3
QZKU4d8JbB+G/19n91+8Hv/8QpyEdZcju05rwrFXGLbFtBJ69bg9KEX3WdDigmqCsU4n6D7O6LPG
x4Vnnv/bDzV1pDWGgSbmJL5ZvZNdFMXWmPvQWNJ4uTJdk7308Kh38UXqzu3X33/Y6Uj/8sjPhxk6
kRYGV7KslfQm9k1RFV45nE9Lqh3sTnxXuXYsdTW88a3+OdLMk1IIgJlLkQNo4stXE5c4qLQ2rc5T
WYrhBsBMxMJZGbY8+/03Mv75oyFIsjhFsk08JQutfrQ4p1+Gx6Y4H0iOuEww0O1p5CfxFdUPU+5z
CId96C9UhFnypv4GhJVp3XqGje6QLZ/8ufvDARmDbJDRgmj8tD/sfu4Vf3+r/3gmaMZ5tXwKOzwW
ew0DjWkjQyLwUhAsie6eN54cblWtOCz9688hCutEdz1VkiBmvnz2Tpv0LbY9fBkRh4F9BwYFJUuE
lvbn5/zfVt79P1cUNHjXflsVfJa487dE78//609Ss/cf2xZYbCn9CeiwHhq5/5YGYTjrvmXrkPh0
neFz+vX+LA0axGdRGETZh6SFrqbJH/1JaiZxy6YG7UPFZClGq+f9m9LgqVz+9yzhWsx8HsuWQ9+R
K/EurV4gmuqNi+L6AMLzbIYZ60T5k+FhEqApz+Hsbqzzp9YCpvL7F5fC9PqTnZPS0ManCf6D77Ke
nxLbXJylkAcHUe2PyHJ1Kj8WBYnJHo34XOgLJ7iUb2DSttGWe9U3qkD6mixwHvrmCWUlwpR8pg2L
C8DzPtfeXF/imBfUu9LZKvf0xvFP6/3s3VpFq9BxoJU9mnYEtqwDDbU4o3uhxQMn2552EcoYNO+w
sCEAOd3NFGMMBZL+je50tcd/eswgQu9w7IC+aqv7uSzLYIj1A2duHZeMwseluuzeVOx8A6VG89qo
NeO2oBR17SJZwvGrMlTdXkaNzuPzoln1oTKd8m6260PeZFeZmfXvToLAQPmLsezQPs4K/0TK/zzN
KK1hWIyIjDTrw+CiYNv10ohvmO9onVfsxo10jgLhMBEHjcD9LAY7C8wiiz+mqBLvHXtUB1BmzT4G
+GHAYrmb69baR/WQfB702Ix3Oc3P47zkZr0zR827mbR+eIooy1Iiqn2OhHE2+N+HZkKDMk8OvJ8O
IYcCssg/Ct6xfdSYyX1ftxFuG2uGLlIIyGSIH+cp9HQvuSQnAG+JTbVXWPjiTM12rlVaWjd6ukBO
Efls37JRdHdo8fSrtFfQvRpV3SokCnK3oBlGztMikoeCWPkBnbMqrC2prsbMG44InTiQ4LU4Zumw
XFZqbD60ledKFOi9Fu9d064/CqUhthwoGQZuPjVaKD1O27dIBKmmJtTk6IbOnLf2Y9WWO6tv/IHN
gbTO0OKmzQ681PKxLATazyA60UqxFBmDwlTtzTf8valF+FcZP2zNtfVDDJoANOrg3ybOhLdWp4do
7yT4lZ0N+vBc9iO8NK+qM5jlo17TM9aFCWvSRfRRo8L8aM8YLA9LNjvR3hkrgDdq8NiiIISAF4JU
+zwqe8Q4cW0376RMhi9tJXiR8lb/HOt18iNiZ/WNJ5Pe93nl37i5XdHfnAt4Nqklk8/o406iUao8
R4HJxQpY18ZbcEh8yiISA35X7tMVLlzrCzXf/sJZMkftImtE+JKOGdS5xDTmA2xBccTOMb8X9WLe
V4aXt/vJEFQNs7IFM7X4o/oGURERTkZp526MDP9L79XJJ/aVhXewvK5GRljkgA/92PlIaxhSmJSG
Okg6wF/Leug/TLFP01Ngwv7aphnnvgbM+d4wOsfeOaBKdExlrfFD61PjfTI05Uf4GtGdo0z3cyUL
AWPOLCJa95MJZouKLKY2Y6TTLitsRLXTWod+lidhC2hRUOLUWvt9jwTNPKaJN2Q89wI2qKNcEcQJ
YtxDooOFRmaGdphWrBGMA+b02V3GMUzypLvHa0udxI/14nLJc2Wc2AvMIjl9+ilAp6HdzM2M7dHI
vfxjNmsUg3SkUjBDKrf+putdpVM7McuzpdUwjICbc2dmQuGeS7SyY+DIE/OpybzsViuL5BaBtC13
HO5hotIXne5SkEwf+UlB8DROicfRa5xDZDnd+xg41t5qrOlgm3Z5VxjQvpamd5yg4Yj+2exZTZjM
9PlxQnb4hcmcXxQ0jJYEvWvAXMMPpEHTHOMsD2LVsI9HRaXQ0OnTwFlPcacaFBKJfoHjkZf52o7e
PdPCGEV2vc+1ZbyeUAh8LPQO6TBa5qyHu+zjddWFLx7ToR/tXSxtG4e4oVV0VLBzvct8IW8122s+
eLPCLNzTXvEOEbb4zxOO6u9tvOD6L5OTjSmliIHhUoAzp2aQ0LkCozbH50YEWiPg2JNfo6rSk9ta
h792QEpvXtSjEydhX5iDfzFrso+DWRqMrq4uUzyPbaZ9RXKkoh2WoK7nnF1Fx77CpxpMqHGOlomw
aT81SwxE2qw0a8eL0+HjQ4eEagY1TA6iEM4PlJXZpjpt9/wVw8asrDpPXnU9bTeqz8uFn43NrhFe
9I43qfviQnx7p+Wd+xFDWXkxIli5XDBnaKxzTnHmJDMraF7J+VPpGUx6sZdO1wCzvepQ5szUS5U7
WFjypG05E1vu9xrZ8HvF1hkxmu7giMYSA5tNut3TLMfkrkMmkOxSGKsHznPTtUf3H2YVBn6TOv2n
qo5PEDuvTneZy7ITO6cik1Mtl6WosOu6sr90GXoHkzv/CobvWk5JFEhXt+dgYSP1RxzZxbUVyX46
SNw7eIRMhDM70diufhahLJwCmFbRVz2eMYFKZ8jnq9qZ6S94zph80k2F9rD0ijRDX6Y8gIsG301F
yfzZpCP1wPTb3CoMhGFM0+2xZn2+ckSskKOhhn4spfJpKPXQB5F8oWnajZmb6jshaSbBUcuBJjia
3n2ZpD3cwgscryNFi0h3ezB5NL92XpQuH2wG0jecPRHYACg3R1UXocBWi2SrhiAQdPDovi9Yf5ud
3fauTZcVx93pRxN3qdXK9xRY5bnURV5ctXgHH22ZJE9LHpXJzkha/AgGABQeXJYsHb5SkgWs80VZ
0PMQAnqfZ6NxvrK6pHeYnxJELtBQwDQL2S3Fvh4agKBI0GhH6RFL/g45nqUwYlWQhzSzs/Y9ws29
MoueQYD2RfVa9rUVfnRdj/UnyE34OzskjElm1Dtq5nNyZGPQLrimNXe8nBPr5EMwk4nix6lPUUZW
dkT+DycR5RDAj2juDrLRTHS1wvvWisG8rBLcIwGm8LjbRbXfn8FjcpA/GY+tE7UfcmVaf3i58Auw
2LxmB1/0NHIMwSYhsKQ7PHmOBmaqle4oDwhkvXvddOLoKEcUSTjaY0g9iZIZo9OUIg7gVHS8NJSy
KF95WY47DEBZfSlHy/pEkZI3qgSRxUYIsSQQPJa9rtBR6HgLva2ABd546nKII8zTRfw57SrQBJq0
1I2Twh/c63M5HpKUQIoAPpABQVmV80XaptofUdpJL0DDiyAsB2q8a+x8+GK2J6MArT/tS6w5tbMz
+zn7qiaTWcBHcTUFBtiw95XXwOiLR/RGLFTL9GHKJ53FmHZ+T/sHY3/AK0C9EdXySW5k6ua9XhWL
dywmZyoCRDFtt5NYLc8HR7jf4XBD/7AgQvh5se/axt+Zg+EcbQqunyZF8cjWFnZsXZQYQU6XNRj1
U3cALdy4I2xhwdFoaN9mI24edXtXDVSAJ0sTQeYvXhAPXnm0UhCKYMBp9iwNH9bE4kZmHugMx072
JXzLQLPnfZmq6iz2bUWrJvOsu6zRtMNUVt5R9F1BKzSyWHLH6HaObNy2Ll5mCvDlN38RxifeRPNp
Qkh46Gh8MsJo7966ssNKkKgJsnFWuPeLMaf1QR/85L02G+U7ISeeH4Pio7ImpqvCBGoden02f6K6
3D/05OhA2V1sNe+lE/dGYMyNfMJ3K79Z6MjhjHj9qfVoRvpJw2p4T6ZHAZp6cZI8WM1cs8T2wsK8
bc4BxXrgwbHgLUQYOVXJ3pDz9JRqMBqapS3fTwuTStBUUSP36D7BckRVjAw1GgYlzlACKm8/52q+
sHgR2fQW5cg5gJVWp66AGNrCVcoyVrXFdcluvtznS4bfx+6K7hAbTvq+yVvtvp4XMC4uOCCIigu+
pBa+/SRQgdZ+ZtJDb2lwBEXlgDEsIqw8ak6BvLmJ4z/U0YhOGWw2O0EWyqIFxj4W1r42WjqpMVAV
WIZNyw5Js2YerWvVH4yhLI/EVuTkuuSNfqkWlYyHoa/8HvBEX3yapef3YCxl8iN3Y5qIrRuxK6q0
ki0i5jSs9PEk6o865eGHCbPUd4GM4WyaZ9Wcg2SvPlecjGtYox3CQquO9SPHWPtmmvPZCEw8SX4A
t8m49OOR7aGPFQwYaIVCej9OEUJ6z8J2wTJct3cdyOtxN5S8hpiw4FxRnuSY01udfivctDUuC6+j
nzJ3lv7g0ooJ0Dv8qBbSjdDhehDrO8PF/TCWGpJ324mNC4fS/XU9jGwhExRy3kVaevpF1IH1YVq2
8/Mhs7vbHvcq5IXcgvBq4bEIRkVbOCXTCWdKDH5Sq7PvjtvrHc5uelqcku07kI2XhocAYWrr81KI
5VolOchIlP0Dhy9cKBPGS6sI0xp2hDBiEUzCuekZADcpaT/wqAbUpwWU29pl+9HVY58EszvkpL9Q
bQW2lO0TWchAjZMOY7tLw6o1qruJsvJtOXew5Q12jUhp5y7iY2aruKoR0Rw0oAqBO9O5mFXm3CDh
6484yc+AJhs7xDoHPGXTbeV0+ke9wtDFBIsfHi33pwpiHRpH4dwjDfYOfpPNR7tSNyh41bQXtnRg
hCr/HL6MFbE/EfHIDIU62KcNdWnQyIIPkHrLQe+K6hoKnX+xjNDJdnXkIwNi8v5BfyZsIdg9QWnN
b+MRx+4wVv5jrY3ehQvd4rNonfi7xwKKNLfhcFbU/BVL6jjVEEUBJx67XLtd0Na6uNYbuBVj0jcP
JRXEM4GiGs2vP4PWKRM4EVElg5HG2ZnrJOMHrMX5l4jOH51AfdaeRulW/Rcz5xjEBiAdxbGK0FOF
XQZElJlUqP1wgiZTT22K7xpdmasZCDQN4sRnAcsUvsHAaOZ8OhYju8k88/w7FGhedjS8Vh6lPeGG
S/QG3wlepRp1vMFOYZ+f1kywjinKrQYgdOBN5pTv2SP1F83PaWfg1h4HxwI4QfJBpO+V0ngpRl0s
9pldckwgBceEoyrqHjxI42LMCczKcL4M4PR+NHYqor0l/Hzee73nn/ujr/wzMO99vAPfySZ6Mgvn
hxdDHUip5Fz26I+uiXlaoALpCRtTaWRA1kqLlAgrblMgo1Z9NkjTvLcGfSwPsaczJUYeJCPsDzGR
B7Qm+yAt3dkOU4zmDc3IahSBMwr9SnYNxJxhZPc0eAmWj1pTwzfs5t4Q/v/66M9IvP9m2X2rZTV0
8/0P0FZ/RXKfNJA0pZ7V/f7hXn6RE/jX3/9TMun+h04I5RZ7LZn8b4KdgZjS9jHC6iYV0z/roqb9
H1s3KKvTA6PabZ/+6M+6qPMfZJT8R8qZSBwdOH7/pi76sjqJbhzXLwV1fdVn69nb1zDonLPE2Pv2
TT/+q5Ch/7mu8Fd11q2JeL++bXSoL8u42V85b0nXdt09Kjc9fvhfJLa97MD8ffsnVfazbioJdn/m
3iGL7Je7Uxsa/paZYX9EjFCKgAPvEB2fvSu/6NG99mVWbbL+r1g/BebDDNDcEulXz4735ffXP930
37Xvv7/MSgy7Sp0zECOyE9M5RF/N3lCpUHMXpqL/TUbcKx94+qLPnt7fAVtj4bvqoqYqIakqQho+
/P4bvazm//2NVqlFf2fPTXnvThfObFLjbvJeJFd2nmTinSFPEsm2b2FiBpxvaPkjJx27tzp0p+Hx
q0e6KuY37v/kpeE840hKFyR0iUlrcrOdqDTGKL4CObvaVT1RDj/gyK896BaxJ8o3GruvvTRMDM+f
8S+iwlyAGG98v9cuvpoVNkaDvXL1dQ/mV5FgFcg+ufv9y/Ha5VdzQ70tBey1q69mhr+z+oZaW9iD
KYhDe6epa3fj7a9mA/FXupiiyJ/tZsdRVtC2DKX9tuezmg4EBdeq7mkCVPXsOrdgS5LhYzkM2tO2
65+e3LPR33u6xGxpe6T/GOVhji3c6yrNEcb8/vovG/5/DX5vNfj9OrcKKeYoJAZnKY9gBZrxUEyz
AcM5TSx/48eshrhp4RSiVeKGwOgFhE+nrnSYvUahDk06TGrbUDt1S58/rRZ4dmSq0gsbkS8PSIqT
mwoz0MO2Z7UayBMnNmNi20GYkEoPRd+55lVsURH7lNse4aO//5RXxoS7WuwTj5Od5zZe2BUW5e9y
0W/82ID4s+3y6wEdpTN1wsUJpdtyjNUzZT06CzTgbZdfjWg5urVLnd8Jx4JfYChixP5SQ5qz7fKr
8SwRqdN4yrzQgmzIbzB7SqPjNZOStu0DVuM5p7AKRoKn78OkqM4bg3CHA2yQZbrd9gGrAe2K2ewN
TREh0yfpR9fr+1uVxnDif3/504P4xVrqrsZz6Y+TnWETDcuib6N7/C2t/Gi2i69f0Hz23TvSmk3n
/Pcf9tqrKl4ON3fuTFQItguNzhrAVSym8oMkP+GIt33AajyrdG6xNsMizvsYHkFf4hkIADh0b63N
p7f+V49rNaSJKo71EiJ3CASTcJIs5oh+W9JWci5iTIv5QWEvqj4XpWd+kVU8VW88OeP0Ab/44LUT
sVBx5JIQwrxbeEVzgb0qIr9lgYWYHjyYe1CFqiFbxl2aOGCrc7XE7t6B/l6/H/XBeUsd9coviBzk
xYSJ51ZzvVyLQuThcm+mE+QvJPFvvIwYzn79LVezgT0OKm1F64emvnRA2o0IehJ5aAvOfh918U3c
lxg7NGsqzyxqLfa1IrC8eocA3Ms+U7+37Tdu5bUvupo48CbYTT1hR2rcqIfls/g/GqVwYWx6Uf+R
NduZjkHpyg0Jd0IaPeBcp8Doxd+3Xf70rZ7tAiTdaS/LYiuMUbc/2iyl172uldvmbGc1Z7QmwGpN
c/3QLjjJQIrz0KPLtJv7N4bxK6PslBz//PbpvMy2oDUZDvMUiXNwK53+h2oMRhwkagBWFdUqQiEW
p4m/NeUJLrrtua3mD3NCxJgL4C6OF5XAQluBK2mWlrZxuXBW88fyV+KrbG3j8L8Ne33lpYWn9uK5
oW3Sq6xVS9hLUMxLRcCL0zXZG3PQa1dfjX3kn9RIWRrCTKSknmAB2dPeE9teKns19Dn11J6R1kSE
cm4M6Id9qmLrrV3ra7e+Gs2G01QWdvgljN15eCfnirS3ok2MbNt7Y692AUkmh8YkfyLUotI/F6PK
95HpWeGmt3KteTWb0YYmxdWHSFi7yUR805fGW2HErz2b1Wj2KrF4o8vPqg3Ea5G4gcQDcua2edRe
DeUMJqg+RSdLuZEWx94/mZVsazn+/smcnu8vVkV7NV6ryE6WxdCmELPBD8KnCVxDftBU4TDRYf/9
Z7z2fFZD1gStW2U5wAQQOd29P9TZwbDq/I2k7leubq2G7FCxFZoWiE+1ZTvnJ9H9njinjdONtRqy
9MaKCBMezrb+xBQsSvcdusaNt74asSzUZHxCBQtJu4sMIhbos7iJItlx04O3VoMWRk+PYIcciKZK
1UU+xMOVjGgDbbv6asg6faGNhsyGYyfjqX9vTrpX3NidB2dr2wecfvFna3BukJQSj5AXySJednlj
P86g/9948V97bVaD1s40oqc9kDltQd/c7CXMHx9t2bZbXw1as8nAHGXeyJPXHjvB/q7yVbTxZ12N
2RyChab1zp+3DllSQIknsXHbra9Hq411zUuM8eBPFI3F6er95gdjrkZrro8kN/ZcXWV+spNejgPP
IYxn072vdfyJZXsYlXSubokfbWqB0UzjjZUtczVakYcUXhpzcR+XYlig4uXk5ahte4MTXOL5y64G
041IOhvhU0Ykthk0xXBmDNuWV3M1VsukEVVNYN0BEUwFuT79ITOUj9ue+mqc9ks3NHWCQ73MoXg6
lv2ojSC0tl18NU71yO4IZNCGgwtlb9+rlMBmGH/bLi5ePvQWcyopgFIC0vbJHclA2ckOkeG2q6/G
KeGfGn5YxPquL4136L/NW+THf3o9XiXsvDKBmatxqoAqIqvwZUgqAj3VpfIce68hku63vTNiNVRF
q/xSNvEYIs4HwKWZjR02kxi+bXo6Yr2ypuiaalWyskZ9gW6yN6DskU647eqrwSo7dO3Qt2Q4+OYX
IxN3vWXebbv0eqSi+gLyqA0wPrRrpsfHWRDWse3aq3Hqp7TGjcodwmxKvL1M7Ic6R8G27eKrcVrl
uBrww8pQw3W9g0h55YpW33jnq3FKW3hqiBwh/LVQ39PZ+CTs8nLbfa9GKZJY4g4wMiNfMfoBhXtP
gNSMIGfb1CtW45Tsd7JLrG4Ifdx5n62BeSDo08XYttMQq4EqW5wHRVTLsKy7ZV8r948kbaJtj91Y
DVJCYFt3RK4Y2nM3QxFEd9Lnb3VeX5lijNUQ9YnMThuNTLa6G6Di9LGBazpqPm36WU/GrecrnhjE
0A2AjUMtiQBTlNNnFwfetmuvxihuaz+LklyGnT0iF/bUY9F6t9uuvRqj1mSpKTW5Njb3B0vO72yr
f7ft0qsRCiKbXBozJs890jTy3KKrdCEpeNvFVyPUMJrGXTShHRzdv0G9+Iiqvtg2tazdYXCuR2Zz
nkmRVHd1XAN+STbe9mp0Ws00m4oC/qFexrNuEpeWvU3k8bNS/Ox80cw2BKGGs51TxlderWDqRf/K
8PlXk09fDUsoRyrBBqMdmvLDgl4ucz9u+hH11ZAs4HE3S86PaCX5H53y77zF2TZP6avxKNsR6epE
NAcoV+NhmQcRksXe77fd+GpEmlWkqiz1h5C8XJBfVX7mR/7nbddejci8SHvbNXRs09BcA013vlrQ
LbbNsPpqTPJit2hnWZLhMakA44e2932AyttufTUoESO7g2WP2qF13qPW9Khib7vwatFM4qS12mQe
Tl45bCI4g2ChOw/bLr4akxP9rnmuov6A0PFsIgVg35rZsPFNWa2XnZR6rhVc3CvsW1M231ILPfCW
G8eV+3LNQaI26y1q5kNXmrc211Zy3Hrt1dA0SBYzcatQNhYmYkZi7S9aSzmbngoQwpd3DpNhLNjP
8qLYi0OSQ/ahcJJNGyz0ei+vrXxpTbnPyFfmPGQ73Yqceg9Hy0g3TS2GvxqgzVRaYEwYQ7HVEMA1
fqL58GHbL7oanuSd6XieeC5Q1UlJl7CKcHW7m/YRhr8anl0yutSjFTeu1K2s9QsFHGjju7gaoZCw
dMtNzD70cmg0ZK8Q5uiKjU98NUJl3KG5lOMAirG4swiRz7pk0yYF1/vLt6XDCjyjKO9DIWAHEn3Y
7Qwre9r0c67FVTMdhR4KRo+awXmMewVqw36/7dKr8Qk9Iso9eExkKRUT+DW3JbI72ybDIMbx5VOp
7anyR7RCIS0kEhCX+trFH7TtVfFWA1Q28AsTY+pC7HBwigmu0S41bD73257ManiSaM2saEl+0XH+
3rODU733x7ZLr4bnwMKTNCR1h7kT36umOdfLctt7uBZSEUufO1lhdeEytslhnGKx14rq27b7Xg3O
dCGftVM5fJKEjG9rvoai+Ma28/RU/9lyAS7z8k2ZNOrBY0MaUlKOtgw6QNXvWqdRwZQJoKfb7n81
SO28UlVe2x1sK/NLkRDM0OQPmy69lkspvSaD2406xv/Yn53o3IGBJy/cdvXVKMV9ZaedKbhxy/hU
jhoEK635uO3aqzEKV7HJO1KcQsJJsLgsppytoALIlG9bpN3VOLWSOPYg5/JKKnLNS/GQttvO4kCl
Xr415Em3HJi5dDT7d4Oe3kSms6kNZfxEfzw7B0FBABYO1DE0o1KEmieGOyOe0k1KXxwEL29cuKBB
x5Q3MQKmhw2pDU1rozrNcFfDtFSRRuY2gQzV2ECFG10iDeNt1WHDXQ3UobOktHweOdPj5TiLy8JW
G8fQanj60EpID4270I1AG7oEKPpEqgabXvO10snnLdGVyLvQqMdb02ivOn3Ydt9r9VKX0p1wJq0N
e8f7lBrdXZG3mw5xxBm+fE8icpXyuMm60OHJBD4idJAXpbdtPnRWI3Mwyb7KSHmnb5O0u07kd1Lz
t21B11IknYT0ubL1NoxTk4j4iULFQeqas/HBWC8fDPRdVGnZzLghx3nnSce5hzC4bPxFV8NzzGBR
orVrw8XvxM7orWtW0m3dc/AAL29dQiCubVXzutSw8nPm2jnHwAgHOH9jMT09hF8sps5qjKIF1v1Y
VTz7OJncXUXxjGgTq93WR8DM+vIbQIOVWJijJvS0Pm9349SUT9J3p42HxrXgyCiFbk14D8MumXvo
3w548D6xj5tmgjU2z3UhLOijTkBz4Ygd6GD4PZx+t80za8HRUKDA683qRDWHqoP7XeRf81lV8cbr
r8asSjusuTAJQvL46iAdyg+qMLateWu9USHqqYR2wXPHr38293p/JBMoOdv23FdDdjRhGjTF1IRZ
ZC+f9DqKzyzXwz+87fKrMWsyT9pi5mfF3t/2R4z2MIDsCBbOxg8QL996mnF5XTUjT97sp3Ow4B+S
tthWmwcp9vLibg5i3CFqKXSt4X0a93dTPrzf9mBWozWOZhyrRdyGbuV/qerJgA5lvaWtfWWqWQuN
WkrmHqHHTYiN3fsCKldBei7Hba/MWmg06Joi6Q+IOiOVxF6kL4E2a+5h04M5RWc877V0BEKT28TV
7XGWgU0SfF69pWJyT0/3F3PwWmbUpgp5nSfqcCTEMgroFpO8Q66pyslV9uP8rGzmiSCdvjg3wQE7
4ZAkrf2Axc1tby2c59173y2ds5y+ZH2W5cRIB24BD/g6JuQQoAxoubb7AJlakzt9bqv8a50kMIIA
pKVib9jU2gH7SyX3hUGVbOfQpVbnstW8LBSuSgB619k07wwyJ+3PGsre+WjAbnP3JvEPcjcVsMeO
cesnBJkWYpFHvPpq2fdjaVZflGtZ0e1ggS/5ozfstg09ktXHsFN83z3ZNvYh00fyHCvwfzmRFm4s
z2Kjjv0rBxIJt9wuAv4q2TujcLrzJu27JdRrn7R0UhNHUqI7i7Sg0QXLATY+Ga0d6V8l4Qaj7887
r0tNNyjrtDMuSW/O/PPCNAYrXHja08428/F8WbTyGsCJbu0tfRyXIIu6aHlfGFntbtuFWKvzR6ks
6ZAGUYcgQcgaK8mmikGZbHs9V/OlaUUzG0nyMRKnhC2Yv4/cdON9r+bKkU6MKgDFhbaMwt4vLiLb
2FYcXCNb7RFlikEFKcQ/rIJI8/PAJ9914zNZTZMdfD8np2kXxgJUg8rbJyfrHrY979U8mY2uP1au
Xodyls01bjCyyMyh3DaVrTVeiZMSKyCcHmB5bl3B4c5Q/svhcdO9rzVeXQkPYmzGOsy9WH7svHah
mE/SxbbHvlZ5EWdJBuzi1yGIWlgrIrtKFhLUtt37akejM4Rty2tINa0bAv1qfcpC1erpxlPOWuZl
VCkIIkJNQicuiY8RfSWXwNVsIHDbvsBqoA7AISItGeqQRtUTaMELW+u3OTr+kdrVyKkb29klRkT3
0ZENvUvUreln4mnbva82NaPdLibR0E1YtCfykVu3Jj12T4htWgzjBDt4vshOTVUYuorZIOik10qX
xKM0TTduENZ6r8adomyJWcLp0XQ7FGXOrtEmfVvZbS32mnRSAe20qnHVQiN2TACYAWknQC83Pfy1
2qvPqhghU800XEn3IqlM/Qtn2nlbKVistjeuKtuFSB1OaeDyz+HOyNDVB3fbS/+Ttv6sPibMQvrp
aXXK0hLU0NTGAaFF5bYJR6wWVqMzlFSck0NtrswfCWrzH0spy23KT0OsRqwtzCpLsrwJbQek33nu
VyBNo2my3+gdvuKrM8RqgcXbGkVO4VXhUhhm90Bm0EiuoFuJZj8R+fSA4exaIzwl27OLy4kQ8jmM
wn0FEbbx118NbEzBJLVk7D+nuU08ElmzGB5EUjXFtmP0WiDm6ObCmeU0M0WDEV2WaYzvbG7nQd84
Olbr8aLLDnutqELTJLsmUFM2Wacsp3HjBmstE3P6pewqwQfMUiBbXuQn1PvfNg3ttUqsGMqZAEq4
bA05lTuixJ/IRN9646uRHbeL0cNBLEP2tsdC5BdC9NtKAD/x9c+Gdalp8EMhiIQDsV27XCMwGyPJ
/baHshrVQ1J0sTGNVRjJzjvIBKBhSRD5tvfFWA3qyYX7U/GLhmmntD/KbDK/dRrLzbZ7X43oPrMq
4tCMMmSvde2Oy2XRxm+wXE43+Iuj4lonFiv6jA7RTWGvRHJhFB0EwrSeti1iP02xz37RiSQtj5iq
/8PZuS3LiSvd+omIEAcJdAtU1ax5tj19vCFstxuBJBBIIMTT71Fr3yzX370cUbfuaCYldMhMjRyf
PqVwOIVlcVFM9/DZH8SNw361TDO+jSkbiD7ldAA3hBd3MovDbefAtWRshqdX2/BuOPFM+EcLVy14
m/Xru//9TS/z7h8G/lo3xr0Mq49xvqs9mxDyE9vygyLxOB4YsrrhthjrWkMGyjTMvuA0e4IXILyF
BXX9ZWkRPt52Fl8zOcBpstPKO8xNmnxYHHnfxs1t055cLVk4WcAHesa7o7pGgSNCKX9f4uHGz3u1
ZAdMxkhCFXiIc4CO1hCZD4Ogt3UzAT/7e+ipuiGGGa1Vlz24eGd0Sk8OFqs3DvrVAWtQXSCNHhQu
w1GVGKfiHYAZ3Y0DcxU1L6DXhyV0CgqBMBnQws30dVccaKj/PfP/Zcu5tgiDIU3TGDer0z7nP1A7
etK5+HzLo8Fu+X3UMzjtYYZrhabVsQGVxi7rL59Ot1lvkGuXsA7p2yCay7CbokHB0RZnzehy03QH
b/b3lx+Tftl2gOtOTStQdooTAxNekNxvG5qrTJezHRZ/FvW32Ls41EMHPULVD0O/3lR8IdeSsgLO
oAaRLcyKBYN/YUvI64h+vve3vf7Vag2sQ4XLT1Hdxu023vckJs8JPK6XP7z9fzLy/7sfg3fz++gD
zJNsjC2YOmyh+mWK42G56+Q6zUckYiDNAT/CbD1RtY2PUUBW8GjyftJfgbvOjgtL9nOeRYGWfG8W
uCuESMoXPdAtqfQ0he4CXmj2H2MTuuU4GJy5Fbjq289UZ9nDanp3H2DVe0ybxeMR8MAQJdFdtr+J
GP0t7+TFp+Jt6ApjQSfLsx3/dfaVIFB+PvdGRDvcgDPbPaVJM64/bxv0q20GusYJvuxUHNom7p9X
Lvlj0oERetNGQPjVRjNGko6ojspTspFfLJlgwtm+3vbmV4EBcs2gI+aBnduhs1Xw+obl5p+MNC5L
5h+myrUkblki3e52k6fJwKvjPIM56WseoHqoPTKE9gwGuxI3VddIUfw+L2GiTlm2UnmKTMQOmfTq
uBvVfrxpnK5FciI0C3LEVJ7WMRPg1eyfXZ/8aZwu5/Q/jdPVlhOTtlvkvMgTg0f3B6iqsxf4/W7f
tz6O/lDZ/Lc/cfn3/wowCQCPbQL75IPdUslq4aZ5gtHrjGL7ufPoaPtDUv1vn/xq+4E8ATb4sOYH
T9NJCYtY2C37PlKHTu9FUkHRfVtViVyL6FpQS3QzKwzakEQQurHP2IhuPMCKqwUdwXAEhYBBnmJc
x4EwfnRp/IcN+t++xNVizkE4KXb04NayBVvmzJWlx7HguPdn7arITeoCUlyta4pnwyw+j2DTYfMv
6HVvv/AJHJGbVsO1kM4GPnVdmPtTnlN3hOa6KOHhfluyQq7pa2uHUmS6xOLUZUV2NGvQYLR0N+Vx
JL8KHggzsVK5Agty7e5Jk8Kcm9025tcaOvjhKzs6PHrfs0PDp6PukpvyQ5jS/r58A1zXOstlU8su
echp9DCBoHHbt7xasZAVYpAYAO6m99N9b607RTT9cNvDr4KFhuZiDWmEyR639mDMnJWBq+x429Ov
Vinhcm4oibpT3lnzANXr56kNt5nDkmsNXcvyNlqTpTupkKjjwt1wRyZ1mxSV/OdG+r/24yhsuE/R
MD3veiCUjSgeoxx4l5vG5VpGt/VkWmw68trprNuOSeI/mlnK24qKYIn/PhnFyMGwyAZeD+v0LAH4
6ufxtkP8WkoXxLa1ukUgpdzSlQPQqtWu6B923n/Op2As+Pt7r1Dn7+jwwyKy6whC1FyBUXTjlngt
pdth0mNXZzp0LelQDS1IlUDrDvw2QRphV8uU64CeC0k5Gq3GPSkL1cwP4ya72/ogybWx18KGZsin
FE75HoBp+Q4qgD9sMP+p7f1DeHOtpcvYjlYM+L6f4hCl6wPpNEWDUQvj0Dc4JY2njnKgH/Jp1fTA
UF0D28VJusKO07BwnBZOJqCigBj4rnOarKemALjnpgo8OKa/z4ktmmL4brhLujS79tylpFgOwko7
1LetxauDeOg6Bz6hyOttFgwbVOiXoRKUxeltuce1Dm92ctlXcD0OyyjMQReZrw3Pbqo0gx35+/Ag
ZKOpSfVyiC++X55O6NTO8pv01fB+/P3hJl8z2zg8fF3g3axsNpWjSm7T+BF6tdozsaAbHgzjQ9LH
pkpl3IN5on7c9FWvRXgjMJCEpA1QVQlIyEUUoYFry8ht59q16VcLrSnJotQdRihrylHO7bPKU/fp
tne/OpMzb0was8kdIo5bj0yC2dIFeuPAJL9/02728YiLWHeAR2XyOuhN/mBkz28Lg64FeDsVfnLL
CtDSwFQF52o4wmTNba4n5Jo9rbgDx6ug9tCBsX2kjYO/eCRvu2Mn1yK81CcgzktnD6kHagtOGW9o
r97+sMf+y9F2rcEDCBKWWXmwh5CDky3Bi6xyeWOsci3Bo3Jh0QUhddg17Fq8C3+TWdzWSwi03+8T
JtqNBsEzXQ4tumdq7oWosB/fdnlPrrVfO9ogmm5FYJWb5IfV6Qctktvaq0l2dSILjZLyaLLl0JEZ
HFWTNIemgYzuf6/Sf0kTs6tVqmI5JXJMiyNrFF1fxaI7fQwsUfMxmw1Owf/9Z/5t4lyt12ZNmyzu
8SNoUkT1mtC2GrblNiUYgOS/f1wjmtwB84KP2wIXXUAGVvEx/HXbq1+drLLHdgA943wwmwlgxU19
bXVz28F3rQTjJiNOUzofVrmsRy2KpISB8X7byXetBAs6Bc1z9vPBiV0dYys/7nFPb/uk1zqwXehs
H1HrOZhC5JVWW19Bknqb7B+gu98/6ZCD4ZQXjTlEOpqrfjcDID/hNucmci0DazKAekHmMYfOTaLa
qVZVAZv8+qYZc2Fd/3cRbIlBnlrmFoDlftjfdmK2Tz0Z/uRb/y9LKb1asU3qfbxArHygc4x+lEvA
YcClvm2HT68WKgg3KFcHzo9ZhNL5Gv0c1fB227BcrVIJenYDfkZ+hM8XYMrrDnUiMNP2y22Pv1qn
sRrTcSczP1KjBwhw+42JRxarobhtrV4rwIwtFkTxhh85MHrgtd4rcmMkdi3+ghHX5EKCR+sMx99F
DzHcJkgk18ovwCDA+8onftwv1kfSx1mVicLfNl2ulV89UcLtYQQ/TzZ3w2xeCbvNTZBcy74QNyFM
0jqrGeQP/RA9ZkP37qap8n8kX7ARAjAd6N0EpOH4lBmFvmvh9fLxtudfLdHBxKDlLmN+zMZ4g4V6
ZrP7S6ven/wEL5nLP2S6ydUi7SJpssI37KhNZO9cs6762eakbQ/oU82bc6t3L57c3vw5uf7/xKh/
+qNXyzcPSTOs/aSQtm4ezLRYdSoxBymx6tRRNJtU5TRqjyNsSCec7Vsf5iE/j8owAX5iDKIyAJW7
XMNZNCFqvqfAtZnTQCBplWXah917sI1nMz1KFhfmabWNj9l5izIQ50qAX9sIIOmUdyA/ziCAIxAa
GT5dSfk0tt/NLIBCBYEw7/Q53SXsnuuAhD5v6zCtfq5kSPvtAyzk/NqVFCRQCZvv0G1AosZ8iVhW
8gBreHkXG8lgfa9Rs3S6RF+BWvCCNh+HjybRSGT6vC/+1kbjn+dlytaaQe4LOChGSFbr6pPutIdl
A3VJktQO30cUbXMwCOeYxMAjFmAxfx26TPKful2AWUUj5z7OuoTbVx++XER6d2bXYCgOMI2ylQcW
NJZ1jsbJ5rDjyiY5RMCX2qopMNN4BTJjoLpO1p0S4BRXxo8dXXaNvrBpDHegBAxVzszKnnqydEVN
utSnlcjZhCis0EVdaBjgltvUsmmAfrMfRQv+IvL9vEKFZAP02c3TMOdlkTBAuqe1OzVZjrARewnT
yz2+1iiALC0Q2ZU8jpSuFz0k3yanGfjW+5b/XLo9pEczj1Q+73NSsE9iSvL8OXUgvj7ujSiWtlY7
elSyI/dLDEeEneWLekKHRoHvZTpgOYeqJTtvlyOBqzGiMU3GXd4Flm7+x1TobmyrcUUx+JyjA4m/
xVu+2VCpIRtyoPaiiw2kWtQAmipRoMi2cNDJF9B2A77lOJ4TikJacmZyKEQpmeRHJsVQjWzzGih0
CkQtiLFjWO0DWaw8+Bl71DMb26V/A8C4HQpMhzFZjn1K7QaQscgSuMSKoGrkNaL4Wrh0GB84AKLz
UVCygC7pjUMxv+QFzRNEUM6laVpxmqb9O+DTZ3aEwYrcHobEx6hqEwdvtR3XzG5t0btFgmUOSk4G
kzWilh+JitAzM695Zj7kVMdFLRpL+x/IfQqFRQP64Frbno72WS6kZW+QZ0362IPUmtR8JCO932mU
yMdYeLn/1Q1qXNAxM0dj9jxh0YrDYERIzmAx99NnEYEDmmB7k8DglrnOuHkmzsn4R9Y3TRHKpuW6
PXngG+k9mbts/NJ7oMEreN4TdKO3Po05rJ0pUz8b51sJ9uMkix80ZZP5jO7yXVS4XcLZhT6PMTxB
1WcL/M9jlP0cQR/fQQw1IbwBaR3HlRFYST/7DNP8rpUgiTpO2iNJpqJ/KeYlZ4Akd0a8n6TY9leP
Bo8kwk00fAMAYIQTMTtb74bhb4mbG/HQsykNp3HsVXMCNzqeH5aJ5wnIn2mWfC1YkvG/Yi+bZ7SQ
R/e4Rtp/orVFl72nbd3CICiqt24v/D0YEut+B/Og9IviXcZro9Dp+C4PAnDPuG26+OzHbgmHaBL9
dgeyK2EnEMYl+UxYI5v3YuKAbJvgIngi9oRbNNFoBpDfuls6P1myO3JODTPqI8AdzfiyUJ6LIxFy
zGu39Sv2Tk+LGYTrMMTz08RX9lPBE2CoGpQM/YvYyIytRIybPzA6urmtCW6r1gfZw+D42LSLQXsN
sNjtmygsz87aGMNK10Qz+yEE703VDla6viyGuCEAHYHze7ZKW1c7n5CoBio3AQ5X7d58BYAeb1BT
0sawM9zwFl3U2hkY0MgOh+FiyQMkMLbv58mjMe1Azey/gTPqGfBqLRiPFVAQ7AnhUvurwRLOAcgU
ia6Y9nT8HCbwGWFwpDUsz8pU7nt39g5dsm8BfLq5KcXk8g37/W78OJa9wzHtS1S8V/vTL2tKPwHB
MeNAkHCr4e8VnnL5kMYt84FyhpvOw+ATTUv0fg70pHjM5WFdAQANZRuDb//gN9uiarEBY8XvACdH
jIhONiHOdgxjVAJ23kUfGJVzUgMyvkS1JWvM6zzse/9pJnva361u9/y06DFq6sknTXhMAct5JbHt
uw+oHCVBlp1Sjh/hGt+6ey6RwTwHlMSKYyY7nHeuaegEnXcmtkfdkl5W4z7HrsrMnEfoW5jBsvbo
nttt/N4RqdGMMWTOvXYbyZO7EVfG/fMIpzvwydeQAaADX/Fy8jOPz3HKrXuhdoqG70m3FeqRqdRi
jg1CK/FXqoodM0HDss0exrboQBre960/UC0z+5HJVTT3tu369IwmWqaeljkB4OuA7UixGlymtPm1
wyoZnuZW9PTOjl3bQtuMDizMkQI+Sveid8HcmV6n0Awn0BCTgzWgHparC0PyAX+z+LTGwm3fFEzj
0ZPOEzFm1QT7xbaKsD811daY7UOfMJfeFdyg14UOA8Sqep2LqApmcRnO6tFvaCBZ87jChUIhXvG6
lL5sPrTdXTQkGW6OukZGy5vW+zjcQ7ordkRFw779xKlhgVi3HSHxu8tNTUqqVEz5/rQTnmmLnXgP
zbno8elhNMtAN3v02JCnF9Av7HwmTnB3tznGwSLHZiDgCdBiGK0tHccqBy85bfelraYOEOl3Kd9A
iAY1rWDHPNPY30qZ+n5+IQ4E3e/7bE3WlwDHbvQcspRszxlmv/jS2w0IGvzIdGxeJMph/n0hMYj3
e9LPWw3MPHV3OP8j02JwE+Dg/Z7nvkXw5MYdH3Nu1+PqZaQ/5nEAUHnFmK33Uw9Z6Eu/dqKrsl6M
9stm8oR+1UkeCg0SM4yqDUYqVe1fAzxTyStc6zP+fcwYl98mNckLex2GiGml+6TP73TuLIjtUpCC
jeUULYBXlwpg+Uu0B8tYFtE1ry1MGkawsGUe/YCrfMgqgkO9P+/LJN/yBfP7IIlXrOq2HTVXnQ/Z
Z5pAF1GloWj6Crlolh9CGPPllKicsrVMN6KnZyMmgZbjGPadR8N7NT6l2oCaXTJ0YH3vx8ltRxp3
2foSD2SG/y7uWflbVgxeHFcFUs7rlIj0S2FBealt1qAUUHSRY89hME1+JHPvkxfcP6XDeyVzuz/E
/TCN2DAzrA3I4iFUK04SJqrzU6MVB6y5yLL2NUD5ElUb6/T63u5+QkM0+l4TX8HGsJFVzuPOvEiL
GlMpdKumQxrQV6uOaFGLD0WTDkM9kybBl+iEip+yxQgFj297CX4KSCtFW/FipUmtl4nEIL7vW/jc
FwquSQCvo2vxzaC5Lf3UWjY+AgaOiKsSbR9VcQ9XuFBhd1/L3LPUfU4W2B7ctcwbnPf5RhCmp2jg
Na4MaRa5c4dXIO+WcXB5lVA21TKIZTjJDUv9KyWzX49JLlUMMskMy7M469KiThXkwaVN4/3IcRh5
V8606e3zAukUHyrNdK4epW3CSxEuANR93tMHWxSSHAoQbDYcowg56nnPsO17tUbtWbKBurdFNfH6
fpiXuMIdyZR8C6rxa9V4kd0hXKOHINFFM6LSXs5bL+6EMzDWyNBXjcM2BaHbcVOOgCGx2s0kuWsR
D3z2Ok8fWlgp6ZLxfrKViBPWwrPVJOU4Zj27L3wb/srQ/dM/JVg6+rT3dudPU5TMr8TD4hUpUOoe
W1YkO2KnOJtf18hAtuu2vGJoI3/CfQ6atQEvTeFGjjbkpzAXycfRR+1BJj2Tpdabe1il4i+th4N+
LTGNK7otIHmLprvLsow/LqwN9228qW+hXfsPPFVz1RH2TtFZf6Q94PNlS4yF7GRRUk7lRjrubdki
2g3HAFRduAOsuv3E4s3cuz4UvMZ0ZpXel307DnNP7wPki9lHHxX5h1b5FLbsiRvy6K7R+epV2WDm
FmiTD4L81bkmuI+UMhbKtdNbASlnvPpQdxc/gLMK2w7blGKOgwFZd5psgjymS8e+btkaR/drnKEb
G22lntzPIm74s402644r+vzJp52phFU8ZKt7WDJD22+IXPV0oC6JkjvTmS577LdVAfbaDqsqfWzm
4lO6KENepnRJzQE2DWGAJYFl4gz6OldfIwGWcF/R0NGuJrYXrlxoh1CUuyXvqlkhRvFlk0ZpqspA
w9L93AqaTo/rNq77D0CpPMIh4QqK2a2wtqgpezQM9Qe46DTJaS5U17/bYuT+h3HIUn10OfadGhlN
m5+ni/zuMOU6SV/QVNPTB+hn07iO+Ub5OUbb1PZ3BzG2flmsKwypAm9XcW8nmxJWwlCkwPXo3icq
vENqnCfIgiHZ3B+sVRb7ghhyHz8ZjSX5QSJZ9V8llfycgbeNBFn7/GtsUxl907hgRZq8jRTERRSh
RYXZgWCpbJYVu7udl61edTsXnxl6+t2nwmNv/2LtxJO+pvkU4bxqBhqtH5jfe0DhoyTJ09K5ZtYV
b1KVPNu92MLfGdr91V9zh262Q9EDW/g+KLFxGA7QcX4tFrzedhhWuLueeBcl4yvDKsOOSNJ5KrA9
iS1HsVAMaGu+61Mi/F0qhSS6zvYZIUCpGGMtbOBH5B+I+PqpCqu5xCLAuDj/rnfz3PoTl62cPykb
jSuI8pHjZ2v5QvHFdu7nekrUtn6TnKIXiQnJ7Tfn5bQeTUt0VHG5xA/d1DasmnAR7h5D32ctPkne
oRnQospezWadEJRODHYyn5Y94wUapKfmcWyT6eSbrXg/pUlwiA7ovpuXoJQqZ7BBgbrP2iUFX6zo
x2PwBQ1VC5zqct5TiwRN8CUvrfNjZEq3OG/f5bHPxd8r0CbFYZeA2NfMX87VsrVgTNztTNMfAaC8
ri/TMeLNPXDMGcsqq/Y+QjwaSHTadszgE078OL932Oz773zvRI0zPmtexsTOhy6a9gV3qlETnRHf
pq4iqCPaMirc1FSwV0o/pquD/mz1ojVnLi4nBkbLxXB3Hceuwolk9CeKEj459kIMrjYR7fxh3dDI
gKQvQn/dnou4ey56T5Awd0E+Qwe+nFXTsQErslnuR4JCxxNPWpecl8apbwWCFf88SG/v3ZQPStRF
CFtFKTYOlGLa5htsL/qubjX2zq6f5ZNzBAHcDh8Sf1Z5ISqzB3BJ0P1B7rp8TtXT5FKrnuZmsQ+L
MWP/PZm3Qh7GQs5vSDrTg45S9IzgfVhxDnsOIJnaMv+Jwozk15wwAi457Dc6TGLEGaXyuT6moE4v
1YTwfqwKXGyuQOMVG6q72DdtNU3zVqkFGSMCG8O3Ch0voS1jgck7BZmoykAoA4ku/EWSp5EPDuUV
F+1c3+d+peLL5tdpf9yzLfQfYfMxJo+adUtnK5eupnsYC8hoYKG2bTVh/biUzZq9JEAY1uuYbz36
xhugegec8/m7WKRIXhuL1KhkQN/d730TbZAXTmqvJa4caVs2Dk1EP5sBaI5zIhE6lw1684tfo0MR
AmcWYn6g+TaCG+fdYXt7igo+ug+4nEjmR4+2b/UyeyAjn7MFbjxVUczGv2jcHf3I9iGCzU1Lnfgs
xha9RdIZoyCb0tmbTrjrStBaReklkBLImIHOw963ms+iQ46Iipw9SruEuMQesTVduaNyR2uZMyHU
Q/A50swS7TjxNwTYQ1qNSETXl2Da3b8jZoryL76ZhuVlWTve3ReCt7o76KWR3XltxRYL7LcJ/Vt6
RJPfZGg9AuydG5gKy3HaP6LOqqEVWpGQ663ccJbPd1tvPVZ2Mn1KUpEeURKPH9CLjoOkoHCELgfP
lvwj1oNXBy6cgFFKEQ/boy+WQX71GglsOc+osT3FUcKGX6bnXNZybObkLUp2vT4HgqzkuRkBxHpX
oACV/CftXp6NTdPhbzpYnt9tcatIlWXwFX7EQdbisG43mvi6YflWmApIIagkqz2GVuDDChMYcs9g
aEMeMLFyeb+wNDMgnJFteOIG5aiSmdTDFtqI+RehaSeek70ZIL9oiBzu4M8dJa9oD8vZWAF2s3uU
uYdgjsDU+fkIQY/RFYrHdPkxeG0jcOB2V5wjhazxC1F6QujOEN/V8cxNj547xJn6eUGZRFaQkTu7
lLCciJMHwhKKGJq6aLjrcJ28/vBJ4Ba/ijXu5Nuu8PVMjZEHlabFVCcAbzjQ4GcdxBFBr+IPTQaX
KWjM1IWCBCjUWPei49t946A/riCHbzmt0XBOLOyjG41rO9z4jO09W7d0x9bsTHaHfXLEpeSEI6xE
uSmWJfri9r6e9LCoY7Yt8fQr76hUEUKkOHMpsJ7wagCcXiu0rUhcBDhbrRrHYVZFauYnlpgkbGcZ
F2nxCda42j1e5txm8MO7rM+qPt7S8YXmndo+R/g1PCpF7NJxOV5MexF3r8W+Zs/LJVF4aKJRbjhj
IAuEj05o2vYl6NgiJpuXlJEVORlS87xCSZkiKCdW8+FnF7BlQ8IUck1+zW6NpuMCD0/EhVjmKJsD
yjHO95aPS/FCRb+2OBGLfv9LChRdv/W9H+Uxa7Mh8hhdkw5AzrK5e5chqsHRkPA8o0eDrX36JUxG
fVG6mMOU1ufZUrzFKEN0oFygzOl+cLhWyk8mWsbodWxR1363XuJxNGaHQiVVvk6wb0V3kJnVWWiU
9zFJMpMe5xzxHTsAF7dMD2h0aqmvdpTKRwT03Zx3eQ1xmCsevEHB/BFBRMEe5ZJl9sOgejnf523q
x3O0gD/9DbcuDanYsDH0Low6WkqVJz56HAlMeN5Fi126L9EO/FrFEQAMh7DoYn7urIOeX1OSr2+7
gnKrKohFLbtL1QAnjbmN3M+CWdO8pd6KKhlg496v+320g1I8I18ahTp706ahRJjRo1iRb265C+PA
07sZxUR/UpLt5BOKJ5TedxIXHpUhGvecB7RNkrm4nOE7UvhL4SA6TnOSLFXKdB+VWHNPzNiQ4UqF
wgXgSGIoSKdjF8Uoa7MBlexQKpCkijJMm6H1LHKa3blt4fudybaIDHCuSvzCUbpogYQaFx73jzSe
rf1ELcyjf+VttuhHghJgflRULPyD96hA16ot+hZNWNDdvHbDoNhD06pBfvAFBuYhJIW092QBOeRp
xbsmADeHnb72S67b+62fufyIeLZr1oosLHRT3Y+FRnUugxVVR6oFi9lEFSwOWDA1rjvygh8lVE8X
p9b8K4zaiI0rzuHzpw8aFW+7nHPtZwysy3szv24zBg1XQ5gJYDcnOQ8fUgw7ekg4FXL/iCJxsx1X
rOQj3/f8EbkCix6SqOG42WIEJl3J5baiSE6kZ8ycZJ9P9HFXIxpM4ySM7qvvFo7efLnAIeHowOMN
oow9ozmuchJoS8hki7ViyN/sN71mRfI6orvcJseLo2WM1G2jYFgX887XvuLae1kHPV/AWc6yZzo3
2XDO0LDo76bBLGndrsEMj4mFHQcqQQTXSmOY8+XYoVYZl5GN4+iIqxjX1apoOaJrM1mTlyzVXfp9
ywHLfmj2tt/eo/M8cygximbe/0oHmrY/jByJOpMUHV1nguLW9ITm6Nm9KTjvio/jQLPtMc4iG/4O
E+3NYwhtZFHH2JKiQgSD4jjKaAtKyJ210DRNLntaiLa+cgF8xPOMV+jrZU8SWUECzHA1mGUXFeFa
HDkEnM9qBQD1I/GytU+z2+PhPgfdC3EBfmEDSTd3AQBsm2f9D1QzorTuaREZC09KBGKVHTDb9QG1
d4niADbSSzbjL/EIj+Y1rUIUxTMWSzHNUIUbehlBbpCVtyWZKX+x+aoidFV3effXcjkf/8oXdImj
ZZa252nkCEUI9jv1IZ3nxGHttVRPrjSFRfMoMmnwcHJBOlKnCY2gIkjbqXlORO78EdsoLN9WNXTr
L9dvZnsc91zTzwgGWLaV/dQv9yHk+/a5yLVZX3Bqt+mdRbhSanh6TCWYJ+2lJmi2FWcu7mleERzz
/N4KCKqfUQ/W6OuFy/uODH6SSM4p+HwZdd/RnzcVJfonEn/YmJEoTsyTeI/b4Lit1xXs2fc9BFw4
F4ESgEUdX4uGf8oNGhRNNRCU7dfT0MzT6MoObU1ZORa4Lk0rXPHNyy/kyy1qVMhLifuOpGzvopI5
XBj3JcUu61AqUSNE7SW8uI1vjxu64MBAGbaMia9oJA3LXC4erI7ppP8fe2fWG7e1rum/EuSir5o+
a3Em+mRfkKxJVaV5sHxDyLbEeZ756/uh4+TE3jvJSdBodAMbCRw4qipJVeRa63tHRo448caamOTx
gnl4MqTfaBGM9d9TBn3fdGXOepGXRZtthPM+0e/N4e8peb9PLzEybQAb5nW1+NZm9ImNv6nX/z67
pCQazgliy9qyWQkmVmcQ55Y18896uH8nHUd8X3LF3K12yF84fivcBXVUxt0xH5WSwLW2qZhu1SEh
g9xyavV6asGJPLpDFeGVysTo8cd6jVVU9i+kDd8HnYTgwVOsNNa2pDox8+m3n84olWqPUxNcB8C/
/Se25t9RbsjvDFZN3c6trmnmFvdxbd11cxn0fhVy2sSqykDmCbzmGWfDaS7+xJL5O3qx76NQEsQo
rOmqsTVtCgA6Mi42NcDWn/xCv/fq30ldKurDWityDGjq/GPayMfRrgLvjz+W33vt72QuHJbrvAoD
YzvTMeBGzXyI+0z7my/+nZylk7Iryt40tgBeG1ib2A0kMMff+8m/06IF0xB3hhOb21AoLTvrEDB+
swf/rVf/PghFTSsNKQLvCwMbQaCdQ6XdUt798Yv/zhX6fQ6K2ch8rKaEyyWyHPVzW8T56AlzVikx
sdW8cqse6eceR4VR/a0uMHyA3+olIzscLQIijC3di8aTXjftZSIBaf74F/pyb/2Lu/v7RBQrmTVz
mEN9m9tOBNzlFPMIkss/r7PszEed8y//p9BlYe7iKrlPlvhecqUZ+6CN+4iJIYw2VMF9ngaNnli3
szgY/fzT/cc3LaXtP/6Tv38qq7mJw6j77q//uC9z/v3P9Tm/PubbZ/xj91pevuSv7fcP+uY5vO7X
7+u/dC/f/GXD6bibb/rXZr59bfus+/L64Wu5PvK/+8UfXr+8yv1cvf7048vnPC58Ro8m/tT9+PVL
h88//SiFBJPVufT/47ff5Osj1t/ipx/91yyK//WTXl/a7qcfLeudpjmGNEybE/b63x9/GF+/fMV8
B9ur0SQmHZXCorUlpKBmMfrpR9V+BxigwcdLBxSBqf3HH9qy//olXag8C+eZJAXGUH/85Ye7/vla
+flD4R35+vcfij6/LuOia3/68UuGxn9dUvxytmqpjq5LEAsD1PW7+zwuDJQwDhhs3ER0N9TYRu77
IRzfR0M3XKFKuu+VRrkttI6DKexadYRNhz5FDJdyMEyy5zxthhfONvEhSB3ahzPTgECiZpvBvtvG
qFNuJlNMt7x8xBFsrK7DOM9emQQ+jn2LuGpxaLxKuhSZpF5eV84Y3NcqZAwTWfuklXr+Utqk8Crq
zIxNm/r1XBq3aZkNR9Lo0HVo5vioJabYiGQBxgER9h3Y3buydN5PCtiAHJF/FWk9bUxFGXeiQLQ0
qWrst23F0Wmu70SuRasqsESi3Tm31aSkft939Z2ek9fbhpyI6T/HTNh0xh7KvN6Bmo5PbK7w+2qQ
vTkklZwGLYw+2mZeAxK03ce+sNv7pFdzIsIDqFjdxDSoD5oV+0k+KRIwPJAf0iQizVgn82VtLTuN
EnreI5+45CwOXPqBuoGYvAnH0GMXnZ54LqXluCKoRtQqePFKtxmMs9GR8u/OVmo/2krWHqNa5pwz
7KUa8G+WJIB8ucj/T9/s5/gTirTyrfv+bv9mgfj/bklYtfy/vyRcvoQv2Uvx+Z9XhfV5P68KjvFO
Vbm9uQEtVTWN1er586rgaKwXqqmzJJB4Y4k1YvSXVcF856jrTeogzmINWI00v6wKxjsQb9NBtgXZ
yEtaf2VVYAH45hxp2RgYAQBN21Ed2zYJtf52Q1vsVhUDJciHOdbmTWG9hFA5bkxi1mWkz3SWZr3h
F6gmSoSmPsYnMEsxZS+TbljnxEZeTr/UjuKJwo2q8ZrlI3L1wn4I9dzxAfSsCcAfLhEe2hsJQbwZ
GoMKQ1Uj8KTqs7s2QhiQOE2ztyP9OSG8T23N89wunWsb8Say6O/thoCGj8k1i1zbiDRoUOAGDxNS
A/SDZoaczzjl2my+WLHMdkPqbNpSNd3UdpZzli+5141oY7NsTtwhafe9Yo/bkYRRV03sLdCVDJFa
5hqo5aoek5ZP45ril854U0Oj8wl+HlUL9WN+QrS7mVv1Fr/usWyq0MMN7yGjfENTMV3QfZssQN72
slOj5g6CQ70q47zcDgvFB5MVP6C7cU1lPPUGb6bTVdopQaHp0UB7qRfdrlYAJYqqPmtGDzsgynwX
T90nENHlMnhsobLcts6cbVT3F7qMskuaqx9NY/azut9kOtrhXK85+xRvnT4svmMmRKNLf7JNxMPJ
Peq8Q1Tlqt8gjPEHMBv8SaGvLMlemfsbRTWGTdi20wMCWOOgWfmm6tXJj9Nyg9CIt8aqw30OeX5H
XuFtpA0fA2O2oNv0bDsBSXpJmetXBpH6INMLQH9QVR6gR7KzOz3wMsM2DqqzzPewSLdaWutgP5re
s0hG8x21ygvbRttVu05JwqvJPDu58aCJBLQ9MYvrsaFGtxuGMxKFK/SHfpqaT2E2X2YJ8tqun3SK
tptT2LQHZQGkWMKnMRyb4xRvoK5jPqr2smm6t7S4I7Wg8snN1vaGBccy53Oyga/TJ4C1tROwdkgT
DqDrsavUl/MgTqkxDqy6hWvb9ras58PUiocgf1Qzur6qKEd5Z67fOznUAtoC0v1BjRsEgPNguNA2
arstEFp5uT3KXR0IkEf5gvIyPuIEf8sS54wA0NUFvFZQX2ud7Q1FglNBvW2WSD4PqF+EG5fxRu8d
+84xi20RBDWvO1togvJGuVoizbiW48JO7BAUUiC++1TpdX/smjTuvHY2zOus1qoLLWjnY6I39osB
tkH4cBEeFenYBxSXcI5JkD0lwJoD7TRtfIrUSBwiQlj3s9WE96iIQBY5gRy0UszPc9qW3lyP5XUE
tXOwICJhhwLrbtHjxctESoR+VZjHyCydY7VOGdAbRMdIGR56ZZnOYHz5/dLF0z2YVE82F12SeTO3
23pY9URN5TQvmAYsv5bRgBTMMc5skNUpHezxRvaFdmnIpb/oRCOfJUaGjRWW03YqHfNYZ2Z6aJj3
rpamjF412AjdbfO5+VzlaY6JeOBdX/oxPiccRU5GkHXHDJW6RJc9iGvbnsTtqJHnIANVnvK0jB5m
PixEqUZz4lKxThqRzSd0ypywqyaWHn0S1k6i0710+AVJFOJ4i+JT/Nl4TMT0N6u2rduOgzLVYheA
xeNYqX27aqcpueZau4QHOwyzy0pvyuGQtEN7Wa9SqT4Qk19JLAqzKnsf7e/ij2Q9bCD1w43e9Q/m
0CrbTJtr7oKkZYVtZekbYSwYpRz0PnocPndBH0xcc6FxTU5mcuxEfmkFOA9QOS/XlUmaoo5U+zyH
q1y7jh6MgGNVQwfEvp2G3Btka6DGNO6bJorcvh/zK7MH/0Zk3wf31Tiqys4x5nrxWmupCz8qeGFX
HSOn8kyrmnfFEgW91wJ3TzuBsizZDIFePisyqmNE6mG5MQA9HzQLtXqrokLIKH5QVPu2t5Qd0e+F
xzTlV8Wq4u4sBgNkm7s4L06KFkJd5RK1S69xBuxOUdXcBQ20V1WKzkV7eKFkMaxgEcQbmGocFUq/
eISA0zsR5cd20Ydj0JQnK+b2J/cHTKENIaBiVNd9M29yA568Hs3wUzQY40UxjPpWQW8GOGQal+Wc
QMU5MttaUZrcVgvYbtWHEH3LaO0cuDavX9AR0gxrCmhjwzrNfdKeYkNxzr0hoodIhOoJKIawEcMR
t6U0xXWUairofow+iM96OhEUF59BGp0zIwHXO7qV9rOFNkh3NUuLXvMMymRqAPSb9U6Z13vGXu8e
db2P+vWOQkfTX2CX0S5TpZhuqjquT7oo2J+jdrisRrbKAoHuC4ahlhxtR4eEXu9gcOL+Qqx3dWCl
xf2w3umGZPepBoKj6nUdiNcVASbUPFZ6iRGlLtbroLbv7HUNidfVZFnXlWVdYfR1rTHWVQdFdOUv
60oUr2sSZUvikNoyPhWhyZKFpCJ/auylPwDZOocKpf6R3JTIG4iceEkydT5WgVJdCDO1rhE/sTA6
PPrIAcT8BF0S7abERHFVxeY1j1auenwmHoJ+nfR300KCBAgL+xM09gSQ4XBCSZnr2q3tIPmDqrKS
cWvF9OP6BLyZuSdDrZn3qB+gqwsrsT1hEAOI3sNpF19dhU57OTpBclEsbVg9QQ5irVGNtOoIWNTS
bl+GzRCe1EyEk1u2sc4Y09nYQODRAAJILHMKV4QKGfV2FM0hWXJYYzb5Yizs14axCK/RzZxqkyIh
6B+Fx5VGhs/Zhki5QSgvt5mj0aCc6BJhZmOknrYEudjVZpRlG6WR9ugFSekQuVAFH7XBrEeSpzLK
iRprIWqyz8ln8wZUtBl05CDeL+jQ0RVGhWRtQR3kcInJWp4arVNv067mfSnqGyuYF2+BKt2IdiYn
VC32rWGjj7G6h244mYtWExwozhBY1VlHcOkSSBJ4nFExuzRxQCNNn7uS+kS3ojLMz8tqdDWdaAgx
JB+q1IFESMZPEncXlSuQj86sXgeiHi/LjnuU7qyPsfUxqxXnAq9YzHozq/7QsQ1oZU1atyV2VlTe
6I68xdPj+FNmX8tgDPZRbpkU4TRig5fKOnbmZO4zJGpeHGsXga3cIrxlz4uldlLY/zdiqT4RgYWJ
J1QIMV6Vf000XrOd42+u4jdDH5HbE1fi0li1HJO0G0kML7tHaYvZT2Q9vzml5Brsw7LSvLbp0Oth
zrC+RtH8e877M+hHQwjzR0Pe/qWZX4qXb2a8n5/zK+zDDrwmghkS9Rhy5l8GPEt/x6SP6knyLb6g
O78OeJp4x8RlEuZoWZbGTv4b2Md6BzxA/iweY6JE+cpfQH2ML7lzv4V9pFQdjZJuvouwHet7k3Qq
1eiLUGmXDIp9ZQlrtLb5UuTbgtvvfWh2/bNhV9mB9BASZ5w6UF1j0tcxqx72zaA6B4hhFEw6Yqf1
sOA8InvQ3qtjYV0ui9AfYiNoz1hntAMe/uRjGSvaJY7y6VDw5x4NHqumjfJs9mrZ6Z/TaVF7ppi+
uzQzod7rDHi1Gyt58TbPlXqGFsvu1Uyuy4xQL4pIk9dtrYHSzEPhd1j4DmFlh8hwguSRHt/2olHs
4FFUUXJOknwbE+Tv2gp7QYGaZoOYwnaTpBM+LsnVDEDiopZoEqunHXhGaEAEFrjiLp1YI4G9jUtf
xx3q4wpNN5o95Xdxh5dwQN192Uv0wU6ABTFC5zrH7M2okKuzRn/VxZSRaW/k6yFVHXQohjS9GzrR
ncsuXDBhmsVlrertIcxaubHIvb7NiqhDMeUI3BACyXpvoPprskuznoZdjdjgGRcdS6lSDBehper4
KOv0Ksu0Zm9gI/NWOS9za7e8OLmeucgcq22JCc5n9pzdbrGyTQCKddGAMDwEafVWFB1ihgIZSexN
eTo+i24KH3Hnje9nvHf3Dge+V7noi4XWZsWT4i/YEqUQVnyA3c/bLeuveM6/QFT6F7jKXqzpA32W
nG/SQI+vC3sAM+D4cXSUaNpAJ9sz+tTFjn1UEo4/oynWsVFpCt0OegaLAUZfnNjR8je5gmzBIFXK
X0tpIPMoi5O24nLBZNR32cznote54Ehovc1TUtwstNdcKJOpndMsDP1cKbonNvBw09pO/2QNSfyI
tj30YXxvVTOpjgl+1zdlitEyiUSFSu5X928SztMNasnPUWR/MAwrOFfN0vChW8FRBVv3+7FA/Ncl
JcNB0GlYaS2rMs7D0Ce3UWlLP17a+WKqF+sqxzZAOi3oRIFobrTC4TSQhPvSsMjvZ1Uf92izolMz
V+nBSLKNGk7BvlRaoFY85OYNYtbyauxG9OmmOZEJFhnPkYbWeZMug/IeMVX8GFZZekD6OX7IHVO8
jByQ3SgCwCixDBxh4FsfnbufmsZNPMn6FsYVJXKfDS8JTOGjMWnRril77bkaqvCw4CWjy1cLLIl/
ONbOeo6szeeh1WXYAm25+AjDoxaVg8fJq7oypri9Jk24egocw2xxbIh+r1LoluBiqdItEyQ6SzEn
XpBzrAgVyHMMzbl2pWrGhI4G+x5+0ByYdVDl+Ggi9bvoUS371qKUZ/j1Glo8Ua8wJbYomcFcuqhD
cTVY1FPbVmKwYWPrO6dRGA8b5jb5GsDnvdrm3L3Ck9VnFbkQABNNMtIjHy3bDAWwil+0q9ZvNMX4
AApO0ag0bYHG0qC9jpMT3jaQAM42gYYYvdacOvL7AtBVLax+U2aa2PYM3YVfWp0w/Aqci6K4hIyx
TrOGeLtYin3Z2bIGBGIpfrZ0dYGrm8y58FMkLYs7LyFGuSEbDRwgsWlzd2J/P3FSLt9rNE4jDkzC
noPZUHxu8Q5OXlCE6ge9MSYDYKiNnqdy7YdkQVRmpJ6JNRATpvbWM8Idjg6RotkPkoCCy7SW4/ta
qEtxgahPM1146vnAwGrQkUFHLCMGIvOPnPdVHNNGRSJqZOT2xslsLBxVb5+1cl4X7THANIDGNIsx
pBXTtldpHdzZqpgAMVRHeTYjiHc3LScQulm203Q2TZRz+zhWKypKhVJfjllCq/s0ddq0CVUyR7yW
hotmNxc24iQI3/IuNocCKYy9cFaag6b9KND4JAxophkdY6w93V0VCeVoNUu+ZdDumo3VR+RJk6MN
eBSmVeLpato/oy2Dl8jjsaC9tx91TujtHHkAl9iPRWsEqRvQpYcQUTMGV81SeTEnmXmQskMb02rx
9NYoZvHUg3fvSrudM09FpYffd6qzW4RmwVM/Ou05c/S3mirGFyN2bnU0v+QnGqFuuVNWmluEPM5F
b/TTh9ke8Eyj0DQ/6L3AFBzm6XwQZmgFaESYSEM5WLdrAq59Ta0SHemIeGTtplYzovNx+AUaK+p2
OGGw+nFQNUcvY/F9UBJtOmIZCh+FHhe122d6y9QvBIwhLtJXTpC9qznj1HEejcQmikbjrOAetdxO
l/g2yJkzDoqScd833AjvKyMz7+fOTI8YgDAc55CMOMMjvZx3SxCQMihD+YDgLzqnuQHAgdwpQext
Fsl7wxr4ma3Mzi9MIiQKAl9jVMgtaMIFJVT1E0lHuX6IYTjRWCM6A7XCrtN6jWi1U0qz4rOiZUAK
imj5AY0hzD7XyoDJa8Kid1koA3dMF0iwqSLrj6yh8kXIbn4aib0+4JqfsXBbS8LaW2g63quMgZSL
u392eP5NS6gT1lDmgp1lGMpznbFDqbMtHvKiY9Nj4t8FceE8hpS9P4jKyW4wBoetP6I3A8jR8jMD
F8Az6uPxlUW3u0pIiRpcB8/M4zDoc+cvWHk+KGmJB0BFB849Wml3RgyX7rIqKh8LclMWF+6wIRrL
KRTdUwObo4LTd9lLHFVLtVOGIWk2GMloH0zisql3iZqL9x3SzruyEOgKI93On+QYIBJqUHXfJloS
hVtrJG6oWacwNN5leu1EEiyVdm+VNDvEn0cyBbEcJUl0M3YRdtoWIZ/fjLEvkyX7yGdFItKCHPpx
bDt2gQG1OUzicps2EXaLVCvzxg1ruYrHqqK8Uax09bPWinisklTrvaUnAnGIsFy4U2BZ4b6LEeWd
CNgGDEmxaXV+QLvClahTvvtoqS14bBoF7wNzyg65Mw0IzDPeVaak6rFvJ/OmG2MIhIqScjehi+ha
guSfl0mwogpbb2+RllW3I/Irfmch1C1qAJs7HsrxEEezeUocwfCns8NxZQBT75Wkl1tZyp7owyGN
N8kiOk60EnCqTZrkypQG6HtoF+rLIq3yUakd9LLSbMWl2Uy8Iw61lichJt6hSq/ivZxC+4W4Ue0T
LA0/Vugk3aMDrcf7G82Rb9Gk/AnSJdsTYu48xiKmdGqpFRa/Tr1MsU+fsxnQzFeMbAG7xkLMTlul
u9yUeezmiZitXZm0zilwJvs4IZ92vEWlSMaP46j9MGZphOunaLW3rHLo2uwT7cIIlPDj0qkz7hkA
ipMKeBPZmsCvAd73b3Lwv6cXgPNhzPt9ZvD42sAMfjMz/vyUX2dGzWFacCSrE6zbKoL7KhXQ0QNo
RGVytcH7fRkMv5KCUn1nCRvOV7c028JODej7lRS037EFCbnOjLyWxWD5V4ZGjDnfwMtcl45jImAQ
qiB9EInXShr+JooZW6eCnUUyAZHnaVL1N7o98TWxF/EDnYoEm2UgehU7x1LuodS7AwtESjBZDlwD
odc96aMO1YU9N3lvkopgeEIUJYYmiSnawathIZ/rim2ImvcKPxWitcE0x/jUGHX5SV+M/tiio2su
emH2DQxbTORcqKNx8UjaMNNNp5Cfi2m9ggdK0FX4OPpxaFcG2TL2YJuab2tJM+L9wcvuzsM0FcdR
Sa0HjqVJuuFsPp0Ax4Lj0tZNj+FFmE/1MqpPZHTa9/jHxqty6aqI6K8WkWYhwotB2mbvxmnUIkDm
hr6gIHi5bAsChtxMETG4sV7ow4XaBOy2YxM0yoWJrPZOFGNvbNPUiclWmZcaZjKUnG1G1PGFz2A9
BVeRxXywMShzI8Ml1yE123rMxitzyK32BIuMTUIN9AZDVJlyyIiwQWClssJGeHGSV2/1SLeI2lOp
tBHk0J/AmIWxL6OW3dAkaAJWFvT6blxUdoIgxbW77bop6zyA8sTxqa3n3IBMOP2UKhh9DzOqIjKJ
WsLQ2UI4HYi4Ta5SpN57Phn9frXe7OcgmPHfzM61Sj0amlcnaaZN24ryQdU0QgcW9A/BzqQ79qJq
kLOyHjcTw3pq3aS1MD8JTLLxpjd7OOG8n3hr7NBe4IcTM9v0Rqs+1X3cP9mhoQ90uuscn2zBuOHp
llUfk7wv7oBWkRUn+GkJl+ukMh70qUNpEeTggpHNd/CNTgz5Bqxfu+UQUu6pAohv2lzvSncgWu+T
FBGea4zzMxlCjjpeJtkQHR2SMvyQas5XvYg4TQSL0YReMDgTb0Gw4CQdlGT2ayNWA5+CUMnjpPmh
tnqtd3MkQqmH4iWfiPvQK307chY39vOkIF3BSBsIHzHzMvhk+iDNJwu6cdHttxetvUypr1c21vXa
Zv9zRdX0b6ZcJkLAFqMIsDhX7AQcKuAkVbvut4HU7WQriCG4yXF0uETNpOM2nfjFXPgUpqYZExI7
lNo1p5UX+9zH2P4Odo46lZaWvvHNLCkLpgQC1/Cx0R985zjEL7X00SNPxlaMy9ht9SZ5rBaH7F1S
LwB4RosztelUR6HC3RBcs89mWJK9aEXySA6Q2OnFvGwsymhO2A2wOETo/utJDWqyakdrPM94+uSN
bOLysRk1BNWttpfGMPaeQ+lYcqE7eXG3cj9d1s4DAhvZkqXTcKUgmzbOorcxuHZ2IUa+gUbVrIBU
rT5i8F1O6iAHx2MygI0ghCqdHynsZf+tZyhd5u159bQMpHk0yLxhA9c9N40/BsTb3I59YX5Ms7Gu
fDxKdXQYZ+IyrmJgfjggbpl+6xiVKfwRKJ1ZzCEq1z6YDs7xK42grOWsKEry2M2dBdejdUa/haGe
0fIYEfPaXulmlnk3IGpJcUPsK1tbqeuXcqqOBVVLJKim/oRx1kUeonmV0dMgZxj8tu7/NCpnFn3V
15s0n6rrVh26ncTqtf2yY/0bEf4zRNhg8vijzf3iJc/7H/7HS179rx+OL22Ux803O/3Pz/+605vv
0NhoOuO+1HWDTItfd3rtnWVqKkjEL8qg/0KHOQTwHF2A/zqOLteQ2K87vaa+Uy1TxZCEoJC8fr70
F+DhL8eJf5aRC2s9S/x2hy/UPpR93y47CmOEqyik1wHJUA0V9THMnp6a5cZBYYBvRxmjxe1bPd0w
ytfHeRqCQxmG9XbGFnWJ1j7yxTxZfhb10z5jVNgoXQCSUSmhLLe9gf84aAk+GAOtdXFGzERh4Y/P
OCM/TXS97KyO/bKtRbTnFFFfyV5Nn0K2T1DTMtrllI55I/kNLMiOcyiWUQPrXA1MRdRc5DF0pkoy
zYsNhXckGwzRXQChT3ZYCXJnJzo2JPh+XEtYT6GJAKzGUEvuyrrAjmjZ0j6RTgN2BSrVvYYW/hQP
M7963xVKedvNdTwfa1LkjmtAxalSJ2Ub2GWwmyP9s54siwdFP/Uu0GMCSaam8GVqpRNnZwafMiMd
1uoT9VgnQ+WT3rc8M4EnG1T8LHNBamCBjOb7PoVhOLZhS4yMk3HI2oC2YkGUwOfnAhOgG6lZ75bK
GByNxMItDBgIaV8plKUp0ku6mqWzFc1rmRTpk2XM1VMYO/1e6JX6HpKZ1A1hREBByKTo9mXk9CpG
tE9sVcGaCGaquwhbsnCdqDUOozKAZuAeV+4VJbem86JD2O3g+Jy3WS7LPgPEDxnYlOZoirB6Uao4
NVxVZ7XFsNmxeGXCD5aEVyHGDJlUrzU4l5pJ2ReLpm4YFKW/ZHS9ResjNXONiaLxSb01VYDgGos0
ptNGqx7TGDjepQuoCh9abUSXng8q+NpitoQdZSJnMNUpj7/KTYuYpryOrg01J2u24hTGx03yCW9b
UwJk9dF8HYRIGtoG3FXnJdXrhh/xpU/wqW4MBZKgwKnVuOROsbspY7kNQNHJiOS7HCJdmUk9lsHb
XBF5hpLEMcAVJQZUT3KpRJtgrNVby2yDF0f0KUFNgcIfk1Q3Sx4biR85s2NutVoWpyDuWl9YZXNj
2OA7MZW+qDdXO3W/AGSp4Ia3sZ6Fb5pI1Zu0I1bSN/i9B0+DaHCwYNrZ0TSbGtKREJzXMsaH70En
Z8FDy4w5eWFahN22K6CsXJy+5qk2zQ417B9bs6N25fGrdvyMHlZNN7TNj/25I3+BmCYjiBNAcF3f
czKAYiDsUJ29Pli0jxZ+q4KLZ3VxR0U0nmnmwX3Xkh30Oihyuett6Sxs+aFigi6t1m4k7ATaYFvb
U3UZE9rEwEBGEni45pMRPH0kZQDqv+rZbP1SN4O7xqpL8IbVBS7ayCJfYSLpQlOa+i1o17OyoS33
cRhn464jMcVvececXc6wBWRQq1JzYzVWVdagHgbkZ8N4SGbGRBzaXAA9aW2oER2kKYCXdTHMG0ut
nCtyJJtTjx3zpigtHe9aaYcf7Hpsb4mOGanQxABTcfhSnE9LZRSfOpx878MQyZlbWWJeHpwxEbec
OFKAIBQPXrGk10WaL8CfpUNuZoDdnBAOzX4TpdmQT73UMMtVoz3QVD0da7rIDuUkCfPpeixjJ5jg
EYdxECQk25WceXek+Q2Xqj7ZdzNk+6mHSx5AamwUaeWAjEr2IHVeEvXygbyd8cOUk6mzkWI2rkOr
paoqHkbrJp8065Q1i+lnGNdPQ6PokFGRpbp6IoOLMEyAOKlZBt+K420YLdqhU4YQVk2i/7aUJLs1
rDZHKUHz1Zos9atDnt7hFwXMmdAPmCs8ouQyecCX0ylCxuHRUAToC6pzwrA7PBPHwmFW55QPnmTs
Bicnc3VlTSpCzEiLklIvLupUqy4XZuuKG6dWX7WhLAA6uHGBe0vHE/ayuHVvt5+CxS4J0SvU7UAJ
5MWC3uM1t7mZS9kOd03IAuZiyabvzwrti7AOU8LiHIQWBXEbVyFJXqDyWRNva8PQvJAggUOPV5p1
pLL6I+d+eRxyMfpMUP2u0pJ4h7PYjFzs7DFpUWF6Iv5kIhQgMnfdIpILLFo172ZXPwRj0VDxWKmk
Es7BPp3K9nY0GlRMdmDdt4lDyv0wavsln1npcTocbcW8jIQsDu2g6GwjLUOWlZjWiTDQ8OP/3QPg
etL81Rzy/4bRQ8f384ds//klemk403XNN+jN1+f9fKazxTuoZ0cw2KBJIQyB49lX9EZ9B24CxP7P
jL+qvhMqQAToDp4OS19rdb6e6aTxDrTHAHPhOIjXw9b/yplOCowhv/UG8tqrCgFR4CrsFlL/vnVN
7UkK6VRl2sxdpQ57c013moYW/mOJ9LcwpeHd63Lkr/7kDBCddoj8ypWhkLC2lhJv4NhsNy1ao3yf
4wJxLhmS1kcUrfpJq00pIDy1gzXpnFHwGk+SDSlsIjdgDahuDHIjnxTdiMM7MZPedwP/mUFJJvQf
epSRM7U2hRlgW8/GpiF1onLIQFhMqCB0ibAGTq6iV3PUHNwJXjK1vNIowuuiC+WbTEqdsKb/zd55
LFeubEn2V/oHcA0agekBjqLWTHICo8gMaB0B8fW1QLv9+tm1KiurcfUsJ5lMkjiBHdvdl/t2GHWF
Cs9dsWm7RWrYN4qhqIrBwbrI85mFWL7Fma8w+0It9kpz4Bvop4sR7U7Evdfo5Cap4CywpuK2BU7Q
/gWCYLGOk2Ey0XWBvSVsE2AAM4wzoGxz7+ZX5DqsISLxkVassGfZx40eXBrEZZ4C0oOkdsBlnJox
MbRgjSZE6PwWYpVJ/+NsP/sdeodhOos8rETdy5NBpKy46OdWYQ2XMLTQeFwTf8HAbAyYWrj39mgV
S9SazIEGm5x4zDFAAEewbwO8RVdWL1IgW7J9Gyzjy+Odmu+oGMUJUOCg3vsgz8Yd+UGxC90ye+Vf
I+ynZX+XeIZozl7ZEoNeQZ7SrGFK96GgW09e1xK/U8TmGqYmvFNnOHOTN+bD1PgNwCvf9NZrdwxY
csnAav3InFbXOJEMzzcD3qSOijykvk76eQkjL8sGOxYofXf1PFtTBDRtQPY3R452SGRjjejQWidv
BDmJVzkD1GWyGWsvi7nCfslCT+m9x67tZM9iHGPLaexmL1ebP4/o1wvKXZolh6UoNJn8pRmWPf4+
2yJB0Pq8wUANsNYjsHrKZ8f9bMnbP1dpA9lC9v13MyTWfMFTh25jVslCyUXPeiz2LKxvaW+qzbcx
ElRag7WPTEPoCgBU4l/kuel8tqHF1Se1oGfuU1QjHcMG4ze29LK5gBazWSlom7sa+yy977PgLqgL
/3kYFEl4pgXjzJYpvRDTFJi7AVjaq6hz68FQ7PjXcPEvQ6846cZGFgeaJ2ycqqCPKIbKRvsJuTPw
dxZv1C5SZrs8ZrWzflPEsl7rjUYIXalJrdteyQD+HReUaW/XmDtOvMmra/TFHngnDswuNnNdvcFW
6m5D/G9dDIEGikRCpWATGZ7jPnVLutHI7AqFXPA6h1FZ1N6VO9J9HiOzZAEGNy59l8rhTNgNkIuu
+9aCyjylzYJDJa+yd5ig9rwHVMDTbkkDsEcL9iJuupSRUJjJi7GCMV7RtaNqbupvgBYQR/qUgSNx
59dQ87HrhlxgtAZm87aUks9Nu3FeZeP1ketWzWVtlvppkH6e7sql5Cwowdpkruvc9XDNuDCEkGuV
5qYKkwhgXm5quzp1Zuc+W1UxXA7LJN+9wk7D/TrSXnlfzBnWQkyzOjnCXZ8QwQmAza3RoT9ThEL0
yrQUj0fZPWVs/s4zcCwktLJGzU59bqxUMvnld+txZXX6NXRIF4j1RVmy/up0o0Pgm+iNR9zqoo2r
IpBRUE5672LOuQGMbpwT1yYCh+m5nB5bJsIfxjcbQdDMBEh6bj7WhW8n7YWGrqyO88IqAoeq2eZx
4bh+Ea0Jz2rkmd3wqoFo39babqIwyIx3yM5B/SzywWCbNfNB2YVFyP3NaDwvxvnmi6/KWLixc+gf
Ia/weKavDKLm56hK8Jx2k+/drOhRMtMuZj3uGxzhmx3FyviStMt3hGgGj88o+w6O/Q0EzA4urJ8Q
aNlPW2677rXbJQ/MOeaTBPyld749BXpPTAJUWunm+b2pkgA4iWmjFYrAc41LF/brh69pAcFUw5Xr
2nWSNRKSIwdMkEN8xc4gBa6qV3cJd48nS3DMxVoyTG9Kf9jElrelUEDXgrKYZDg9hyzoV84rK0tQ
8Qg77tfW9e/LGbZJVC6YyiIq1No29hfNf8T20vYh+/G+cDbAQkqxDndRijxhnzNhY8wKq8zf15xm
IRCbbL4sxsw88TCvxlnV5CDmuWmx0DIfDCcb02hyGDtswZB4sm9/DrtX9qxIrmiyiKtdtn4VLqMl
ty8PgP2cK9HEfIkRw73K17NVu0WBmZY7/mZM39rp/NXGHQyA4i5h77MDGFLld0OxLgwIveN8iG7l
RSdwyDwtGB6uG7OdqLIo5mLgbs3RGuL4C3c6wKE++0324IhUv0xM2ReQwEIHHIKxslk3qeqQhEb0
dbGFfPRqCjw4ecHrCORg155mX4nfweRiiHakdQOk1OP6xD2bxcxaTN2uBqfXoN8EYkeeKk1u3SWf
l5OrWOjcLcLXemfA/Ls2nD58873Fu89til+ZuWey5dWDwtENkXYd0ziprYwGb1PGidTGKUdd3gk1
f+ZtCRSl5cy0zaFw3rHliDKS9ipex0w5f4aWAHzqzs1HYaz09zadLs7mvHkjtxeAmcn8cXFzBcJE
gfJZ+iqP9GxnD0ZXBxdWF5j2UTts0ivpp3FZ5v2OBK3Mog4k/U6tMsQMgtQQBZ1XkKhKYB51K84C
HP3+g1saVfGeWqO88jWrJL9J19OM4LH5nKl1J2KHc6fkP33MZQM6Slj2eBxTOV0a6STBCPvTSIov
W4K9lWfBje6M/kuXrvx2JyAi6bA84RUveHBz6WZYtvvmkM2tGwPmN1dGjwB+cs9Z1DN5rbY+k/Xx
PzsjbU2Kn3HEX+g8P1vu4h3RucQ9DqcKV2VmPZW+0757FsurGyfv9B8fI//EbFDY5D7GtC/jNJ8M
/+DZawGsgrjP3rSmxjo1bjF/SluSsoMRp18abkXZ0W+s5rvzHLO/nxI7CPZ0FgbhhVuxjb8i4cSP
UcpQLTuXpsdvR5a6Y7yxU31OzNIFwM44hz3SavDh1LWjHztuhJAQAUA/Yt9pHK7UfrU+wNZ8gLZS
NBekofSyGWaWe1bz1Kw6a3ptQds4Zd4ymFE69+MRP8QajeVYtVEAsbyJ7C7hY8IgDpF87dNzhYB1
UedGdkrCybk1XTedoNJMzX6cZxUlTQvtziwl73JmkG8cnvOzVwfpHgXJjgMomUzRjXgxjDpZoMub
YjwLotb1x1LD6j1y0IZPS5a73wqAb7uTbl/fqnDoXtQMLzp3YKtfOMVSXg12E5QR2Hnr1Sbn9+Iz
q90MoyePYaklNThV71dHr/JdGC/YBHasMdqOWsjW/eIFWca8skQRGcJwXsdk+LD7LkkjCLMlnBob
P2lbdN2rlXmtsbOgFUDnxb86RUa21C+dVPIJEJpomd1Eikhkeo9TV86e4Enu7F/rRFIx7NZy+hrd
iiiR4XIaE7eZmck/rHnF8r6kj3lhW2fDdjj5x5nF+0XnEJo9maul16vCKgt2ciU855us0Q69EJMR
5DvDVU52stvBXw/8qQo48wJNi55VC3nIOtUeiJrgnlKrGJ8GcKVelNnSfsxywj6x7fIqT2EwPRBE
kw88++tp1Su1AIXgNR/Xq1L4HzM3gqSF9FUOzsE2mAqy0v3t+j6mm7buHeZGkXvnIcd+9solP6WP
w27ZSlYtjNTdSurrusVnfOdOWEAqaH+zUtme5MV8gXus2bP/h403QGMlpAaDbljBwadl0Ic7J/W8
m24Ox4fJSNajJOP+q+Vne66JvJPh8OuiOWVGaPgxxHyInKafokeiWBpvqO3KuMiNFjqycqrgmZAb
OlZNBASIea+bL7MUxHYTXrQ30t0uZ02w9c8MYTg/ZsuclIcGpZdfobe+YRWl84D/hR/ngHEtcOFV
QETQaYej6/TzOwl/HNmZVbi3WeqYTwy4nLA5hS0HeEbpReI08+8q6ZaDvwTlubeSNTvpsHGvuTSI
BEI7PYU54Ye4tLjOxAwZaxABq8UXsBbz/D7b5Ex3NsRWm99isq9KmDERjTBEiIPCKfI9H2bMaRN1
Pp98fP2roSghVaWWydsdzV6eEiCZBELTEpW2Q5tYEq+6tQH501LUmZl1MYQpFUbciE2QYpmRc6vi
euNHXHLXI954+90beYFF66i4vyKtuhKRF6GVi1LoL889WFEXzc8J80MGrvxbd7131izk3qq5RmZN
vf5UtBzzK8loGn8Wn7MGtsG+r+ElVJ6Q+Q6oPa0yy6zYw1W2P7y7RpfcykB7R9/q05c+E6WIQQan
xSHB0ni/9mMzXHSNjdg8hImf0HJS+3tRzZuzcpI5A6UtmWuQBuZb0cIcieSYhd9Z6IhHtqHPaRj2
5Q52LQGgGjdU1a7BAa6BeUQsEBfLQJUBUJr6DGe4vYNHaMZtz156z7uZ/NCSqeGh37Qlp1cBIOw6
G75yTPzjgTz62J+CsaZ/B4bfdzuu+nbusVjzvZloph4aEy/peTE/cLaaccnv4Y9buOsDPjNC5mXm
X7kq9e/zVrr0yiTTNUzqSxmEOMYA0pIJ7ip9Klz/a1AMPAWOSxbA9XQ5kTbO7M48Djniw6R953Vd
028et5mfMYK78rPvEoL3GT2misuM/WGVMyHPln/jVsTHKm/gP6Sb9g6cHy9QsKfvzBRk/jj8/Ee3
+MCC69Ehm3gM+rUTkxCsoYg23rmozfYxaUfzSAMRnJowjZtmcI5WVgffqjSsU2L27tlpi9NaC1QW
XxV5TJ9jfcir3nnsLWu5DFZhgnpx60vw5dOH6tskdpOiqgB3LyYqXNFggueQnL5WzBUAYwqri4bE
ExdjAZV4R6tNXkZ6MroPkuhi2a8+oL4FmeYERsvaF74THPO8nU5tsnDd121xB1t5ufE9F4HEm0pK
IEDMhKQKx/X3kg+YBAomyMhzK/FE1ti/WmyUDBD9LnfiUkRYS8zYZpL/XRpzf+zR1LeXya8uHBTb
4sZT14PPITrC6c2jFstKcqyaECuhtRy7UhTHmtaDneVs6Y/Cb8dnxt2OBcUytNH8c+eYWxl3g1f8
EU4anr2+WR+mJV/frFL6D3VDy9XOTHOow7a7wJ81geZnHsclm5uj18CbtGV7BBvq3yrKhviGZio2
bA+S39GmoOTgqCaJZDB6V7rkfqoCt/tFr9IlhRI0aJhe4D3gCh5PXdXP9+RBWByZaSUi7K2/Otzj
vxL88XGp+v5mcig2wBthH1oUIsTQiYSeS3xTsZOHP+vvIZxmFy3Lcsp91MmZgxvBmBe5XeBeLp5t
MUiFRAg9knK1PXrckTX2qUEae83L+OCHJuOdL6srDqocxW0Ur7XRbSaQHlpY7QCfty35tJS0Cx0z
U89PKCEDXIQGW0wHEfxWIIb6O5n71BmVxrTnxEX0cerysIyyu1jhjtqXs5W3455t2nlJ0uHNyIX5
5PndaHBXWYfnVUOutWXhvHZzTqiuKkx+q6t5alEWoD3LkTBMmcuLbgYDbE7pFGvP85hz1iL4nOvy
w8daFc0NYQp/XKvfegmSI+dD84Bda2IcSoyb0unE3k2m1zHnxaoAosQSgE1zxDWv6dyZCWmUwU3r
kazdjVwHRqQqrje7ZPKyS5qB63Ng9uK3OTp3RsLYPeDSYSBLljvfXfz9jFkjsgYgttvihPYffJwE
gs7+vLKbWprVf/HtynvzQFmgTPEmkSq7DDpQBgv3jT39HnV2Q4hl+Vyxiz4XxWz+mXplcB8IvTtE
nWPue+t40xr4dq5Tje+Mfys9VWv51XmWPezRpuYTo/fyJxV5dVegbZ06rbt9b1akzIFiYDFf6oMW
ABB3yzKkTFL40W3G4cCAC5tnKE+CS8u96SAC0yKD8fXvxuL/bxn5bywjkJW2NuL/2g/68JHDiEo/
6n83ivz9t/42iuDhDHzMnSD1vJ/Y39+agh/+5QoHT6fHKv9ns///fCLmX1u87z/FxDh/cbVgZ0D7
GqZRkzr2/4FPBLjMPyQFwohYELizAbFy+Nj/gx7FSmA2oJ4PB5OukvJo0OiXXNulh/wECNk/M1iz
uSb3P/jHMM9Z3Hc+2ZO4Mgr6HvuQ8GtlS3Fp68I5UBDiXPldWGRRtcAuJljft+SBJ6/uolxVtrrC
N3dQQe4gY3YBvG0WFfgTtWZRhLRqTBEGtuSa6wYCApF+/0zQoO3x+FVVe/TJ17/haZ8n9sQzQ5yA
fUy/YVOxKjPrRF7NQvufZKGoYQ7IBMw6FCTN4QJ3XHf2TDkFJzHYk5YYIDJv231pysG4gs1l9Qyp
xP+sirH+ZSsp+2ixVc5o5DFF4lEd5Lc2g/yVKAQLWxI4AEDaKSjEMdDV/DiYqISMA719ZQadeiP0
mMSQ+Oc3R7gz3njmg5tsGXozrmorZw9WE+WLChsOR1yOhkOFUC5hlGhsSclO95spX4I6va2QfjmN
LIKDbWM58sOsBa/urFmMYk+Hw7afdHn14CnyaPejuGc3TinsG5cwwgX6c4mDtdJqjQ1eCc6l0MtQ
H4e6aUhLopxELHrVq1JjXpLGHge+gaJ0YcjMfXXo8jr/dEZVXK04bu5oV3a/U8uan3mRIGaoJQFk
Os1dfdGyD9roWwjQSTm1L9VQw+xBo6V2xcPQCqmmYyFkrsp7SZUcX7qupfqmW0O4RN3qNg+WL/Nu
z/9gftHTWN6R7ErvCxrH+gMFLOEpxVxxdMxZ/srlTGqXJV0WCIZPhbVABGp9Vazk+wsfrp4REfgx
rIMy6Ao8Ga7OP7yBMOKOTjTpXFoBN7md15tEoBZLk4kxTa4w3RbTSIibtTuSHp3GlDuMyQ5LH5eS
cBHDiyIDtUaqnOY3gALiKs+wLeyykHKFvR6TquWBJXkeDYU/wXzv2dofp2pLfCRTvnW1dBT+xCYY
76OL1/AKt6p9r4ZJPBc5WI2wSPmqRj1UBPt0td4l+eiUD7MkUMkywMG/4Dt3Fm/9y1mbaX8suePi
JwIN9MYOsLgMAvosYqsBe8AsGsRWjSR+AIo+XmTJQkmGOQMb6lFc9mHd+G+hzC1BIghZLWoUIY24
1SqcAJza5cHv7P4snHnMD02fKkrkTAxG02o4S9RMo3xgUcs6ktLA8JfJVfaVLl7x6WvhIp9rtB/T
4B/Pp4UbaiNe6SBgJdc4k7tbRsv9CDx26rfSlY3P5W6CNkKHmLqFGAHHvUCLv+i1i8thBYicH5y+
Vb88jM+fUGvgf5cUeZXHnnMgP9jFqpxTsdgAfyUhHuobTI1bNwEHkV7iMcKo3mQBA3OKfx+cBNZW
plQA6uY+K/CU7rha4lnFimvFdmv3Gz7C2oxGJHmAnZjjgm6KYsLSjweWljAjY4/YGsnJDtPye+mI
oOQYi69qPuHrLmBa+OK+1NxsedLjbJrrC1Q7n9EscdyvnnsLhVCB716yD8n6G6ka/W6skJjz2h0i
LrDhlbBy+cwTxaxdhTyVdb82B14my1uhlvKmk8KcSFlBK8AxK+2jB0w0ZLrUX3nvzsdADvTEpAta
SDoXc6xySw2XYJS1fyVLf33ksPGqpyIUyYfIyTeyqKv5AkFHIFO2xa8MhVbtxCgC1ixlZbyCB1M3
hQ7NPwrnIEjRnIjvrhu7MsAhLEnQ2M336MBY4mzPbK6SFqfjC1z1HCALaQLjoPRA9MWlgKnfo+aa
1HlsvrHrPljGUwB+80kQBaMpaGIBWCk+KS7gqHo/UJJy6XjZuxyt6uSUGQBMu1Uf5azaRzVpIlfD
YuLJ8oxHl+OsithCBRow2cqNk9Wsvce5qz+8LTF5ymanvgsLqjtIASya1fronYOyW3+N+J9phWAB
u7dap6lPfTK62aPpVsQ09ZpkLx27J3OnUlEeQl7352K2Ky4U7tpyHE2m9a2SNrhtIHe+G4au7uwF
r6RD6vullLPI7qp0rDhQbOn5Owei/HtOYg1NwJ+dSE0tyoDyERuyvhFg/juaUzSp0uBJGkr/gTRm
V7FXVR3rbTfAH03uNYXjQROLa1TNSK1cQvhRNiC+WJwikXl6EXRJrckdCOvVxLHN2jwWQPwLVnOW
/zrgReXFTXW2udITaVdhGblhQrVSGBClo/PoJJVOn5pq0+MsofdtQrw1KUb1Bkh4gtdISSQpBAjl
JSYr5RikKIL6ytO9czt2/oMqgxkrYPfaSM0HU27SWU4XSwNh4DJjgVCDmnO/5zQ3zzINBTcz1pWj
bgmYL9l7gT1ml3TBb+LJn6N0Da7UJBg2K6qKIFlxn/Pk7L6OFLqIfYM/EFelN4TDzm7cyTm7vldA
PXfZN50nN2Fr6xmUnUUO7WSa+8RCmkwGpVoPcy96Sk5S8d00XcMq3Rqtl7QVxrprzTHzTlNRivlm
5fH5po+DTqSJvBn1w2U1xiYLciTTfIFob+anAijQ3tb4bFUK51LNo4gxnAQDHqwsPzdjSXAzz4OH
wgMX5OmEtSxXqq9KZPYfkSXjWymcIZ7XZfg0OqeJitV3s3iiLoiqEC/xb2gigf4WTjW3ejR+9O0e
9ZnipsYwnt00K4k7TzqjnadQUJjsLtPrTSdAGe0rHhhS9S3gSmgso2OhigN2aDfEQ8cCljrI2QHD
RKYOIsTGMjqHqzP8FhtFovoBSrgbW6KqEP4iTgTN8mg2xe36k0Vb6z68ntY2vDJ/8mqjBcC2agdC
bH1vcDvT6fjZ2iNoQVTj5d38ib4tPzE4ZQjWe0pi0DzWP3G50SSidJY+UbrqJ1VX8FO+xhthU3Zd
OJvgM/sXRdUnUWs3SFUNi9oXhiiSezB87K+hW/pfioqPi5J9WxrXtuCOzEtpvpH9FgUsw940ouAn
JkiVX36rfsKDYBqpdPKNdI2tYuz9K71lEL2fOKLisDtME1nIzTrQlbxWtwCjvWUZvZKPaTSDZWS/
x7ZuCtfmxWHxEkSYQpuzMIKAEuJO5SfualR/sOhCHJM2kUr1E6/MmmDJbtmYymvKdnoY+6x1Pjw/
7O7ttvIfkqHHHpfYm/FT6hW1oFI2zwlaI9+zUyrzoIc87rcwqP7JhRoMpvdQMaZLlWx7bIx8BEk5
xr2XYmIq5shIl5Z1AZDVvfgJo0ovb37bfYUEVvwEVyWWF7zbP4HWZMu2Migk+B/nRV4BDRjMXfOT
hOXGISsiDBlUvaXLoTFwQJOjTbZILTAJ0rW4TMZb1SzJZa00/g+r7H8TWrYepkKnQ2xtOd10S+yy
zQtf7C3Fa+sw/K0cbT5ThDpdii3tu5AJ6aJkCwJPTa7eOH8ZF9xutN2oEkN+rH7ywxMK5tms5fLa
ZAsih9rixj5enBHJ2mVPKUvqaY8QhIhu4yEgvSzJqJRMymbhnk2jZIoZMmLCJxaxBKF/MtGNTp0z
7he/PHRmgRPLT3m77dw07ZZj4oAwuFi3zLWn3KU7K3dLZmc5aKJYhfitda2rr6EXotsUx9reD9yl
Xtx8SSmcTifgSkcTEP0WaulT94IakR6TsJG3+cFjQaKpksFlanw0/RCcFsryNrl4Lb38nNYIpTDO
NNedGOdaI36xhLHEg9cwlxxDnjTsHoSIPHwdifrwyLkNC66Kw0S/M3JMSVG57TaUqOEyPjt8nngw
V0NUVyx4af5E2tfOzdoCkdg5mIXJ7XpPWDO69aJIFlwVITPBXanwZrLRW0OQZih3RnJMK/z+e5Q0
tYcrY/oOhEOtN0pn7fXYauu067rrdG0Yj1qigeSirLZyb8acBNSFh60zvRVToPxbH8PodIJwN2KA
8+p7wjidcSU8ZhI2XySyjmG3eM5hmNc0O3tIpvmvjDqd6kSVyLIc2gLA7zsFuOZHiDjk79qFOrZ3
dsl1sgtmaQUMSaOTSH7vk83iXg8DY2aPTh9ReIIRln28bb47vh7GqB97ck1d0tpxgqYYXvH67qZT
ISx14cKj6/e2NyCImnZxHCV6F2OgPz9SkVVtfFY/Nw9p35IaqlGo8usG3lUQrZXVjPuxgDCJTKtp
sJaTf4S2QeGd02OwOLQ5rXhRWCdBclF3UJDtHc4hc9nxZqjweBt+ObzNBeN2281LdV1iUwwiQlAe
2i56smgvyJ4v4SlBIIAs41VB+sJLyh+2qF3NmGNO2IUnR5BKz7JBV88p9RH5J8EW3dxLNS5x7beb
fN0lGVe7wdd3eReGb1Q8eluQfWypxOXbQZTss2U9WVIE+jI13LWk/dUL3N1qBFiMkSCxc4jeuMyq
4i3MjYSJ3Gol7DuCi5WbtO+GM4eIA+ZKB7J8yFEkVNxnBbb2Mpzw8q+Ozo/F7LdpnCW0I9ljhbZf
p0byh2WeYZ+tgNq3mBUD7o6xTJevRWKSOA8TKDdme42g0mn1SLMVCqUvAZLZ3lKdtdMZLvG58kHJ
gbOJQqPiUs58YplaEqp6EsFWPCLfrj+HQIBLs0yBOQXHN/rkwlW4PGUD7IpoAAD/ghNd8vsQK7Bn
3PHW7eJTJHlN6FXLmL+Npd2tNX3lHXA2zHMUKVvR2JvzcZYICR1HPwtA1vzPCE/cmAooTh8VXIuz
wR6TGueA+pW2HDYj6Gr5u1J6KPRr5Tm3Ximdhy5r3A0wX51zezHXT8fix+FPfn/Jczk+8ZMPT+DB
8WiPTWA1lC0P5xbe9occTPmyLNlIv7kc86OVW/YFlskAswuElYggQPkmCx20UYH1woyCxqLCctJe
iwbZ5QbwTKUIMKyOqMKDwTeGmFyEl9SlLBhgii2MXAuyFnHLZT8e+oQO3hHOAgZN7EY6npRIOLG7
0N//r/dDw5/2QY/914vLp48qK//Pzce3+vfN5d9/7V92aIctI2EPzGmhcB3xLzu0/xcMMzv0fXaQ
fy81/2+Y3fnLBXLGtsSBgWZTBP8vO7T4izyazd/Cw0wwLaQE4X+wuiRJ/28Bty3K7tgE7SkR4qvZ
5j/51iRkhALSR4+nbEH44QQujO69ch0Z9UyQxlhcuJz+JzVgivm3n9R/gtzHuv2PL765w30vZDlM
uIHv6B9tESyWzHziY7a3SmM9JaO/lbqTTe7nYd6NivDsWub2FUdmil3WzK5GPgxfHLVyH7Zzipt0
dClRpGtrvtGewA68zt4lN/yZ1QzAwa7ns5/1Q3jtZIOI0Wd0c0pw7y6oiHg3+za4Z+z2CmpwBRYk
339y2GxEcDn4B4O1ITzBK//WbSyUUPI214yuBV3xxYjlGprqZuoZ8U4Pzk2AYe3JMmmF2bX07N73
C+9rWwzGU7C6hJxFE95uTe+7DXh3LYttZWYYyzN4N3ffBTChrJyy97T01ZEjxbsM2REcN9H1vIJR
c+BEGgajcZAaxckNOvsq8DqfviwjU9PZQLV0LjvmOKQhmpWOxNvYT2E7wFKeLuJdJG7usCZt7QdW
NxR5ks9CJR4NfmqDs5wWyN9Xo+wNbmddWt3jQNPYDhbzjU3KwK3IM+olMhlF8A7Y0/RrkjKlzlBM
1WPtDK90m3nwZykZDu3xUtTuZYjceZJ5P5x0L1BwOuPdV2ZIJNmdidCQZofONijQSEWOHOSTdxlJ
cszzjWI5xC+rKC41hLljCdDgaOMbUlHeieaqRjg4p+XMBkOn05OkIRooLMTurOf2OQxsqFfFr3uw
CvOjrOlD8EFDJZg5q/lYGOFthUX1iu26PBRYTUhIMbTaARXNHtI36bZBnKxxyPchnxwvnkdlXS3Z
lLYsYKuArqopaQ+tUfLrh1mFq7N1z0iBJJUMG6Mqlq8YbODw6ktLvMK5M6+pquSZlt6lsDpnN2zP
+UgOK2Iqd6+dpQ+fNL5BQGFqjBEYB6wt88CCImzZw3WouvwGh6fAJpm481BkH4UcQgslkLQFfOnQ
GFKKPzsLcCBz1nsuqIk+tJSLm/yIzZoO9gG5fp9ak0cwat2qZpzJBhlQZdl6I+rA+azdZHwgIc8U
EuRjuaGnoCEAPfu9cqN6DKYhfN6W2sAiUmW855k9X2WK7lWnIGMRz83cBTcuBCEWZbNueq7hXjId
LMPojn7o5SQF8AZKXlCdbM5jIafPdpkzBXHetq/y3uqtdwFNCmszxcbUiAj8aquffw5zX95NBM9j
PFPl05DZ3qluujNtNh73iOnPuk3bKMoE+mvH+cPSpv3O5iE/LdLLrglBpGeMHgXmqZYdu+wcfeOH
OOdNL+OVqmZrfPYnO/zKEyc5G43Pft9jBKiHacLuMVTeqTC7vIszaxiuV4wk+8Wp+1cnKbt9qSbr
xmxW7yNZdX1QU5P9sX3L2k9Y8R+gMonHZgqtDyrw/DtLreqYpAk/wlkMz9zjmmOpB/MKzGD1K829
7qXJHecZqKt7Tgf23i2v8IRSgc3qqFQxHVuKwWgHrMsZKH6SWf0XOzz45KnTywETRincZ7vJmgmD
yZj86tfkmHAV+pMkjh+c3MUEomHhKl1PWJJWPGNZvuwJLBzEkiJ6hky0Is5VP5uRNIEusApcfDz3
RtjHc66zD560eSGSly4cSEFIPZ2RcRrjqYH9kFI+mx+CdoLnBt4CpETQBeHV2C7VxerAPjt0bsE1
RQChPiedsN49yp3ZqK0aLDzgsMHBNBnnhp4MiuanDLJhovnY6MxIPpiZ2ZAmQGgv5eJNLyqvx+D8
H+ydyW7kWJqlX6XQewbIy3nRG5snmUxyuVzyDSG55BwveTldDk9fHxVRjehAI7tr06hFJRKJXLi7
TGY08r/nP+c7EaeKiCkvnx+sOuPIaeFC30ZkSd5KqvGuXZO04oTLINxqAyD7YJRiM8W8MZTAG9/K
3lafWE/1kdqlZDv4Anaw2dNYspr0BI7Xm2T5wsU/L9Bg2BFrBI/Q3udRx+6od2vk0nrQMMck++x2
3Xc1NbLOoKzXUWlqlLskt4jFmvRGen3dvRrl0DpbHxPhD7AX5ktNIHNt1rP4lfYd7E1nhqHZzc0O
D2R7P6Cwf7RQZK4mbrZsb4PqIGfkzfi4izmq9lPMuW3NH0vPKMhIabHy7acIcgOyhMOXflVRy8jB
tuEFyHzO2TMmM2rjYGV4vOI8kwaFh7lS3DMd7heU06TFvspxU6Ixuj0hHig24y5A3zAgL1WBAdiK
505gu9Uzj54Iky8CXL+uRq2+g9Kfz3mThbSFRuV6yIJu5+TFeKlVxAMPbZzKltrvTpj6aUEvEtvo
1rKS5Y2RvMcdw9dBwaFZk+hxb9DbkmQbSt++z7T2rozqzTomLnUBU494gfhylmE97JMcxWfFXjYr
1wGkIVzlyk4eDUqF6NUxF0aNowdz+aJjvJi7RmxjMww+MsoxSV9PIAAJp4ft7wZDKfIbRK+12RFl
Z1pnEgpRvV6ko50NnRPdAxCzvQ3a+JYMVviIMzt+tjqXePsCSIEXwHpMJQINpJTuOgHTc2mTOKER
suVrKzzD+V5gm/6lifHwnUnhpwoTxCa9YniMAbjYJqxmt7kL5uSCNWKLZMEDua9xDJqVYoIQyZMe
s+GqZ8VfTpw6v4rKsFgrFvbVwYYFLpmc2uPYYS1EEDTPSYSHSUq50hUnMM7BKyg21pqZbJeacblh
gP2F+9HdcIS5x7VuEsXFNehkip/HX/R2OpJUwFdDtZ9zT0BXUcnOoet5WWCUwY0IC6Y5ryVWsMmF
AzSx8lR1xuEKGid0Bk5yXFTMQQxCvyUWtSu+JNhmJKBnUu2ZhwppU2CMyMULOopEkjAVuYM1su2b
T9YOQben4rj71QdJg6uVpgvoQ41SB5/d8yUn54EXKCjwNmbSx39dIGi0q9CS0XAsU4/qEtzzTGv5
FxUHMYkcSzf3a9zfYHP82OV5qBaaTrdwdYbaLChLWGA7y6hCkvgLwmMGAcDBbGHzzAulx8G992zN
jJRrGAj5KQ5sMNQdAVli6wvnp45lS5T4C/8jpzC81a2ar7nZQA9eOEFfJ0UTuCpUFChCY5sDFBq/
4EJ54I3qGI2pk/OiPV4JqW3obMsehgokN28+wy9QEd5boEX2wi9y/0QZtSPSHZUmII7MsWouvQG4
YDvFVXVJFhpS9wVGYmcJJInPhd0XoBWMBtYXSIm0s9temi/AUvkFW6KPGPASOUE9b53YmLBVAg4q
N9kXqElNM29Q9gVwyhmI3Z27cJ30F+KJVArbwUwLoU+hV1POai1cqKAqAEBqiIgLH3VkAvZo8LAm
BxJSlNGxEC6gKTUP4gc1qB46Y5jpk+U09lkucKr5i1OlF2QVDgFdnmHVQLKiZ7YeEOXwfWwC1smM
rHgDz8RajDcAMulIbGdGUPVNxqjtIMoFtMfJQe8602M5zWcCVSsB3PSjKHT2TFUctrH5i8DlQss/
FlXTozLVxqdpZRFC3ULsMnmqHKeRQ/q6WpBerGYhCyGXdD/4tCG0WzN2wnkBgZHB5wjSFuI8O3gj
QjfqLrLKYIfRNs7RnV99O/EieparznhV2i0g5SUxhfAZ41G/wR3uPnWmYBv7fzmPWf/EmnHKDE0L
EAQ1bRSyOZx8/wE9IbCU0qEbWWbBbiV+L9PyGwLSix3Kb8ItebD6CZpCm/5siYI+/Ovz4D+qlpzl
x3smMXamO+Lr5j+oannUCqjLBm65qK1XxkyRGG9+cf7XP+XrRPt34vfyY5aaORvXD/8N/3HonNoZ
T+js4DOIWSb1Gv/f2l+AywcnmQFo5FpJsRIhLmTo2obYiIGE7Mpif/hijZN7nIyyv3hKdo956lM4
wVtGb5kprsagpheMKAqQAwrouue52N0QaKvov9lD/49gQXrt8Wz+SzPZ0yelY/E/mfTe//qbf8ky
1h9fcfKQxSU9Y+YiTvyVUvf/EDaiKYINxYc0kvE9+A9ZJvyDiQGTFzZeARgjICzf/llHSEqdkSeE
RwSy0DZd7z8ny4TLl+3vl6kHLcHyROBb9JzZjliEm78xBtM8SFs7o+W4NbtHD+X9ILtRrKmbgaxl
yOEzCyaYHF4YHqjIm9b+WLQ7nXj2gSeFvQsh3ZhbzXVJ2RTnvocWpXpnzVF57BqWdUnB3s6PYu/O
xsd6RK+sdh1a8kcjomo3F2Pm80+q7p1+GbO9y0jImKtmTL0XzpzJc6fK9q6uGg56vejIAja9GZz9
cQ6O6TB0rH9jNyRLnJkEeWiZ4vjiGKTMy+FXRA6IW1xwZqTULxhD9Ro3uphXvB3pzDPOdw6NF8CT
4BZAyrVxmiOH4ux7KX2HFunaG2Y2hGPYEGQJjHJdsie7z0fHqdaZYymacgxqkPooSEssI777vWxM
/RqSb8Jw7KfdUYVZ9MQmesSoRQXTBMjdS65T3kAroUfNA2We2Ol9xxPguSndNN/SqWGeWU2WKz1M
Vwur04Hj4PCrArCDpE6H9qot2va+y0cj2QwlGbqpsNznyBzsS2fbxlOS++aLUZWoaKww9XGq9fCg
yRtsGzuOP4Kp4A2PvXF54YXNYoXX3idIElWA57wX1cUkz8zhfCzKd8IVBGcSkxGJaUnwIqk2WJk2
B8rczKx73AcM37k/TZuoyuKCE5fdrfFKpHvB/MU+0WqODv1wG90OJ9Ir5lb08MlX8ZA89iO120MW
a6rratjz0nAzmHp077xRdJydBgh2d1xQfRatvIBDgSe1s40L398kTbihvbra5CZUq3BuvINvyPRZ
YZresIesz5bB/GkYvmSxONb3NDjF+0qCHzI60mBJmJvbgszAweuleeYTjY7CaGsaGXLzZz3P8ylx
4uiGyTq7mzIu1KYa/Pcuh7tt2mN7zCuBK7gMnup6WA9hU2Hq6JMbhuKBWbdR33GjRLu4D5y31Oqn
c0qWgCUlIT8PpKTtN+0P01SvMkmnleUzHPExPbehxhtY9sCCtqQn0m9yHA7NmN2UQK9P3JOndrE/
M3aUBSDQEVMVEar+4NInoNbMdrm/Um2cPvE98O/I93iPYe565YETRnYqWK28tJBNn9jHV/mmsi07
2POHUvg4oy3hSDXF9I0Nbn0ArudeSZP6KJ0dhjr0qRQ6sE3CTFae81xmgXOFUm4frGaxE02yItPi
D+lvUxdq1wzQnBEfIujhhWT66PsgfPJLutkzQrd8/B6J+BXXyXSj4ip54GDhbdj3mJhy5iC+Kbpz
OD2jXT2OQQCpepgQYVGw9auiXuGaps5wmswSvHpscyAjOTXzLxU1YZDeeqRd1T8Ec00sIlKufgpC
gA+99IeDN4zTe1ik8mnqRNUcKCNw3rm+09+Jp23QzK5Vs9abRPJmRYWDcoZDFRNM4vv3Gfma7WRK
0r4k6O16l1dZvR/iGvvaYjrdqz4v7zFf2E8aj+0palzxLZdgJhoDY96KN8W7JSm2+I3wamtrNrhj
9r3Zx/fzkFkUMsYe9OG0u3SJkr8yLmE+1cgWzyh13aXIW5uBaa4Pgc0pnJK14FqWEltA0RCHJhUf
mWcvAt7AQTU+u5bOLhZYd85NrmtNaLSW9WS43tBuicAbdLda/tXPO/kQwN55dMQoKGqmoio5MQ37
3+NCmnic1NT8GuZqplIA+5dPjr1eA4ddEyE+Zexs+c5n+AiwAmpMb0aV7yl/rtttDifoZJtFchjC
8mpmDUkEy3CNjbLHbJWEnXUYA0s+eFk3rF2+uNvWlOkeGz2ou2Euv4EKZ8fZpigtaXgPvSO+g0ER
/MrtML0b4ijfWaKakd47fY49KcgwueZ7Ptf5ndbuSG1T1LHBdv2Fzc5nKGIPfnOdowiTGuZeVJ7L
iVQKAns/bH0p30kWVNvCMpqD7ZTeDyOpd17Q/wCBShViXiZHK/e2SS2SjZHl+sOp0s8M9tDWa42J
PKBFeLxCOScFcUoNp967vetQ5pfeiy9sWOQZD5ZRsv2f4/IYG9HJjBtsZZU3mlA1jellUossCt29
eYAxaxNxiw21bRyx4VzxNEt/3EmXg02VqJfCnMSxADq18Zr0fZGyihPHYUJzCsf0hgwyuh4y3Ljr
Ikc/WtrJ7kZtKAQW1V0bIc5+4P7sR3VAPaB7hVDjCtmgxwk+WpyaxMVyuhnXF+hW8sgNQY3VQBqQ
zoU+OwubyoUVZ44JMDyNfXvA9vzfnu7gPTHwU5MDwV6D+66nzZwwgm+soGNtiGKokOmLNzkVGDPY
QbzahWpDDC4T/X9Tp/dlYtXAUG2jfqy7otnP9RAU1NkFzAl67M8yiaEICvSUTTvNNlQBw/6UpEnS
LY94N986qksYZowYRu8ARXFtqJbnQCpa6i4m0dL+yLbH+1VWbX/ve90ATDShObAktOcPPMRCwj9r
lu93VQUUeWIrwK2K2k67NWuAESEh4jUlVONzFCUfIZf76+x6G8aeOzcJ+l3e1tkbN8T6MfU4P1fs
6e2vTRO/1MIRzWLxgMQJgTCugdH4xXjKyNEPuDbJUZkDGRc7bAY6t3L3vRV59JNdbg0bDaZWENIg
IaXh74DyNd8rX5cHrFbbAs3nxAa7v6ksip9zF/e9xMcPt84vXvDzqB1odDYPQVHK9FCwgDkMZQif
R7OZIArMDnvlOk554xkw7KE86ivujPkkGMieU1yZp7E1qEFhPUInT20elXQ7Hki+e0GQrsQaj1Zw
TBreKxdZ8ZeApXYIYuh6NmbGXSvpCdxIy93nibufu/z75NGzybp447vkNRU1tKJdKBewboIRd8Qq
kJTfDc2n7QzMcxWXIm4BfCgcg7kRb4hyyw0ulQ1ulwfDBsDHqdY55mqiL1pG1ZvL/WwNEIh2oVay
hAdNu1NdCk9xFgvKPggevNmwLnFE2A23W3RXolWuyAqSBStKwkOwPVjuiWus+7MQ02/LIs3DHoFW
RwREzyUm2G5hZE/5imC0vgJocXZlPNTnbo6TvTFzYG8HniphY+mnjhKg75OD4WBMRyDK1ng1F9iw
H7YgCBMvY5MBu68FirmlfsJDT1PhzuZWlqxte3zlL+kLmd75HawPnv3MzHY0lZQXKM72D95vIt6O
15f5WqnU3xE+dbZubEJ6TJ2ENlPff1A43lcRC07aqqP8npY8mmujOXowMaRfJGYyugOMXIA3yN0b
31DUSuS35sI5BOpeLNzPGTs/AYSopKlcWFe3F96pbwr3k2BueOdRirpig5V+I85fn13Tc1Aa6jJ9
NSzZ3XHbLI41Ouamrf1f2FTDA9UpwJ3hOFw7xwpeMQODTchKKIAwSwiRTXam7hR9ukz+qZ3CN49b
mm5cNXH3wGhKT0S5A77UH8LG946G60+PAFYo9cvBieMhjyhNDsuTPUIdHuy2vB9l8lJhu7jR6J1j
QQvqg+2rdDPl9p7Ib456ldV0B3rWlmUPonNiVdeGsptipaJ4q5iboIhwc+5DDw6jzN0fJkcZ3uZA
3tc9Nzzmx+olYW30MyyL/ARbhgu4aR0s4hhsVnPc9wqfUpw8xIIFkOw9/FVqHn9FU7F01vHci0ic
bkiPaQLyPMdH34/PlV9/92iJ+hFAiV1D/1k2xfq1aagOiikrCDt1tCSN0EjeN56o9MIAga02pttT
F4FFxTThCHHMotFZDb/SdOixkyt5gs8+cVlrfbRdyzr5I6Yv0ZISpZwqOgxJsA5Nwi2qLjJs1x+D
NsOPOFD2Mav4pxhh6YkaiubXRHbjXGjgWSsnLfKdGPCkRXIwt+ykK4rOBt4+gPT3hhuwf0vy5oaT
rlxTSquomalryGEW/amCAp1UZKSErZZxog6NQ4fh/E6GJiGAOJ2+RRF4ddDWxVsOzpJfhdW+pKb0
F4cxcdR4PjeYhxyIVsD9gKIMj7mesWDWpW29ln5l/IS61u/q1FQHNk9fiRCqG6jekBx6aA66NaSG
YIy3oDOJK+GZDfNdoCZ09xDw1sxJTqdr1fJ5uVizXwgkDVxZGL7oPcEXE/VsezEG1jxSKlewkvGq
NXGK3yEDv+7Cy1iG/Pu0S466pCAaAyrjqXnKPRoNpS8/62E8wMF5ClCh156l0xvJFDYotE0e2sCP
d5PT1Jidqu7I+r57rc1Kv80a61pIN+yzgTYFer6KfhnMTDRA9yUCdOOGez4eh02H9u/suVAXD+jD
qx9EPbOR6x4rk5EWS7jBUxBEOn4JyD2HcF5oTaVlsF4pS27xdSrDvQB+sEqGCs/0RBvSLmqy4JcJ
JwvQaevSZFVE/s/QMzyfMpkgf1aMSFuQ2eG1G2byxqOG0JhE6YGG9fHNKxPJsyMv2S70E1Elp5wf
Yjz5p9ydxwejbdkAuPhN1yTjxBYY3XycUSoeQ9IWb5Ar073XDOpF8XzjFt+CxZscufXygf0GLjuM
v53ytn0HNA/qefXQuR18JIIc0DHnWD8ZpTf4q1Y77Z3nknAh0mBXKzIqwSu2i3rvt+J3mpegT5IE
nyHWKvsWxJa5HnCIk/nHqtGYdPJslEGEevRncWoiIXbGNMkXesaZXIHY3kq+7qukK6rrQg+7gjzH
hj+387SpknKQK0eK9pb7nbpnuIZFga97OjQZCLxVzUP0Ma4wm6zSxC2OypPBnrBc8y1TzLBQpnJ5
kFTPb0JOMRcRU/dVU0vy3TMN1iSLoZkegcW0ik0iaiIMjOGss+NQepQNtsN8AvSnTjWB3hdcyvop
ZAp96OE/7dSc2c9SjOkp1Fb2Hvs9z6JomK/u7FKlmSszvgDls+7KFv5LQmERsILCPZpKY7+A5ATj
qso89007YDyITdnmG+0qOYFYfx5/ODkmGFA4YYvw0DkmpaNh1Z+NmY4+u2L5vsJxMu8m1pl3PMfV
K1UN6lmD7lmoUBwMgq5dTQCw7gnvBd89P/dPQeOy6eo1qyZDyCsbVEasrGvzGuNBql8sv/M2rpkl
9/DMxL5prZn92JB7r7MVwVAhILjqFHhfI3eZOlMg2Cujd+qtX0cZpkYv5qMN3tSAApJkxn5GtNqZ
E2dwfg82XmwqtLDXXhRwd0VuzoEVLtoDZDN5sDpsFY1BiNEuzPpU5S1YvRL/8bsBO4cYQca4FOYe
CSRSw7JDs1IRDROIvfzWjLcGftQUuMRd6ri8WAHBbqmLTP+U6v+/BYn/C6JHbYfw7t+k/M1b9/Zv
f4rC1zf5+T//B/aSt+bfbs3bx2eb/G9uuz//5l+y7sKGtwRrBMjE6Px/q47x/4AXDxoZzJEdiGBB
zf8l61I3SqgTsZXDm8DpYyO2/iXrCvuPwGEZ8Rdp3iT5+59w2y27hb+LulYoXICjgOkJY0BU5iX8
XdTtQBR5Te/qvcq68NuAIe2+5PtH41KYNu9GOOfnwYS8vf7bG/V/cNqxpvunnGyRnMZ4ErgYj9H4
Fj/h339y33o59n+t957TR7u0sV31JgX8JNjGliNXvbLyZJ1iwH4psCvNW6CHqK+BX1BfRebf9PZm
oSyxbhu7eI0wKqMkWVjeHWuKu6VEmDNSC75nnUs2+YdBLJFY8nzABKyh4xugqmB6t4d6ZXdTU/KY
sv1XSSLsbapE+EzfpEzgLGn9MBFuU5u8Q01JkalTxqIIVAbFl/1L6fjpzqUAYxNIeXbSKkXp2U0D
OKR2Lt8xma2TzgYqDx5r00YVbK/GurTNkD1w/PZ/YCmq9zYc1ksjlcUdggMD+MbYi77TppZmWwoI
QTUEYqT3Y/pkSMj3RO52ETalYyforcYVdAuS3t/pkcJChhYQUFb5nKbo2IPieWwNrD4Jp5BmFY+T
BEnDLXdZnlbwNULbuS8V5a0j0Slhg1+Lh56/2NTujkLyAh0UgweVQBlHU/GGywzLUuhgVmLkoXKa
Wr5mX0IYIhGuufsSlkFO24OUadetOxf8oYohNGqH+6HpqePqVXcEn9ZQ6tf2u67qJR5yp19zmGdB
Fbe4oofU3+YBk3M7Is0AwOqPwmytnZPa7tHBwbkyYMpvrabvT+wCwMYN8Nlm3Irr3i3FIUdj3UUq
lthscuLtQNY3DTaS/Tw00DaIQGD/t2I6dCl1+1CWjg+9w9zrG55x5Y5aHi2GlUcKuNp8UzqFs4nB
NmerYIwSToQQRDMSP4mMN4gNTrhhL47FZ7Cd9o3sJ/RNRR22sU7hHr3GvRPckfqx3rEDyA/mU2R1
pBXXXolk6HlM5xcTQEWxGRozvWYirI8dVgCIRMZJ2kqdkllWPyQmEt7rrEFZNaHpzBA8hpRaxjDh
BGjCIfe46XvVTRYa07wZUfe3ghJKPgwd8upAD1y2+HZxKVpp7UdLFRLrYRJ8ky48dnBWjrmpvXIW
cPUtTBozLLE7s7GJ1bX1pB8ESI2dEydTDAlbMYog//qvbRdwqI2I6V5r34amWBNTfpyGwDwu64yS
wRagycwX6phTggfDyQxifOiF81Q1DYdMWGN0VrrBEsi3J2cg/QIO896WlX4OCbJCjgx9MoveKOxz
bDjNsA1cpNTTNFAiWtUKM58trefcTup+30nL+c14FoU7xxZTs7JpIjbJEEyu8Rig4OyIWmEHoq+F
o7hLYQHbG0LxK7uABdwLEucM7Ma5USZ2Rf5j0zic+o89igh15ROFusVsMAdMH16cv7cyuaCe7pVp
OLt+IrcmtSgOOgnte8/J0k3t9BcYyuBwUTEuYZfmq9laPLMckzZyNrpDpupr6c3trc7MD5xZ3ooN
lqSztogPJsURd6Xvc0CK+Y38SSLrSz+9JZHR7UH8BvDQRrHtaJJ6n71G7yYCA1cKs+KUXtRouERt
Pv6WMiKZQNolPYegTxMu4IAg+1ziPSbK4VrvPmLyqRB9cQ6Rr0dcqax5WquzNxYEae+zriarYMCo
JgfqpCH5XhovnYy3JTnVNWk+93ueTP6uLXX/ELLmZrJL2eWg2ugT/TqfUNO4fxAYcXAqgE8I8SXd
aUCiLr0YyB6jEW8HGXNq7xJ5M0yLtiHX7u21WQ3Ro184OVK5MTd0F005B5kYs1JnyP7aDtjAtwmp
TpDP3XQfNFDjpq4C/YZ71+fKotSLu0X8HmAn3hilGxwoieYXc2m5LlAgVtkoxPegIIdMoIG1xYjJ
EjskkdUhv+qI1DYa8qEvhFxX0j2RMPHvlPCSU++5v3k6pVfiWmpfNPCkOb7NbnvM7Hxcq4j09rah
cpt1Xhtb5caY6uYjNQhyLnhN80LFdMvKBBJAu00aIxsR4DXJwEQ/plOcg7fEEVL4NpybxOr3nCNG
UkF8YfYurhV9UIqlxFZrHVzx+Mlnn88JtKXVHDhRlR89u9ZbO9bR+1QUlvOtrSW32W6mxXpTdRh6
2eN4DagqpgMmVsTkLe7jGUf5bAP1MN8VvkwasumcKYSlqWoJN2NTvhhksyVwxVaM2Hhz299gN7Qt
5PyerSM9WAHLmTrtngZsV4tKnTlXv/XBR0xeI1aFHmrQoOVDZLO9pL2m2bRKGreic6LraBATybFG
p4GzM4nEwDlYkvt1TKA1PkqyPtshcJpzRjTTcBu9snFN8yskd6E2P2p//DVxf2c96zMqmGI6pjOM
NINgzYHOHG+VxmSFhCguDOwjDsPG3QeaYTmK6QSblz7fKhmdc+bGz7GNj7TuBi6AaOD2THRwNWDv
p9HEmJNHmpxwqmbpjo6XbcoZZddNvbgkY1puCoPKSdPw048xFhzfe93dFW1An4UB5Lcax5wDFqku
+mOavfJRW/iEhi2zoL1urdJkZzl/jwoWniDV1VZ6vLFFXUZ3VaCrfdSq74ObGE9hVTaHLnT7ZdQg
8+fBu6y8wNpzBwrOsasAqeSNt6X5L9+4ZP4OeNodQtrhjU0EX18pnHuA6GCcgGWvRaNHZ2/kHg28
ox/DO2MTbdsNBrqW08OZcaF9XRC55MLQAHZktNubl6pwm+FOJ6JdRsMrUJri0ac24WxSv/m7HV3E
Nh45R0uHww/gSh77+bFC13TNCkQJgatN7JvRb5MqvYPnTgGrv0KoDY/ZaG/owEUZT63kFhshT848
1uYJZYLYlMjst5C14kWbYrxH1cqH1cJITHm/ERvjUGLeo59VnmLRp9/i0HLPZqCtJ7Kr0WdBI5xG
zg7knrVWmnNjsqJj1pnuKeatNpF4snAb20bKcmpsKSSJJ81qGIFiL0mtPNtOEK5Iw+kOZ+IYrin8
iT9Y7JmasFboV3wIJdynIDCe4AhlhzRpp3M2ZvO+NCf94ridPCMCljCqGB+uU1m2O9H2SJCdaeYA
HxJ7fsqzafrsM0/yNWVF99gAenkMk0pxHk7B1TLa9vjYhU+Hd94+B1NlXqOkLE8Jjqn9RE4dzYD1
OHmyxotfUqcGHCvN4uyOxvikB+kcNAjXB4PuNqZJL7rZbRXckYu1zl0Z+C9GMeSQ8uul7To6trS8
r7wuvjZB5pElAQe+rQ1XgyjMAb2iNrD6445nAYOe04tj2jMGh6ZB7MJDQ6FUOq79mpPFisZYs8AH
4nEx0VMjr1HoJ/uwoBZZ6HJRLSdMJsDNj7i3c+j9pfWdTKbOV1XT4SeOBnh5swFj9sYjgucbuHT6
X3L2khtJi826wP3Awr8Md55dkonwnEU1BPvvF+Fblipra1AHyX2mnPZCZ94Oak3ywdAC/ctD/l/H
cwHMrx8p05bu0BxVrdtXvrTzoxG2TJvuWO7zhh8SGKag+SrIt66sYqAednyrxkZchxZI21tli7F+
IFlQF98Mb4j9TYdIEnESoUpszQ4vo/SybMaINmxNStDvicDgY9DG3lVV9iidIX4alZX+nlHcoZl7
BPiBscb7HhnpARi79dpXofPUj4NAwGtE+LJQi+dtlmKWi6WRfIyDl50Mz7HfakcARfbrNOXjoBbp
0WRA/WxsFqRU4yD0yHSsH6fG4l4x42tmYGst7mpuV8f7esy5ZTet3eN+lOZbDt/7u+uZXvMU4Mrs
aJasHXs7Z9gYt1aLwz2WJMvZz2ZgRt0Ys2AoY/AW7Lan9KgsLsINVV5RxtzeNttOTh5ovZxvLxzp
wNpUPA/PlZVRaZ/bS7t94ye4WQxWbrWhqMHmf4AG00QQHykJsl8Lytn3pRWqZxWK/o2AOfB5R9WP
jes8pAZYCExJG9UGwbmbYvamXIfkTD3zLfPBosZlmB2X9o1ncKfGi6UqN9h64eS8emBUT7obph3k
qepezLb3EGO8oqonHqODQ0FVPan8yESdXPC6DoeaftBDz1v4pv1YExQzvJuTqGbHUm5vEcK8X7q1
Tx3dcYvnL3ssIereUUrYf23GALPC/sMfFNRonH5BpL5qqP5wXD+6i5PgZx8nH4BIxgfWNBGkjbqR
3K1FC0Te0+HvPlBAV3uZ7hzhxRs9iOS5CcL+x5DxzSloP/uRFTGw7dGz70rQWSdguPKBzdTv2EnM
tVBd+Fgzzt4w2VJEgHT+SdkxgnY8iEMJBulpRk8+zTFFGdbcDc+5Be++NfLkCrcyu1VzY4Mrh9W7
lZbqLmPkDChZsTrCOEweNALAxlYpiTbyS+rWcyZ9ryfhPCR4QnYTuFhKr6vmXqPlHllp/OjNMa02
YwA9dp1Ku9+OFUwRVhJil/fdTByjwCMz9uY6L8BiTl0mXnRSCbb8qBigXcOXFEnuZ8T+ZQ8yoT3y
WNWPeJCnnymz2JW6knk7t1F31xOS+tYx5bHKBgu5myECnej/U3dRyyWvW+73vqr6n2nalNto7tK3
iXCTi1mWI7VVIpojvUMS1xPfrpSnyiZB1F/N1DfANlsYhxNnLJpSdrQuZXfgrqPnInDbk4vX+Bmc
NAfUxJOcBHW5YZ0AUTaxrZtPYvIU+XrYGJro0TgpcZcYsvwNkRivMZQHAWgn666m5JlHh2hkfwRx
zgmrb2RzNuMWSzy9AvHB4EJDMi20AWCxy8GE1XkXbyrDUT+6UdVwQsPR+pZTTPfkN6J9ywyQs+B5
F+QIjPvyheBP9DZ0JjiSMOb+cm5hU91m7n7P8xewJPuCl0Cfc5pdlkMjiruB85Xbp/a79krvuRJy
Rtb1qzcijQqx3fR/VB4ijSu76hIzqUHz4N7BC8rw8JegeVLtO4+hwd3b8hq4La5uwWkAsAcV3L31
stdna2GztCKItm2VFgcQqZBbFoYL2xBrVcWpeml8k3aKXBqPbpHTayXNCHPVuuMWX63Bp5UfFaa+
8Qq4IXEPhoeTyiULPS0IXuuZrBcMGUXFxG9tOsEOyMi0nTISLjTODjFsKewiP3LOkJsYasCh9VMw
OvzyMTPBF6dGJK0jkYB1c5lMnbyKMLWe/KzkAkqtmddgtNXjBNl/RAiKy2dH1r/bLwpO7U/l2wzp
4HfFDHpMXIPbEIr3hk7dauNCi9570HTyGGHLoqkFhi8sJXfadDya10PX2ethwfH8O3tn0ty4kmXp
v5LW60Ya4IA7gEUtmgTBQaJIiZpCG5iGEOZ5xq/vj5lm1ZGRr152ldWiF73IZ/lemAIUCLhfv/ec
71CMPTN+Lw9z0170YBRbAJjaTZiA73FDQD6gLKSnqfI27Svw+r3z0MWtdcKRlt8SOYNpxfwbF2gK
0r3siuIGFLzaE6zG4wAbTB6WvOlLIibN6zaVI4HCuuTaGXMUt+VN05abidSjYxySu07To9kabqB/
RDw+HxVib9LrwBfz81l9oyJdHgdOUL7KzO6BLIzzvETGlr2ZeV2gMQPuDBPxmCbHbaa5MDBoSp2k
0E/XntAPXQVQ7/JqNEwv1YrkRGWHik1nvToSoqjodrUyAlKGlA+JNAdPRI2LRf9t6TxzirJnPbMz
tXLHRt1TGmTWOo3S4ETeIp3/0W53nRVBcme84yH9ILYgmHkvs8CFR4Dbw+/QMWD77cvmxmroJa6t
XgQvdUiybttU7Y9kNvUj/B8kWIpcpFVrDfLejPv6WHO1dVnXwTkydPOoVxp0O5Sx9k3PdGtnlmly
EMAHb2DCVTexFTsocxHWFSPBQJ4oeE+ZDXcnmmttt5FmS0njwHTd1IM2j6vFqpJNaM2fLpMXD3iV
ucZcqX9pzIn3AwP/i2JlImSgx71RVwvzycVJ/TDpQ7+R+nJCkhBvI2EjVzGS3DlOaVfdEzpEemgP
h3sbaWaxU+W4MGzO7EMlq+RJyZpVcCrbmn4jMc4VzStjxUuNu0zq4llFxLExgx6ouVDemi2bWUc8
XmjjSDJTkC2N0J6cbsCAMCOQNeYcG6deRRMxU9l0bwcCOd7saPsuU9VBK3UcqVpRvxGz3XtaWMZe
mydEXRPfwXGdwVhen8jP7PwmBalFbDMbKf8q950FGiWb7NE3M7ZTr4gSINUztIKNZUa84yWWn7Vy
5mDbp3VjsPGI4c7I3PYZipTx7IwkJjKkJNaGzhWOnEEl8cbOYPHgyIurxxQcoO7Hsp1QPzG/L3wt
o5d3M0SRoCVblSjtcpofgK8IYnyB+N4eHIjI9J4povFqRcnwgLSqiRn6q/gS2QvQzcxFkLlCaiRH
L6nj/juxyS5c+lG9pWJRD87kloZv40CpN0mCztSXZsm6ldSR26yyjEjPNfoM86El1JZMbIbOmPAd
t3rpLTP5GDR9XsDojbq1n640h8NCq/+RxOjitTaDcaslRX0iJ4aMyFDW7T14DDRjggHpuRppxJmD
hQAi7X4QFYPn3WlTOIeu+6aVZuTjwcWoYtrmoXVE/py0V1dggTTX71UkkGkbGY2Ubs9dWJjsV9Od
isFzIPxxy0vXDZOnB/PySPtSHpxa2GdzBsQH6t6pbkNgNyQaQhj4omugJCF+gpG+3jA60KZJswBp
js2OHjKJMk1YTq+xo9ggaKHOxy637E0f3ceV3fdeWCj3MUXeckvwLaErqklhZdvTMRDsBDvEtRUi
Nmw6H9hvSMWMoMCjkQVoOqzoOst7ZBEmohlCql0vtmdwR51Jp9YbSqdIMauWic82Is6Z5Xb35iyW
Fxrn472GcAdbrIGQDhv8tmsr88lETXzC5WRtYkcbdb+Mxey1EINObZ/NnMtHR711VRohDVLZTacZ
w7nRBAlSkEQi66Z2YLbzFWT8M3IQ9M4xVda6s7XhdWbUSPuf4tqP5JSALoqnE0p3hN62lbpourkR
92XSLBpOTxF+BUaE9TK2DONCZA6+x5hc3EsSM4qftIADtKsWyXbayjWmZw5SU27Ku4Zoxwd82PqD
GM3iNGuySGCsxPWPBbjenVoSwuKH2lFHndAj2jhFmxS7uKuNJxW54gbtBxb2HJ1GtGqJeWFEg+fu
QLpV8BmT3Pleubw8GwRHnD0Hvb7ys5aowExrcoxbmiF74WkbhnWRxewEdD2nU6ubweeoddcFjpcI
nWz2Ytum2JtGtxx1QXoMA359G9Z5e8PazgbUuvpXaxGS4LklOx8GVe1JkW5+D8/CPkzohW6tsRv2
ixn1321vIUXgsSXpwHFraI8EjvxUSZB7TdZ7nCGyZN2prtgV1mIfJOu2N9hldrFw2B40AVRySef+
q0iIFVkvAHy2VaYXu8SyJ2q0MK/fjQpe5Sbs7fKBIxLdb0wST+lgOvdYJDMMg7Z9WUTDPxrWoTYc
6ldAjEiAUcIy7ojtVoM/r4+bnnt4wSjcfbID5c4qsUf3UVsMM1gXeSPiTdlGZ4TT7QPmPcn0gLWF
iJDegrqgd905N+3spjL4ISOAK4D53D6rqaCboM95/7bQVrtuyIM4EkfU+oHNqQRI7pg94KFLiXp2
EwGFPyiXe4AyfCMUN3ApY3XPcKvYZ7oRPbRCVteAP7kGs81RwyqbTdOAIV+iMTjlw6wO/Fh44u3W
PibIZGv+9TUKhnRjxCUgHHdx7np7Wc7zlH/VhiTWq0cYEZWQCxN3PiqEqZd4NMdtU9pYOyL3MsMJ
g72fXZU7tC73XatjuzXHCUsmCsRH3KjUFcrm5ZmvVDLSthME1u3oDxxfmdD0dDg0ZIj7jrL9zY5K
dQ503UDeYU7Ng0VBz0kgkzhVHNDFq2GaqkM8SDNfwRxp4fJMzS3T1c+yIcl6VXWtPEWhsI+jKq37
iXbGW2E7llylMOc6jruMb6Kep2nUwx2rKs6FuHCw1tNTQAcnvqsiAJqLjBR3pVG2Wrym7Y5KKpXj
nK8lJcJNr9nFixmyZZHXR8kS0eFMDTECOGLagmHFqJ6Zp3Z7spdLZNBduZtIVvF0Wzc3Dnbmcqub
0mI3DSeGVl2XvykzwLwTLP0mU7PzjRG7vUEIgUyf7f6Hjt+SdKM+A+4PzwmXZiApZO2EuZW59Jxg
BBmSNy2o0K3Ia3yWTHNo91byvZJWQcAxGOZ9oGHvtuiRENZBH+PYkb4iMHXWxKd1bXSRZI74kEjG
x9ierK9ynKePmLL1EcZn36xI17qu/8HVaecmBEwsAGrf6pT55RWgAgCKNY8TXs4ZD40ci/HQO0Sb
g5022WjSLjqOmq5/ZKYkdHCsAswAzczGNReu2gcQ3G74pcgqYg+eCCUzceRI1LdgB8BTNK0k8okA
yaIC7ZbNLzVpScxtItcXomLPL+oIl6TSyTsoA6EFXmfHy7GPgyuLcRTpwXZVewinFl+uTGf7E5Yl
wRlKZ+KHXrZktxJxFVyDgWZ5V+Vx1KxotKFVSiJ2sRWWhCvaWvVmfetOE5dJU4sclrYkupdEIuMp
GxrmKKJIARjbU7nqAk3b02TPCcJu2ut/GHnpUJXG4omZrZlhrBbQS/JCyi9EcsVdxQT1ns2L2iVj
u1wF2IPafafnRuqBGple6TeLTZMm2mN4PV3lDsCbPnSnbm0xH9yMhIJ6E7lhR8cdxFdqoTbuaPf5
RARAU7XQ+AS+REWwdmkO3yy5bhxQEE93mJhB8BnXJjkJk1hscOM7jjJ4swax0ZLx3tLojELA4HTd
vvYU4Yc5KPCKg1jfdJCsvXGuh59GJZNjTzlxJ66rc7jMqPpsvbjVBhKDg4H/Bx4MzxTEXv1Vx/17
18KsOeLzEpuy0xFQInbDAAxV4TXqq+W+GYbilqzHa+CMoW0sEeT7zLD1z6wagPldA6Nz4iJPwVIn
zbqKx9gDYb18QiOLdlih7T1wYXh6PSDZsexD+f9tn/9Xtk/bkq7OJEUIZDoCtevV1PsfQ7m896/m
/S/vxRdgrhDN0O59+JnFf/lf/AfvPX8v/vZHXtz/KiL6w0v8XVJkm39FFCQs17Ck1K/6mX93iup/
pYshdQnz39Qtwov/XVIk9L/aFg8xcQA4vCyl/yIp0q/ZAxjWDX6d61/p/GckRYb5u7RH4je1BOdn
2vdow10+xK/SHmRvuPXUYm2C8amfyyO7vh/6EeaGmEDwtZOQ4sJ078F8oqWEsXxJnto69uP8JZg6
KH/a2oH8rKf5mxsMXhrtorzFB+nbTrMdMCEEbb6PnI/5mqZJVsqqj196Mq3ijuCOBjXEcrka0EYx
n8yo8U3tUDnfLKoZpK3HAZn+V1RkK4JQZ8goBSlEgFgD9c0SB+EOTbtGF0btZdIBldeNu4F0Eigt
a9CC4EaIzVHEwk0WuE5tqysY9ky/wnXZZ3dT9Fa4eGCK8UN3i6e20+/zeoFbCIxpJc252rR2srZI
nM9ONPjB4Q4pYqSEOLqQYxsdPPJaIL6cjSS5hNmyZ/hGm4jRpZUfUh0xjspvTQJc1m1VUdw3CGzZ
IXpN24CaPGcsr1NFRpRmlj+hk2JEra0fOpJDvqbNUIYb0nnYPkYfOQi6YLBmJOYyNfSwjAEk686d
Mu+MwPxMbXWeSj7rOANeR2T1PMXzEy0nHyMnDQMGaxj7DJJSbYCTA39rGMXnMK8Qz9ISWFnU7HU7
rpPp+Mtr80e6MQNjdfWrYO363lEp6LZhwIoDzvGPz1Y66C1tYI0GwpI/NZ1WkiDbnqmId9FIBo/Q
sfbZiqq12GbVSQLYQv920+VO7826Oazy9mrTC1za/Nku1Th996PfJMSx9IF5JpTenyZ5udJO0Em0
Xm3CsSlu9N7aNlVxY8wApJxNQY5AFS/3oBB2jj1uGgOtMl9hNcffViMfZPoD6b0f9MTUkbUQJvRM
iKZE8eLVIzGrkM2QtXjMQb0r4Kxa9HMjGx9FxHnW3VuFUnWae3QR+Rau+GNS0fE21HZBU2y8KTmQ
xtYfarVAehqxXJchUlWbc7PLUwkox69ARDjF0a6vwR/EIeTOB6Ezuywjx/RakfYa8Yhpv9wuU8dO
F7zPlfRLmrM5fyF00LiliTcfWC5ehAjvkuJRNM2xCawd+WGPxfTGNjbdVGKmCi4M+0cd0KLQouxV
S8xNVBlbhAnQTQCQG8rd1WbzhRukXg35fGIIhOoHIjxQIbO/qZHfVWp5+/PHRPxObrg+JSYkQd0B
KQbN5TekwnId0zZjEWxUmf4EFfICFQMls/FWUwgsREkYdvOAteVu6YdT2Db7ZJyuZtGVgSnL72r7
NpVu4uHaYwN1TxHiD5oENERczNxdek6i4buSxb94uhF3/vZ0E6qI2kJnAWeDMeCJ/uPT3WKdqNBN
B5vabhjoCxMeOx9YluupR3OFfwbZXORsO9bFKlQ7LWeRqg0mXbZP4ti2jpiB2BonbGApy5rzHc9s
SHEh4h12PCgSCidPPFxYWLdmNp3jpL9UmvG0mLiuGvEVyumSW+0qMB1UIhGKG3J4ubAi2Q6HLUvj
IL71PuppaHfarZmPCOIWIDZkkj9Ew3Aenf6GnExMwqo4Er+cYGR232p7MejdDY90J0/wbWA1y+qb
DN+IpmT1CJ/4243MjCxC9a207NKq5DUnZakZWrpTxneVcebDUOQyLo/DmnoYwqzjrrtIPo/o2UwH
E6PdfIyRtp8ZtJT5uGmNVUiSAg126BfypajEaoyjnRVMGyxpR12LzwTEJvQfhZc47g7RZEqnGx8n
/qsa1ZgqrNclrZ9Ad516Mri9gZCMq2iLuFRm4vpO1sVFRuNOB6JYdMknCMdLFnWHXpi4zXjfE0n2
i3MOC31fVuN5tByaREjuDBpqfY4SQnc3JKOi3JN+GAH3NpJb3cg24zCyy8QvhBjvBrvfdMBX5XzU
y9suoOs1S7+D5g+OfGW0r8lyCSAu46P1ov7GZQiJo/Wl4RZuZxuWVxIYfl0gc0iXTTRiAG7M7juF
Rj116tzjuESb9aPOYWu616YK4hjED6ZVoyexGRLm9n1JO32l1bVXNCNwy2o4xzL5rDMLaBNeByfn
cOW+WC3VvVYycNJ8AiRg3JbBbcFruHKH8tzV6U4s0k/K6pKP6gGO/o0l5tFbUOXUeOPW0Lj5+Y7W
Se+3yUgMcIuSJn1NxEia2rQjp8BlKgBBLOiQw0fFK5zq26kxn7OO85hUr3KpHyeQhRue6n0d2N8L
osGAyMHN2GKmyIzwhimNvYJvPHtN6GQbaRFKGrJrqfKU15QXdqO/Wy0UYzE2D6U5v8OehG/Xd696
BjkYv0K5jt353Fjd07A4B7C40crU442W7lMhn5WNhrczprWIkkejVa+96G/0afrIp8VdaYRZG5m5
0wgQnXT9nDOZRf3wnGNkcujnNpb7oHoNGOcPGvKrEsCkGzBPHeJ7M182M0+7lVRwj8Vq5o5Nk3sh
NxxPXwzkfNk3Rv0QaB9Din1o0d+mcCL3dfIJGPpM8AbjCRxgLsiHwP0JHA5D4cbSkHLcVfjzzFPR
Q1+O6QzmXg95XpkPw0wcR+I85VDCUqqOculQ+5lYQSdPJD+ZK24LEjXS9tV2H1EkreLJQkqJdyny
DPGjDy8kUG+V0xA5ea/lMO3b8aHsBY+LBsDjYeLICd/tVoc1igmHQeS8i5W1b2yOaZDmkUu6CQhv
dSIX0aW7A3fttetRR8y816l4ddwzej0kHffIGAiTSKMXkgwI+oslqZ8fI62kvP+ekhI6mPsxmSbh
HgM8/Urt4ibckYL8NYxJR7c7ykmbcr0ZzR6+1NETc70iw8DZJ3AyEBC66DzC/DmeUSqSX2p9aQ0a
Q0dzwCPYjj+Wy41siscorG1vSYxHN9V+lIwBy5ReNGSGJejs9VA1nO0KEzpnl2YbfMTFhsFzz3S+
+Cz7Zess9q6jRa1IOVjrDuVUGE0XzaqJeNarDR13kIrje6cohwFmIHSF90AjYVH2B93LgztGP525
f3TJO19D6Ad3MjPUbSlN3ICpT2DDVLh2B5Khe8wQ51QGzqfFuiWt9TvVs3VibMMO9cU12rdsjiD2
WH2tI/mGd/PcbcGSkwYfmEx/LFzcFt18b0TPg9Kz0fDQut0mS7V59T+jhSGM3VOmVdI9p5iDV1Rg
j7Geg4AMwSCUuMRRvz2YkXHg3sSbwJ2HlSC8kuxau1vbRU/wueZwkVxd/lYd/Dd4Vf5fdKHgkeB8
9R+fLV9+tt1fVj/hC2W/Hh/Nv//c3w+MLgc8zCwwrGzoPb8Snx0gQQIvOLRng2oJK8r/OTBeqUOU
2q5uQ0Smh8UftWXfRf/2P4TxV2lhanFsTp84OKz/lAcFRNE/lPSKWZIrlGsSgmn/c0lvW/jbM4Tg
ZHX3qV/ribsaQhV7cG4cpFHz/pfb80dniH8qsmBeG9Suts0dAZz0W5FFcEVggrpGhQNlnijmNLkq
W+r7wSiqzTSjrsiDBcUlAi29RT43IPRLItmjawiyNV0rkx46+VHev/hcv8OnuQ+WcMCN6VKA5rZ/
c8RcZ6nERGDVQ8f11hV8DmNECoYdfyc66+ASN7Itkbb4MPknL5qPsun1w59/iN8L5+tnMGlpEHOi
cAPJ3z4DA1AVTEnvbCt0YFs0hcHBoTv++OdX+YNvnHBnuAC26VKlu9c//wUlZXOTaSsmztYs5U6m
44uDi2Y3xuQa1SPJqn9+tT/4naRJN4JvXAqLB+kfr9aIxtAnKrytW9jKnxwoS0lPpMOfX+X3pgd3
jv4J5HLUYhxLxW9PlQhI7B1lYG9lBCajThmvF1n/MOTx559f6A9uHo0fZRA9aUtMZb9dSGoLd/T6
+AYxWoNcS74xgqAHJfvKTNK7/8LF1N8SLi1OJfpvF5t6q4SAYtnb0rQQzAPpW0UDjdJ8oRsxJWr3
55cT1+/i1+P99S4KwGimxYoAhf237yo2HGtp7NDeEs6QrpqBvLTRDvSHDBQpnv4o9SqkOX5ET3u3
lEnpk0UQfKALIaywQLmI0KjZmkU+eGCgAwNKON41ZTqZJyWTnU5UBPo6UYHLBlwvu3FOF3lFmCUA
0hJS45pYa/R4MoFYqifqvsnz5l9QBY0/eM+JEFPCFciD/vl5HElqGuUc29uwiMQ+kZqznwdJsMIg
n7Tr6T0J2n3RhN+2GVX0fFPxCKXF+Re3+o+eV5eVm66frUvUyr+9FQkgV4As7jbLegb5Fj4GndRw
A8LE+s+/1H++kku/hsmoYzqSe/3blaKKxjnCN2drB3HOQRYgTFPmb+DCxObPrwRk6J/fjmtqACEG
yPHIiPrbn/+ytNS5YWq2aAmjYwawSQctvpqipzPTuOlBaTwIou4emZvlm4RzQOp1jk7UEEB2cFnl
NO7ctgI2bmP7Z5Is1QUwjHyXzJ53iNy6bG3W/Xxx2866RW1Q3qQRMKKiIY+PYqpPJj8D0Y64l9hF
Pbf7PT53Z1dFlkInhtRYq9vaa5pabEzZ4P6te51jjwxLwrPHTpBYlhvEpMLePhXSmOj0Ra3ahMMk
mP068SnQ8+QdAXu+t9DTb/TMXXazKzU0sLW9T+vOfo3NxTqNgl98aXGvaAFCa+k2CuWICI5GMuMX
7sxNFlR0USWFJup8XN+4Oh4t0VRkpBbVuxPqDsVnTRpKNNdMecsrDqoYZr+AVbGL9S65aHpVnxw9
d5CH2lgI02ZCoDqNZv1aTUNwxIsTPEcux/iBs9UnQCmmQIFu/ki15KXIBG3DFLz5TdI1J0A25p2d
Rx6qoZ1pafmuGEgOZwUIxQMu0pIeaaScG90y29MCdpb+Q622bd2kW36dio4xczcI6Ih7Fnqx4Jxj
uBasUvOti1YKX1eKPBDvQdDbKMU4MWX1OPykZOKeoDm4jSJmayXhRphpAg4k0hQcIkurfTHwNT1L
ywG5nsuqRebX6O4zZdtM0gJ4BtxDubXve5T/Y43vr1HSuq0HlW/KWgeTGsPAQO+9sPWjTEMQtkoy
q+y9dHDinQjdxi8cvm/RDty+QWtht0MjILzKxaGgD0a8sSopf0T0225sV1g/8LrpDIT1NDoNoIHk
yhlglTIh1uEGs3gQlE19Tic8zUf3GXFblz1z9oEVqOuc2yWe9JUdSJ54d0jaS4bKBztaNFakjjfB
IW+bNYYhjs8h6kvYUDEyJp3QpGTrEBG/ANbt51uR5kSKq06VXpyNM68QjOYIOfFWLBQ4K9aD/EOZ
cnDJIMN04145FI2b2zS70343AMc5qkVDqpFYobst6S5z5knz3HOK4C7tp3CHLAmkMjIBPm80IlJH
noIJd51jv+IwrcXLLcd0wieN+oAj5Rp1U+QXsxgZSMczDTE7ehS6O20QL3d+y2fbjTRLfbcmdNaR
es73O5ESpiaejwwJqQuFsle+XSLzRCVh35hz/RPPQ72J+4ZuFDFWjCRc5GpDaNZ7zcDGqrRErFMo
7TRjFgSIGk5Nr86InkppQqJnKPCGTDNizaJBOGHJEFdinL/rTZjQWTVGMG1N8JWaiwxI/RmBMCZE
gWR8xZeAWc4uiTU6QjOJI9rELkwp2nwOSGTvhdvOO3fUcpgEvbOp4Tj4sLrxsJH6MA0UiNNC7zsQ
Y7KZrhmpTZ+AOqkOxBA4yHWdGtL5Mo4/2zZ04BIGT1hckAM1RnjS4Fnc0K9235FAmU90bjjahaFJ
YzFo+qthgYRUXZaMZji8TRIFlXS08BCncBZVRXGMmCm6Cavh1XEaVGuljpJMoqEd+74nfnMpjl2G
73NdWePilbCHgP01CY0ADdmL1SdIvWHkr6BC3UHViDZDYi8XeH3tkVi7+IOBRM4BUZCiGhjxtq7T
6dwO5QgVBnxhhaJh1RNR9qRqC+t4M2teMduY29zktVcu+JU2n2gnBkTCIbnI8gdMNwQfRrnaj72J
pzVNvHDBnp715OyWphp/kqDQMSyv0MLwrmnGKzpo82hl7XEMCJByqiRcT6M+r4U1G7ekjFnhSjlR
5jeZzWg5K0e/tFyIPkbHgQKf6wppxfCAnauIOVDb7SrrmMYnhfY9ccLPR1s+UiQt275mNITA7XlU
uHoMQ8nNOJbG0Sq6+ypubs0ETZhtaKiAWMG3QVC8GyXmKlzCk8mQiJiLkihpIKjQv7woZjI3iZGR
dz+ad/XYBw+FHuQb4Ks4lBzraJWozt1rPCapqhNxiH39FrgBTHJCT9dqXs5oOB0/gQdy7VOO6rWw
UV8aWTj7KOxJ5XR0pM9MujSQXOVcVE/UZdO9KGJzR0JNsG3iEbY3i80d8jAymWvNvUT8vj/Amw2N
l05Zw91QuZpYzmuckUbWl7aHwzHQN3Ju0oHOPneELPPFPmeyAJYZsni9DFHTfggNLTlWZLfp9yFy
PMdXRU5brl2+Zzy+qzC+Cvvt/p1k03LPXwdgzJlaP7GAbxrSrQHGZQ+s/Z7O4nPHS1hvlwRXojDd
9Afk3vqAIxeZWL8syE+vlsUsjPw4xi9nKIfXeGxuiLqYTlhXnwdBKEXoahA8RrgKbPJnhcLfbxHi
pyiJDax7gRp5ctMWJrdt1Reh9Isdt/WurBJtBSZN38EjSQ7T3Fq7vO77fU9YB6t8X+B/ljwUQy3Q
cJcZYEjwO5ugIbVxJOqZGWcuzj39c6/Qo+JH6VjtprYkBMY5IZiI1WIiD/6bDQnJEoKr3aL04Qlc
DX3MeJLjzyZbiHwr9SL3iM6BvU8MKjWjnH1Nc0oCT8p8P8btdylEeZjoSF1Mw619RPHnuBnSw7xI
IOSuiaDDMLTheUjT8FsuabOJ+G5ONYqgvS3rwNcKt3lYCDMDAhd8NW7d3xmFFvpZjCdOOQndQHJ5
0h352NOWfHhMDSREYhrS70kZd9atGQkfXvbkL4G0EJlZYXFIJE+CMwndN8y+W2EaXPxyitMbEmgR
J3Z5H49rVMvEmYA7/xSTyG6CQqSdX3TcEVcl2TYoXGNvIQMjREHdpFb/OjdTeZzK6W7KyvYLhl5P
nIRZeaGRESjgiLveJDPHDdr23WyVxDBYD/tcztu01J7BOOAI7xfcmVg6i0NJFDRDMwhiYa/yp6md
ujs876ik2AR3UxUeCkIhnqwqAjgaOcKr3aH5qotxYeemKEC4U8bMn8PRqwRrc1qq8I4Y9PDeGIBm
oZFVMPIE+axQNkuPRsZwRpD1Us2wV0utv43EkEFzHDcgHAFVdGlFjMzkNSXSy9VQLlt8PpgamVm0
KAaPYkGeJuI4vqewZ0waJoE3L+AWVoXpECM7Fc9tosV+ZRebISUdS8W7fjS6PUpoVKNoPtGt21hT
MSGw903WjghePMZagesAE3kpbX9WYJNWVaU5B7eEcSHM2CYe+nGY6E7X0L88jlCkz4XVllI+3Tgh
Xl0VJURRoozemlx/1eTys6tl8GrnqmPKw9s8zgp32rLD6fE0dy1gygEHltY/O4kYztEAYGtofrid
xh4daZ9OXD4LMz0S1nABG4mJPjdO6MF/hunPZnSGLTY6upRx+EgWQ7TK6wqFu30bS+OoCYIc6IC2
t1mj3TY8Qbgh3ZSweBOx3mQnfshMkV0Ka2PFKE7V+ctiftGKy3xH1MbaGJN8ndUVjgk5k7yct/Fj
XwI57driqVmcZ1Un/K9+T6vgbSrlbURMH2qM7qbFcEOQfYOAOI+eIuHuZJ4/jk5CkHy9RyacrWVb
3Jkq5bMLGACqGlB4otKm2c/4V2h94lmS/kVUCxAZY+2PKntIeKv2COs+aDvQeZ49zakl8x/8Q/Uw
eHUSBTvFYOsE/Vqe5spuf8KrdmmayT0mjfzgxvIa2jES9zsGH/jGOZhz3H/sajyg10M+ryzY2c9o
MSo/b8EgB7n0G1fPDnPKTEoEY3QtpVSN+h4TRZQx02+nIvEcA926WxRHYSHzaAuG2lkVuBzuR/zM
IUeEdoxTTvUaNQy/cCLAP0ziOoiGZAmahe+bc2u5GjX74qjwZJljvFaieRuI02o76nzGHiUIP0xV
MmDNr0IKetN9iBbzaCbBSzcXdzk2k1Ux8b0DY9WRyGbNPoqWik2/eNI7IteaAejHlFSvCTGbHl72
Cs7ph61ZLyrTGS027Nlz1fKlNelzJcwetOKQP080Q5n3yGzX4D/aWTCyyOqO5lVVkx4cM5XcRhYD
jJ6GyMEurlpJmzTaOgd8idvyrUD4trWU4jcl3Y4JwnCSRj0Tc2HiJCVV+NsmbOmEBpbqjtRKf8aD
4Gvo6mAd6seCM4ufcP45MFCnOGICJkVzJhsVdlfl1K8RIDNorEG/pcVyqfuwBL4CwGEI74CkdKe2
1jDrsXZsyB9Xx9IVIHSSiXNzjH37bhEAZpp4Sn0dQx7Vf/Nipoj7e2CSvojh3BFljd9uVNOj0ACG
2QUcoLFB6U60Vvk58UsdGJdnHsIceApGX+1EpPXMt0f9rqojUA6AUA55vSvmJSF7DU+gPtfZJkQq
fkwhgT23RqmenUn+DCaDfAVRDNsoM/UXYCrdrjAS7VJVA+Nlnu1z1yBDB8YAoxqO+haI7LCdcuCb
I8YPQJdtzliNwCmsqvZKrxk0YSIEbkPd19pP+hXP04ed6euAK0Hp0uODIdvinu6jqt+3eaav8Eb/
mGtKRZyS6WcQRsUmrg3YwQ2lUHc11rjYlOhVJ9RKiY5vvi4kSlGlDlXTzT96KHEcmNQm4/X1cfD2
+2va3mZMsIQ0ecjcH50y1WJaHWw7GjwoH/cRjaj1kPONL8TC7MQgDX+il5KukrEnj66Nj9bUIJUg
h4Z48sl3edE5S2EsBIMwYDduqCuRJh/dsafALbJoLVNjRGkfRPsK1QWOLaG2edYRoJWn86aHp7td
pBh28JycA2m1AT2XElVvTDXPAewytsIkKB77sJq6r8k1x1cjDdE0L9mxniIyUeLl63+zdmbbjStp
dn4VL9+jF6aIALzsviDBmRKpWZk3WEpJiXkKzHh6f6zqdtc5Va7yhe/qVCpTEglG/MPe36Yd14/+
2OS47LSB+cDo262V6eFkmO2LbYs3vm17JLz8EMve3ZB9VOGxmtE/kQn3YuPub3mjdHxvmwazoRKH
86boTWZBhWExdUyIgfVKHp+qYh8WVyFEtxRtTB+hjOYRrN+GlGs6RC288soeDBJEkm49p7J8YFZR
vtTG6K+1H9cfaRY7jwmM/KvdNGhlZlpDTFWJZknm/yLWw39kHifXNXx8rD81UfThgg0AVR8Dph5d
SlvqMxbEbCP9CZPWhFukbkK5aYyq2Bm4NNfYm8uVo6zkOMf4N0CKVmrlWWCY0nL5ObYuKiASJ9/j
SmN+TlPNhEP+QrObUhz485oFQbRBKFxfcickoJ5YqDNC2HTt+U564PF7IMKitla6jJr9hNL0HA0l
oKqqSk7gsggMNnA/LqccPqhC4u4MDzN04K+BbHT7aGBa2A0jWJO1Ixf1DrLLhMU8qklsdB8nv/HO
a7V26jmtz3HUzfCswdKsc9PQ4cYzps4l3VsDK5aiR/CHkn21dMuzaQNJr4ec23HO3ICtyVMqe85M
X5M0HMLCw1E+Bd40RRuzlGy021q8hFl5yjoYxoWljzmaTFK3uDv4rObLXalRu+Hsd/gt1NLiwkJm
vUJSXL3yjfRLkZfVe3Y7O62quK/KLtumZa3OIvatLUAPIMDEjZU/atarx04U9mZxgegEbtWEe1Lp
h5exmZenLBya5yRz3DsTculmNMiYMkvWqLORMmVv8zrfW7U/ab510kONDRfSn2Z0I+pGokD/RXg5
djZ4X5EajU2isOGv3NhI13kHW61REbN0VtthkIHNxN3Y9yQUygZtDTK1+gNrtC1u70n2rDh/7nt2
td/kTBhILWgmdz0vtXfm/o6zbWLrx1C0nF7Zo/T8YucPMZRj5per2jcjchj6qxthnmCSM6zbcCD/
eTDuGbjDHwNH2w4hBy97hC1uTTTmGQQnBcPwhutf99JdY14D1DNlN+Q0FPY7gWtmlTXtq2qSNA7i
zCEErajlh6SV2vsDIn6tceSNYG3ZlXX9Iy1lyOe/ICYeOBahyjU/FXlp48ztZ4t+2hhWZu4YfXwt
LbAY4iHRWizjaz/H+2bs8HeUM45ELzSvLYFMG8f3TOIWjAxiEI7Esivz9RxnzdHxkkcMOv0GI+Ax
dOF4rXlaIK0zFd4w1envVJvav5BSEglYpEWBCMqc1Y7c5wEll1l3J1fpfqeUALwZadP7Qmbv72BJ
1W+MP+qH0mu7x2j0OrQOXnrhlacvZnS3tQatLtRy4w2x5W0LPn2BOdjfXQyx21+s6SIWQgVXUFjC
X8xgqfCZl9en0onAbrmceeZqaJVSW5glBslTUQPSDg1EhzjINa1pA4VpMaGVT6wdC1EijG+d2n/h
Lu3BuRJbj6YVMR9D3CrUy6Hz5xqeVGGyUvU6sCOVKu46kaUvmRzCjRV7zbmNJLoe87ZxCRPj54xK
YcJwtcnjin+9H9tHMdbuDhCeeWEsovinWximyEY68LmYgrY+tayPSr6x8ws4600RExHIpgc6niY0
rnaHS5jnAWGpLd7xdEMHFK5rXf/uF/1SdpOP5HhE59VGcNhwGLVFoKzlvSint6WFqe92mb3Fqx8Y
t3hhr74pe+ckOUYVMyEWOocoT4zXdjQSWLzMLhm7AxGJl4SQsAm0SuyCtKPraiKR7j3Tp5mFZMrg
JdbOgQoW8SmKULlszY5bcVW1HsBkQSRnudZel65IDybawzMw6SA+No37iizcamuinkHsq/z4CeG3
OFH0VQc7ldUGY3f9JAeCNQCiSgv6ctGypWbgIUOQ93Z3bR0QShxgjnw2o7rZ6yyiidR0K1XghK4+
gtMwYSea87TNvFbfNMUaULOS7/xeyxbXE1C+pidd0VkGjDd0LDkupQh0AykTztdsNxS9IBL8AJsd
REYmi/WLN98OS8xmjJAzJ3R+uzLDzDQiItyl7BC43piXvOHFUe/dHKuzTpGKQ5pSjyw+1UHajvNi
CmBzgRRGnFJVuyPuzbz1fwyzV91gEkV5wIvamTzbJlKiBXU2VT5w/1U6YOEPDALtv3EAOS/4WU3C
bxBPZapESdn5bXGB/YbBVoNeW9Atu9lXYwiTfDsMnCabkaeEtA4EWrHRcu9U8ueMIvmChTn/lasl
ZGIaRZd+qlwcIQ6+zraPio9U+MuxJpoRn+foM4bIDRomXI4aIDE8kScfpkgNSsy1PloMPftRd0Ox
ar1YXjMzZBrhNW10JQuV2W5sbG3Ax69m63e/q9KuXlkihW9FVFQ/DD77G6PllU95OTNgFkrs5zJZ
3sK5it+BsPPRnIF4/7C1IT+YArs/83ZuUSER5hne3LluSwkPv1dtSh6RY224LldKlW6IK5x+E7Ay
rg3mNusS98CqxQ1crGfI2K+GKOKDM5nzHXpA/0eKc2ZtqhaK/ewlR8mYGaSt0ZFJXOnwY2HIwgeg
ypsfXtmFx4Vam6J6IbIBhRf3aVu08TYaxDOXV/k9lH11hQJh7lg2GLiVhIZXklAEWZnxM2Hcg+Ub
GQWzGxMXJxjH3UBq6D06DpRQHPvNxsHOdGVdhrx/iph3iYQcylVpF/XT3I5QkbM5h7BBZmsOdKdN
7+xuzA/uOHuHG+HxmOAR+kILx2KwgoLXIItSEAlsL8mfW380zQDcWnXHgeHVAbE08mqTflLtaJMn
ez3YDV00rLiU5GHw5tTZUtmfVqrHBwbW49U0w+ZJYOX8Fk2f35Xg9KHk4UDwXeHdhWT0nCNXGcba
tgbnt8D8/o25b3SRoVX9jxLpyXuqdasIEFFaBl5yM+vNo+uGmMkcRMGV9IOYBelzKxqSCrxKQOV0
w9Z8NHTnvkaqKL7KSL9aPlPRsqUiGWaYRFBmIguLvWiyK27x+aOALkm8NLPTnnoKSJxi9L7s246x
nkBIV2xpA3iR+3qgwDAkOvZjGjdugUbaMtk3TGFyP0+dAE3B1pUzIiq9rRPF3QnjulbkcopuOy4N
j05RDkW+tj0uG5DyLKJruEp3Q+PCIuSRsO/NXjGwU2gE10Kq6KMHJJghn2/fAb7WaYCiMT4Mha4e
Y94ob+t6rfvSsiCcN2bRqC9KI/SqpHDMnynOUoYrea3Sfa2KW7463sF5y9OctjvIWbfJIJ41uVZ+
KX/2eJYBflDyn6LQGWHr3242X467aDGY2hsAh46Rmn9pTVQFm+NxWtFa8zmhRuI3YJlg2RKMA1cu
c+yJPQ5c0HzJv3Q0howsO0JZ5YxUxLLOhLgT+adh3Mmdg2cnDhQTbHuVCM3Cw+EPnq1uGHq8Bq5V
buroFsjUW6qCSRAnjM5aCyFy6+YH5SbCXudRRxo2hopkU+Rh84nnkJikySU8bWB1M5+yzMhvYSLy
ncxMro80onkrNHLBvc4z5yvNSWudtVvS4C6ztZvxw+yQcst1noIElTlLIB7J8jBGPYsyxTLtKn3G
mewge26TNmw/l7S2KPFsQ7/BWSoABlJNEE7z2xks/yQM1z+mqK2u4+IAlOfXbm9gEn03z70RsKul
x5/JCZfwGQ22fTt6myoO6Jrr3403oMv18xQspicuOXvfnR010XNcFA5RmoSR7FMCOocte/t4W7bu
h6jM+dHAovBpSEY78PbOQLSqr1446YujYlwSy1ihzIYZ9g5jD/9eVFn3eV0ZjxFJ0f9CiHGTP/xR
8uKbLiooLm4bXpx7k0/8jWIhzkxFdkbj3Xp6lqd0zFcl8fTlXZ1wb1OqXgbLSF/MYeAq/eeCCfcf
ySWQoLAFxVCG8OZP+p7FNuBJ+pO3m2XUXXxZ6/2AdHzHlXjD6hK7jX6aqxXe//A1Llwpuu+LbT1k
FoaZ9jOrMfJ7XsGwszahrpUsmMpJOtuRMp59s21dCTpxGMsUksghbtRlr6VbHUc3xYPb4oC0SZQZ
BbNBB6VWvu7HDFwbVKeau57UC7Ao9q6YMoT/qIMCeSMM97p3qVDE89TTHIhxtq5NIj/TEoaxoYZu
3xgc+GkFDHlFM4ZUavKcf/HS2X8vIyRaEW+JA5aR6aD6k4it4FHi5XOp1tFQ0jeYV9edcMT06Xwo
LSRL44w2w4Fpx46oJ9qt7eetn2+oAm4ag9EOwiTyMcDGA+He2AE2qY/r18RKv64mg3S/nn43zyiA
nTTdlykh1P/83b8JSf/86PmChRZJpxZ6Bu+mnPubRy/hLqkHX/s7U9dIdEt/WPBgLFN8wubwaE2D
DAYu5zUBI/HRMs3+m41Xf9DmTa3HwE1gmeAjNoK8KdFt/POf7u9le7dUS+nxXGIhFH8WCUbM8KQl
yY8guYAzdHIiH6U4xMt//m1u/PW/exF87Iq3jwBHu/Wn97FmYey2Ye3vWH/OGde3MvbjqPtgmnL5
y6aB54zMyHm0wjIA5SkfE4rQKWAwDhy9s/0LkI0M2QwfFjxBxQVfE8zXLFww7Cbmc91l7eu/+Jn/
/NpwXpsWRk2kk2AmOTj++MY1ebMwkODZG1qbQ2GxS7FG2z3h7svApdCGvPrZpTKTCiTeDb5X2OY6
HvL4iO0P34lO5i+R+tP5Lz/X/wdl9ef0Pz4riiDCarp/v0s+ddVWv7v/+QfB9V8w9v/1Vbvv6sbZ
b//8RX/4O+2//+WPo+/qhuf/w39AHwb5+8CkYn78hnTS/Scm//aV/69/+B/A/+e5Bvj/8VUAb03a
Tief3d+KrS0hear+7xptjL4xBuB/EBXw17/5f5IClBS+Ej5C6D+otJX8N4UrDE23zzSaL+IZ/a8A
WEvyITHxQ1qe4hPe/lWjbdn/RouEHJV/Dn8ndt///P2vf719eOl4V3jl/uO//1vZFzfcQ9f+r//+
d0nMt2+BVw8Mj8esB3TQHx842ebGgLwNRhJ7xvYJIJgHY8cg/YotvLy4KvaY2oBN35bke29d9GEb
wsNE8Dcv2z/4Ofjo//nY5cdQqGzpcqkDHO8vP+nfnFmmGCQMZR9Pm9W2rxl2hyCUfngYosJ+7rPE
P0+SrgbuAeFeYJhJfPIgIm2sdBJ7/i+AvVaGkJoRzU8Rs6gp4wSzR068ZVBEobia3RweFkCKAWPw
/j5OE3YrKenmG7cx7Ie4hSidwHU8sNzQa4NQWMJ5ojzcGBrVlkOw1KaM6Odjs2dabbvK3nZSlJvU
m/2T7EHqMUgYsnXK19/kMJN1AKIEKNQobS4P975IHGPvyZQgqaXtnA9TmPmdcHKcnF2TMxiYzOY0
yW6dSBgVjtMtX0y7xTPjCXRUszPgfh3bK60HsBFkAkSZwfb81SmvPfRy0JfY7ayjWbHpkLccOum7
3TVClhG4pU21nDrHvKr3pK6SWtXLiDAyH6xb6tI8Et0i362e5VolTfslHn1j2zOIwXPGJb8Mjn1u
YgxgfIm5m0gYCqox1ntmzv45MpzxANCXQJM5h24UkYDlNv1p7ozkvk9cQp/Gpt6ovrlZeGg0yXEZ
USp0LvBnIbtnAQqTsUvlBCpq4qe8HMW7WiD96Rl6qKNNc1+3zsKv1lyZMs+rAijLXVRk6XM/Tsbb
ODYDm6ybdImEDUSogGsaJBZrBwLQV1OkwD6LrHxwCSzFTSSN/m6sC31MIodcQgmtbRrv3LjZA0E/
eU0st9FksNM01UU5KQs5k1XZemE9YxcIJw2hxUaRBLTLHOrMtpV0i/Gc74G8BWW4ZOuWFrGVLUFG
Cfa0OMST1WN6G4mh2zsDtX/dsSCrs6x7T9Ko25VtV0FoI94CbrDxSy0NSX9DOd8XtGOBP/I8JTxW
WwrvbFOzVLr9L/kVoePajSgJ3ihYYLoCgJrvIhfrMIM368GcQEv2xTBdzBoASVMD0RqXOlkVfnlJ
8lyzKcScVOP4fED4IVF/uMsD2W7pplkgxBQOK8GBJcY1mxPy3iw72jh2IjYlg4BD3MCOE3ETBbo0
6Y5VV++rsa5f85KEBz/BiEb4WcxKqfhNjkO0sUa/eA5dNeIJo0fk36Cmihu5HyZ/OU/guQ+V6Lxd
yYhj45SzTytRKOhPhu9vSCj18MWFNf4+B+lvh1sbGiKKEUXZT7wZaT/bHlUikBEp+azRawZGPVGb
lsVcQMrIHdYmCju4M8lL0hrO44DFzCzb+6leFsbdlbjzKnfekaExBO4grbvIiy8+h8yGCuti9rSW
8Tix3C/7EyLW5HOudPybrRtuvryDq+Mv4Xm2RvCEymneI079vdPn8gjtA+D/6BKQUQ5iayglLy0/
9m34Fj5GzLE+7Po2YUk7se8Q0n1qN28eOZm9Q64q/dNuCNNkrxxCOJFFDBCk70H5u5HMDlCAEOwL
3ZC/2/czu1oWxAEaHGh3+I4JzIizcSta36vvCXkcS6qECJzJWEdBDJ1+SwCzs0YFA0YnZCW5Jk5F
dYHdmDffbj+wr7KckYIxCWFjG+HFLRLSYG3hVzbCmZz3GZBcJ34Ultc/GHaFZItUD/3aAhbEXhhG
F9lpsj6FHO5C8HpbzrR515JIdoQ9FP8gHQVAlxfBSKBkJsVlQo0FPxXIHpMSf3LOtzTCo2IO4m6Y
VH/PmcyiQ12WzWbEJXf08la8u4nf7ZeU+duKWSYeDQr7HSEuE/NWEHe/kyqD0xAuuvutWg8jNBDI
98Ly+32NR7SMjbdmGtt9SUgBGDaJ9hZHKka6nGHKapaEtS3m4v5A8ccMQ7JpfHcLnR/8dL4NdEd1
CMfEW88Fo8uYeTAwOzvEXtk1YX6FYkRzW4SjOx1kOg/+uS5CK/uWhmj7RwCL7lNErCBJrbVRf7R8
FD7C0C5fKyKb75qIZLRVCMyCj5DmuxX+Mr7UaNoMLqmQsc8wvGeFb5xmT0whSupZr6W8BdWIjgml
mTgjKVS35z+qtfNYTl7hsVMmBRWtpfxtzbZ45CpsvcOo0jx96Nq2OnS04k+9bigJrH6C6Gs1xI0M
hd/8jorWMTcxaN03IDvOJ6kg84HhliDJYJAnia/qGzkwjpLQNtO94VniHKYuGAMDKsCTHQt5V068
qlmWqx0aX3ZardFgHQ5lQ1CPbB5dTusnEm2aPaLJYRu1JE+SVB57wDpdbyK5LnT2rkiiDXsYJk1u
qFYde65XvAe5d2mtUKXHIYPoPXgnVCGQK1xCG0w2Gmz3fbMx3ypfJz9Gkfb2SoN8QJbJRMXZJFUv
fkoTgfwlRaB4m8OXTNDa3CMvnGRgfGO2bz1YJLly3BrRQzyK8T3XNRhzY3Seqs5CEWO1Yms7U8XO
woheIOnFB6oaKng58E9Qa41p4JR6CPIpGXdNZXcnqBjELCLOfBCzXe2spieBg9zlb5VM9hZqOBHD
iBOHFz1ZSGOytCFUUpYZlKOssLvNstxySrC7FFCpiorhiDX2wUi4QthW069YGWNQ6Tl+Q5/U3gG2
KtZGHFtg3lxnPfACr5eB+7PAAo9CxDvEGJsvPaTNQIP+QN9oFga1mLebppSFfEmIGRkhWVh1ACNC
8naKVT72hDC30zIe2yqNj5QzVcAEhggWygb57BKON61ZMpQjMxFlXbOG6SvaLR6FpWJzm2pHP/K3
tiIl1EcDPp/XbKgCVDTqNEbtTCLIHBWoGpgO1iEpjGEq5oNFYOQWFFTEdeT427K52SaY7O7AykWX
gZCYbefyjLrQys7SYHuRRDdijbuq3W9UJLfwC2n2H6EAzeBkR1u962F0mLENYc9KzWh/UV9W284S
GKRLTG5vBF0211wT4+RkYU6kNP3ufWVwWe5msyfKtc38nWfctMaZn+9ShIt7tgpyJ0zs/LjNh+a+
oqeCnt5bK6svMCiGpjVf28lEbllVi7iTLH6vMXkQmAfIsTklmZ89Dz3bJZz85k6AUDikLURuqKJO
u0nrav4e7CJX66ga0zev82/Rp4K4Gj9tFdEfpkP+12g5FQaGwrOnzVQSoRmuxKC5ageh4oMHhGUN
RZ9wjDAsUOpPROoula63stHluVS9eZ+OqgG50GevEzBE+zhEgwGH01Lh3g/DJt+nQAjP5KL1tz0S
PkCT5Ydk1LUfGAv+6mFYXd3Rbqmr29l84rQhRnIB0FAH8cQ+lfigTTGE5D4yGNAZg2WFqZqiB01g
WEZnZkrtilAb42MZw67dDcQJHL00/Wgcw780DPqM1bzY+XdfquiScSpy+5Nqs9KTS/fQz+EcsAkF
o5Kjbm+NwXxlxOVfueCaU2WOoA19o9uart1v3cnmmQCL9lvkpCxnlqMuiOJtCmjVI84clcUpWhuv
hlw4Q0i8Z2Pp16W5y9jXgYQVzeMySib4U2c79zo0gUL4y/QBFT18YLztMtQ0cPsRqbMqLPbPRAp/
a5cgFmwXTaCEVXNzRiFFJ/41YY2kRlIUQCs8ObxDm5S8wc0AH+6ltpW7kVw0IDuQzxZJqO7mOI9f
rV7fN7bEKMHWdZcj+GFrQ3Nz1iLKTjLTioPEzvt9RY8R+BHeNROZ4IM7CdYoeXnKq/xF2sW3EXqX
bkBOl1kx4RFTBmSHyEo4hx43U9qucXjjcYeiecmbpvgcZt1fKqovMM5hdI4XiE/SixB1Wb+yMQML
0LnbzGHHFE3z3jHcmF5qGQPULcXW4kKCiwhGGqpUFO1lQiY3yy7Gy4cpEcd4lsgvo1O2JPIuUpF1
Kj0YoFnqECux1AKnhTUYlIzFlzc2kYUkdHyu+TBtXcB7iHmZlptNlgRoY7MHtsbA+nTknryudx9c
qwABYdbDpiOkIFDGX/Iyk/TUzzA4V06lLUrQ0rw9hgxoZh4NY9I5uQbTPsylJEAiOXpZB1YVs68X
70w18EzP67EUeUDVkRzDAvCCttPppG1hBuRIVfRZVdUfLFWgy4O4g9JZQB8tMu0GyzLt3aTZNyY1
xOIOHlo9pvoROuZDSAwquXEDb3XILHsdF7NxA3caJ7AF/rvJ9nwH+NN60x4lu99E+bFGzhhYZAPd
5YZwN2L0h/1C8txPrH7Om1RL/UgFjCgoTIbXrAyrg1PWxqM19OIxW5qMs5KgNCJadXzWXRrfwSlf
NiZF26dFttTBs2pCA9yu+sLThJrUJSegASVfhAJcU/jLnLj7nBnqChheCOXPTdobJ3tGVVKP8JuN
OVcHlJw+wMvRf7qx7wNUSaAqLArYQZXOpnWYGgtVn5G/I6slQkCCe48dly7SLEBeTBl1Qqk/LHgv
QWGANGUvahxax97DiTSOppOwyLPG7r7zu/ZIiu+jIOlMeEgRbVffV/Zbg5epz0zElN7W7uSPLB4v
5Wha+wx8g+cj9jUKkvc0Ojfrdi3JiJVQNawpDd905L+jaQjsIfnQDDbWuYbMi94sfkynvtj7HYxs
rpny7GajzXOsq4PvZScPnzFAR3c5SR0bGyW8fF9k3s6dCaDL0hjamVkmh5EksZ0z9E+mU0LFncth
bec0eIhyUC4IyvADHlm5X4jK+3Ts9EZ8V+myTjB3BGnPGYkobh9XqRNgI4N26wM0rzIVnqZcFBsD
Cunet+j0QVCmaJ9ZO6+8CQhG6w0HFkiAitXB6uOTVeDYddjOEmUiXupadWfWIs5LkrpIx/XQEXlj
z1yMCIcKzFPhjDnIS3uxZc9av6KgywPPoUVZJJsFMJv1Ka7wSLHAu96Qs+lMDpJHFE1sp8euaL7L
Seg7ZIaomCLPLDcc8Eez9sDdWMWWEVN9SL3sJuOdQDdner5b2LcGUtnmp8Pvh2utB3+pyum23/fI
UE497zr1pdiGmPKCUuE+ifJ6MzSTuZUDFBEnRIsCU9aRhvkI+gggjj3580NhYvZH1CH1tgM6uhuT
Eq3xaPLSZ+RUqWH0UX2B+l/VWpyL0nWxUMnxrObQOxPdTCQXmtAFKYODVLoF3+oDfgF2mcTOdU6w
LXXATqL+e440eBazrijE7Qafu5BI9FpLV1uuTQMDFuAA5t3mpjKKkTycwaLLxinKzbXPLLG3WN+w
Jg1GrGsr+vC951V8oFSx4bb9lqN9T4Sav2vVsheGdRIeyilqrW0zDD96e4z0GshKdmi4Dp60Zc73
Thj/6B0bnDbOByfxxaVIp+7DEE69589XZUbZomggDk5DN0aJYjwh87yrnCaoUybqqCvlubGBbKfC
fucAR6ptNgI/Y2EFBmvTwJut10Kx8k6lpxFRx1tq6LVGIzxX3TeeSBse61StfIUSN+uh0cyFRAZi
H2ScHAqi2uKxeG5kQnkpxnXSDBFILUdti5D8v8LZEaX9btSey6cHoVQy3pTquZt3TzTZBAK6yV0a
ElHtW9111DmlnpPE17h1XtIKNaWaSP+0cpN6EQ/7VlloyDEAbifMA2s3wW8yScu9n7B8Aa7FeJVp
DBU4mjZ2a26kvhm5YE8f3exs+OapHpOEj2P51KcovofyGPqtv2e3BCTbn8hS63s/6CureCa0aXr3
y+6YLhDWcxqOVVFPSIXzacdqkYienHXVIemI4ST0y8LOGJOd2UIHb5Yh+hllFvlcyvmg5X922MyN
yBxYNTdfijnXM56f6mBR+h5iJkMbRHRnQxLAjAgZddOkvL1r4+Qrx/4SkSK+6vuqfnUs3BeEWqFx
SgzP2Vh1nYLOwvLV1HN9thUTM9qGcDugN3gC3EyYl7lMd9XiTswybdkcpEx7pD8Thib2F4YqSoIZ
0ok3CuVZbYcA9m01+6umdpKXQUzuPc/ZxsaxOsuwPach8LEqNZl6HZbU9tBET+1727rGge0sIGsE
ekjUFvVZL2G7x2QNKy19Kuwq3qkqrXcawtYrmRN10Ah97R1A5eRAEJkGOSMwQqTuEfc8dTIc5TRG
OGPn9SOeqmG1UCfM+LsgXUPHPiw1S6VmHH+IapgYHegYJmHk3uUmfIVoiJEbpnlWExUQ8Z7tx8nx
ziqqBTIMJUkjEClfFzoMoeIyZkLViC/FqGvVYt28guudHtI2akA33+bhQF5GJqkovAD6vWWLyMhD
qcojepEJLGWShsnKCFuUceEM5n0k4OInuTykr2YOaEAqTQqqrA8K4ONBspgajLVioc+5MOfWnS/Q
cJ4HOZ9KkRqvoV3jEq5pPTatYUFDEgKquE2CGerFqkjPU0tJpsLa2g+jZZ5Im4NLVpTFgt13lgrL
HVm7AMCaPX/F2ZiwPc/08vYrpi1xsDpJIEpcUzqGbnseNQ1TaTgmBkOBdVVWzq5BKr9rMG57a0s2
1iYicgp8el2Iszl0gab4c8hGBvLIlOLsa2E/9YUdHfPZtp85+MtLL50YZVGDqMjUTbOz08JptpOJ
r5Usvnpa0/zXXH1qWc9ug64PMQ+TsGq24w9Pcl4g2RizF3bud70vSoaZY3lNm0qurcn9Dn3T+WWS
0RIHYBPCrzBPimfKkB+pLxD6ZfrB7ttn0gmGYLgNvPpl3HfLXG8zaufTNJk8roLBlyfLYT8ZS/lR
CyxSXk3CGeYUE9xnx1PEeDCI5my5QjhGpWvmCDNnRYTHkt1yCU2XAZ3EuVxUitiAtL73CJtY182E
RjXuXoYZHatp67fEahoIiCg/kOzI+6WLiMc12uanG6FVJG5WjTsH5Giz7l3kGLWgsYnC5zj2/YPn
38qdHp+R15+mJE058Kb0ONvqd0L5v3LSoiNcOQFNxZVdr4feAxibF1wmBNUTENZZ5Vku4RU2+1VG
xA3EypvW4Pix1nT2J544HkaROHdTQW2s08U5tZD/PwYZRZuw8n/6neXtZQ3igyrJXc9DThHmOzBi
izBPD9NgW3tuXVpj+5hQNb2kOSkItsXjVypMzf3kGXsauxEjcf7QJRLTJIspvK7d2aJQb70OC9fC
VJJw4aU9oNE37odbKCDvx3NcS74dSX2Bq6HHstUewBCkjPA1v3xeg4tzLsbSmGdAHTiLCc86Wl5E
U5xlPpMhmRHFNz1aNgrQUGMWVeNoHe0Q+jxa+BNpf08mH6KVKQCZDkDdpi5/rvL0fsY3irCodm+2
R6QkSwZ+aS163KTo67qtTYXDWcho1N10/sCZjAK8OvmV08VMAfDCVvNINqYlOZCxWNUvs2/IL/x5
TC0rvFgUFgtvL0laxDYNwUxgSUxLnSH841i86+I2vBKAuhznTnpAuaFnZATAiEg+yDb1t73rf8jU
wigQnT2m3TtXACfVs/PgUxeRtd2vNUCHpNCvc5++C7yIq7qtSRnG0GBkD2E7xMHCguVJYztZ2wjh
Hx2TlB0EZV0AQyp+FYhk95keKWmmtgrw7uDqtlTQxLW7UV5t7ArM2FH/MLFruosIR0KJtIwfBdK1
EANfTdndaWYvaJuAcwANtnqbvRgiN3ODPPgYDUAdJ2BsGH8rAPNI7XYemlS6FaoFXGCgBkOUV+Ua
5qfJyFGinmpwNKwUS/lXs4lvURp9LQ5wicpf5OzCB697uzrzj6bH0ptfOo8RVW7Y24rz7c6f81St
DZyQn0tGYcZ9OD4k4zIcorpETunrznwH6/G/qTuPHcuRLNv+S48fA0bSqAY9uVr6da0mhItwai2M
xq/vdTMTr+oVugpooNF4jQRyEukZEVcYj52999oGJYmFfZr5KD9PZT6ScjVDGiOHuLtwLsC3ovkv
f8euNX7FXs+9jqVBAImOfaszH7sS/BbbWzk8O9h0LqMx8TXWGW8CGpOKb+i6SjXJi4QxM6/t4JEy
x24fT9XMcYW//U0Jz3kaYjOGxEsa41xGTgXQcQIuxzSIfzty4KcvoZCS3pujQuGd8xNZY8n0kicw
5vT/GDwkl7j/kg03agnCtEjgK1e1xX9LX8cyyNT4mnrlF1k2Y0lQ74trOWUJTUKYRTTWV87Ah+A2
s7BaGCkrkW4Q/nG0+oSTouKf1UAnxlljuGKkFM4rNhu+S/yy6M6G7Xafdm4l3rKzwgqq5ejgC7Wr
zTxKd++HkXtGZZ1uBng2rMfQhFtX9Zs6yZ27wZWcaDEERAHNlXcPDqV9LaEFWIG6sSSNElw3XVQs
dvYI380ZyBzjH/XMNNmJqb13J4kMmYckscFGGJA90vzcG+70wGYt3jRVQdfmGJBvNpoCUGvmXnOC
9JdHK8+dMA6aofNZkUQa1zIXzaEz8uLJ6gPCs2xld96U25ecmoVu6YW+QoqmfdZuXKZKaS6FHZFe
ayew3ACkKUwpacT0P8pYRBsfwvctH/xmPRvBsK+syrqIMf4IOjZ62LSooRzU+CZrLJ+djJp1Jufb
AfvJyqqLYDGIGbh/bOml2xfzqtGvdULpr2gWtlXdoAhW/HxjPmFWx5iatdsg8efncowFrSaUegzp
oDDnmMTm8/Zglw63Dm9ud9wC401nU0A+1PBRvMF9pz8+1uTa6XUSRHvPqc/ya2IFdi+zEK5tWjry
EbFp3lClFN6pUiWbnlbKt5B2cYggzjILQnkp27Z4LhOeHVWG89gLguRuUIG9HR03Bw0cNER9UFHc
eUlMNsCeH47cOrI0fYwH0d97FoLP2iqSiPJgSyRHYlaMBJFPt3Fk80x28HaFsz2B88zMXeIMBDan
gAsaiTIUxD2NWEinV6f29UntcfFYe1fzbo0hYFGbjXgG3wN7Z+g025SRMsrZMFdposZ15dSP3MyY
UnrZbn2iSGfw7OOm0DABdGa9o7+FRwaR9JQzTVKiw4VGU2h8dLAlLseUaksaxccz2V/nBbbwuoiE
2qSJrXEC994uq+v2WM9mssmGTtzHyhq3iAysOfta0ZfF1NJs+1KFD/E4uTesK/mrpIiCXlPKI9K0
ecurKpkPpK7PZgg0G3UNMnw1exY2itqfT+U8eT9al0UOn9LmDojqNh2wcidLgGF8etilPkazHC72
UN8a0bwq2eYREezdvcw9iILCdapjVILiXTSCnCos23HY4EvNlnD1fhrQGiDEXCQVr7KH7xzrwKY3
8nBnR3BPCGrU1pZ+GvNIymeX0077kY3YeNbBaCiCJE6ZPPP+vpOFSLcwZqnQatHVCXCaXNumEA5w
9ypkGhPVTYi/KjMmOi9Z07HcQb8TKyltY8CNP0CrzVwkxZbObT1jQvabcnjrta1vU83zsW68dNHH
XAwg4hy98hoJqolIZGQ8FPN/o+Pkvm/oDSXq29kXqlqwM1dkmbJgkyg+v5AInszcyb5no0hwtLfe
NwpccHIG85AMqV0vuG/Tk+JD16E+JDHzZTsZ1auBIHupzAaieFmafCpMYyUyu35XAVbgxUSVjkVT
qMsqmJnhix0oNw+rsS8RzIw1xiCaz30Mcgj/074CwgYLZZLiGBUQMqaUaMloYCEue+MtbKf2PYiZ
N5ZuNYoj22eeNmMKdzhkWck1QSoM0spMd3h2IElVQ/PCYuiNLM6nmoKcx7jbPtlWnO+TBtzEgsdp
8mpy/ySsLZB1BiE04QvmdO4aHbcpMFmZz50FVgdpVjq1yjtf01AZlr576YvCW1t1rnZzmY0zgGS/
35hdVMkN5DA8GeoK1ucm2htLndvLPy44GWuJzey1dyhexCWTymSLEXXTzjesACnD8OGBTdZdJcV4
gntDSJDz6B6Th7Gc2fTTCztNt7kTSQCQffQa96X9RHFahtcB1wpqD6liw5Djthuu+3Fil+YNuGT2
TqItfASvnvLyNltVCenxhRfxJEhoFSsWI6VYC1NFq55C8pMYcugopYXJp5xdurcr30tXbuOWa9/r
flIz6Vd9FTYQ0VLsDG2Wz2vLNh89dvvLRJjB1uU0XaPvFicjt26dkcblDkALabvZu6EEtuK+P02f
Y2435GR85d9RZUL8D/BDcCMSs7hHpA0ecGJOtwjYV9tlXB4N7aKr0ah9SFuPzrkoyoelDaXiQWpU
Rm33rx176CsHhd56+xohx0nTbnmU4neh7Q9sd3GPBS87TcxcuzTo7JVU/jOZ5XjV0Y3HKOlP6VOD
X+dWjZMzLcQg0+epIZG7MPwZc1My1svans8tH4hlSVbTpu/b23dxto0LFR+cgvRwEfo+rBGac8Ls
ik8ufMLCutyzyxiXM11wfCMmdTBrjDNz2rLfbD2vWIbAT16xtOL6wGX8Yrj2vd+GT8EELDxuIzLk
Ibc4WqaBsysnXhVTehejE0JS6HfS9/j+BIE+kpRl85pP5Q2NhC1JuGwPIEHdlV7C3oBL1CnQhc4W
XJ7sc+0FGPYBKvsdwDehj1GEYOQbzqFsCkQb4UfDLg0n8Rq3DXECIslbR8riyaQVN1n0aNL7Mi0P
ZuUOR3YCeEKkM60S02qeyQvMZ58G3QXX5AbMH0I1pDYXjzh+JaDprso3mPPTHXg6bB1AS5awUeqN
IrtT8PjSpPnqCF02liK/45ge86skP615clQbNElxHKzxdw2ialt3kbMjMMVqD/d/fcO55ZB9tvUB
PwE+8CCaHsc+mm7giRHlHvz5Hotlvp6TkJVUYJb3DcPFveq1tY5gdr4BW6CpMR6m8TgVFJmT4vV/
3MkOn8cumwBVcyllIx02Gd/8mYrDxAleSPhowqsVW4O4MmiptegBL514nyqn2hexZ92ZiZvc2GXH
onyOqR0LlN3fshuIv3JqOiHT1XRU2SwisTuY7lG7nSTlribOs7ljazg5RwL9AWwIuEj4thL0BEcG
X00YyAODSvTFkpAZIr2uouwmvUu4hNNd0g5UIPav11XQiyCCEi2CSvRvANetZ7YbyRv+tPnCbsNe
R0ForOc2SH/HhjTvoaSjHIRV/ggVLF4jC3C9vyaS7aD2HhwBcCgeGooRaa6/HyPkczBeQPf6OM1+
KtMeH0oerwgzOrw0QePAlajzYlf0qaROKQwPQ2HbGxqyURUIq1Ndkmv1xprFPSNZ5Wsf8jmMUSW7
C4qBfCgGLuBGpbMHADqfaddCdGp5fg55eKBFjA4y22kvUTOZH045slbM+M4sSiqVeCYmBsagtsBi
M1t7KErAVFyD2swZuXhhqYH6k9KrN3PLIqNOAxCggWX+WKkfHnHo1CXJHxr9aCMc4luX4WCDGAck
r+J7qNqm4GPLVZ+rM9sC1CjrXlVwrdMgqNbEoOvHMkweeLoy8zjcpXn82ru28Dy0tDg7dlk+Pbkq
JijQwwiURt6jWTPWrpiRs5cgraGyNEYYv44EhdNrzkWxdmC/PeOr4YhKjGzjCVseO8udP8o6cbd+
jHrX9YW9DLhyLoOUMkvUHf3ANqzfOY53dfddd++1GLofzDV66VeR8zA35rynsBquq6UBjFtJcKgz
SlVGJHpiGBFEdFko1iedx15BuxSvYctL+FiiYBfTzZj0dzRK9jjj+nEzAAzb4CZj5owSY1si3Tx0
I/V10dg5OyHp5lx2vqkcLpV0vs2GC2O8ncunLOY1cGVnb5LcrfbVqMKbNh3aCwm2jAo//vwRNe/s
8j2gqGwff3PgGOcx1FTcurnhGwsnzzmD/g9esTRNrVyT6FWOCb72GrmrQigVYf6W0wCPhIJl+MnN
0T9ochhvxzJM37OgGyHiI7qwp8UMC0U050RKyz9JsP/ddvn/RUZ45rh/bYSHSPbxFX/k/5kX/s8f
/otY7v2SpmMFwgdCbQaODURX/e76f/+34MoeDyS+9v/reP/LCm8FvyQxEf5rC6czvmpaX/4yw1vu
L98nKMEyyjetwPft/4ob/o/fvf5bZguokSTqKzzrmiX5O/M5WkwTp7HAAAOts1+FpqLFo08qfenK
wn5SFb1/Nb3j2UrZzVwsOAXLR/om9bqNc/Ob71CQnnSlTHOd9UShDMtFM2xNhZu78k0YaQqPYL3E
gMqV1RpAGeBQNOO9A5NBXSaZE82mU0A9d66d3WvK5SjSywJ3dI640/wz8ZyMIBy8QMm1DqxJij+c
5EdfBRtntgMMlOYoLljDO7EKPVedAyDfe6U8vR24vR/nyIBhG+fWNRg87ZzJCw6g+emnsFgW2nkV
LXlY9M9BahDMVqzC2oEuYvQOnmw4n6yFiZdo400efQ6c44tKzoCeVDDrne+2QEoWDB8j97jKhFoN
Js4pTp7EGlJ7fkVThOfpQ3fFMuRRda3hlcK4zzIX4xOVzJdCd/YtpLfooVEavb2FSJHUDiG+ebj2
Lpr0eARY2+Az+hcH3/1LadT2arR9CnZZ20OOLrFDCN2vIQLrW1/RzIepcP4w+d+/A9duV1Oessc0
Q/4IjG5LRfUxHjsxJB8dbt8TbMKQ2tCCVRtOqds+jKx70bv5M4II++fOgQw6s3ygNacRw7nuAvc2
GaHwzZipzgy85c7kI3NpOMcfaH758io53Vdx0+J/HoabQOYZ6BbNnH9bVnGX3vqRbsenXMv6FQNZ
NSz8DDj4NpAjAyeqkrXycrPDC9SHhbxCMolYc8kPo4MyrxUbQozFe83tzjxMvFns6z0/iqHs1Nwu
Yy40ycGLsplcajR/NJWZeOvaaGvSknM+nueRv/YStHiyQb4wvbUXTWColGjyQ6Iaw1oiBccC76OR
3asSRYtAIOLbWrQZvtIs57FP+WIKQFjCaOm25RUoS+w7A+yG3yS6KfooOLik52mVlH54V9bt/AqD
Qv4eGDJ3cdrB3dQ24T4byxK+otTiqesP5a7WwWwd4NT5Ex5fs3x2nTQ7014ub+LQHe4jnsOvAxaQ
x6SQxqZpw+geLwlXPVu05cM8NNmjOdNd7DcJtPCZPRmoQTUeSTFTuuT4nXeKM1TZ647HWWNzrDAy
KIpepZtaq7xPvFcdqp+xHoxro1ZnpSvMopSKZ3p6b23N4BBO8DsXXekXH52IxwezzuVrOKHhUSxN
AG+hTThOy9Ev7PfCUiYXJDRmi1G2mR5N8s+n1EVUh4NLMHoxU5q7k6lgx8OIzExHE+6wgfnsfrFx
JM9sDD0J+GnGt0ekBV6knHr9LvzWuFGiLmziyiENYoXo43tDps1ZDp5i3LDGb1G0c7IUfee/EIql
+2muY7SYxBLRqzUoHbLonUB48+EAHNB7wnrz2Yw91JNon9ALHNZvMoR3q7FSH40aahtwmqIbVkKP
E7ansMFs7pqdRquRKv7UrIFgSwMRe2motqR8PPO6mVAdOTqqevj2QYX0POr5Enc4xCkSyJY5zRsh
ag/ewuzNbueQwXiiTjq+pana/6wms3/wR6fO15XHvMwbF41qCdUAVB+ZjUbS7F26p3mszX0BIUVv
uFoX1+a8AsW1F4lx0USFWE8JVjXYLnLjh6Uys3UHVzcnxiEcPrGs/yDxsJiZY9v+jIxOdxtLjh5Y
U4TgbFklTfRaTtxqNxlLYDShACEmLqK8WWPXKM1Vk3gTGM4xG9GssubZLNIZ4EIJmTw3BDex61Z2
HZBwgpFgdLhUsngG79emwYXhNLhvY6u8Ub3J4tztWuh+tmuvW4H4So11ERD4xqSGIyIM0o9WGozw
eMmohEeMvbYQ5twgyilHiimxaHFnxVjZlonTIXvgEEKXy3priQLgVcBgWXatEn8cPlNV42lOpwRp
uym1i/U2TNqbVk/aXGqq+RYwQPVdScHte9ZUTrEbrp32t2M2xbtxtpwPqM9esh503t/4MAPe6snq
XofG7n4m0hvFyoCw1AAnS6NnrXLO2WzEclq06GukkQ3HOEUw5Ihx1AYm+ig1cHXZ8VM7utYBAELf
HjJKYNNtMBgjKkfrK/BDcXtBNRxJvDTzPV4PJvYxKkOwuWJ6aC3JVGlSUL4HNeVGG3Oy833kKlKh
88AHaGnRdeddhpmw1ZqAvt7SIW5/wPZq90MjqhtwSPwfA4/dimwlZWQo5jz1YxzIXLsaY7o1WlUs
EAbUF6bq/juqc+5TQ+oXLTMoz+eF5uv5oSKfajBQUh7JCZf9d2lYbNYc5fFkTvVzpNAmAYYZQbII
gjrFS1LHCnr3mF1lD75fehmNs02TPZaldB76R+nkqUlrz1QxDlCUAJ/HYNtvmrI5+yxctnmDaWjw
h+mVcEGYXQqjQOoM2uvZVCcCsycnpH1s+qkvbmtuVsicpkHOfmqAlJTCQ5bLiY6vdR2DJuSxApvl
SqZnVdlHX3N7FWR9H3+c30zztAiKKLu2zfktOi1kPPqyQ60PKh+NaO9D7Y3Xoaz0ex0wOQh8Lk8T
l8jf9IT4e2EE5YvjZPFzUI4DG0FLqK0SV0ybKfutCwJwr1GEcQyWww9Zem3BOpEpcmsOfWdJu4O5
z2NbrzUxgWUKe+CWUQpT4OTrpQkUgK6oyHO+pAcdcAHIwHn0xnY+zFLY+6lX5M3HSYubXEVyBVSV
XuNYYfoezBGaXzXXFpge7Om24SQT3/EWx7WqycwgFTSfM2U6WFmB6S7zTE6PFZDU/STmjtPFm71z
wrELnCgXzoFztHmxXKA6YOLHrXYo9FuwmCsvFWYO2pOgjewmM+ypbIfaXbjmDOrbH++mzna2daPq
HaBq/F34yeUphki7y9zEfSOWwcfTVsW8DWczO+GGq37HXYHx+crC4E7pOvFZ4wF9qhRtVyqcxh5H
Qqe2Y5bThdi0ZAnxhcaLHJ0zW1wJNTspZXAa3EgfQIjk7zoa04cARtSSI7PbGdfYpYV15RAA24HV
WfGQ+J+NHv9/mCqmFIlc9z9PFS+S+KP9+xjynz/wV5jY/2ULm4i4Z4k/0sREyP+8QPn2L5RMz3KJ
Bzs2wf+/hYkt75djCbxyJt4X13KDv8WJLfmLn4DoZgu2ZJyK/6U8se/+Y4zXoprTxuNL3bAEZOX8
Y4J9dPOOyJ+9rUNTPqaRnFfwOcrDhL9lhV9v2I5N8RZnHNST5ftvCdCaEw6tgS0E/5JbkLruOa5k
9pLGMeUl4+yeTRp+wv009zHeTIs6KWBbrvtizQoBQJW5e6IijlBs1uO/ygLtgiob5xf6saofeGX9
SzzjRFpI2+ovrsehzTI0pxZRGEvZVNkGWyTTZjta90OnmqPsyuqgoXrW0Gf7fTSieFB8Z1w3ubMl
j3Xfpcc0D2w6IHxZPmYJRLV9lkjjKFJ+o6UjU0bL2GW+jp0ifJqqtNkWjuEc3aAa35ukRhtMDT9L
lo2nk2cwFuIpBM2Ld8KmQDG1KyyShD5wxAKUsb6DCPoZsbOiOsCviTaEpek4tdKW2oBuSE6iSD0G
oCpgZQ2fDZyua7d3Rl1BmQCFre8CKqg2Y+GV59KXTCYwqOGMW/QNsDPt9fCDQcG4Dwkjg46E5/dR
mw5Uu9hA+yEtoJubGHQfIhQP8noT0u0FOzPGOd/NWu9ddqIo+fgjcQuzTMbdb6Oqe9XJdjpnn5om
yh0sL3tToNntrMHhNJzsn7i/xgfdGG8ZYVHZ7lIjQ43gIBxIe/aCdzcewMrSCYoG17GFRDEtvbXu
Rb3pPJOdZSW8zUif8rfu8wQuYweudsA8/1XzkHgDqeMe0FSioxN31R2uf+tJ4Vo/ZwDsoPNo4Rkb
p6ZLeT1husQpynSCbp66zgG5gmrdbApYpVIgRlAcX5ZTUdmsx9I7MTmqg9P34m52au9op4Zamy7p
McaZ/LEonf5BCkmLaEVL3l0yG8RhfKz+FAE4SMCCUNilJmmWLLzM789O69snp8G9KszraBCGRAGG
buZGVCpeUr910fZNI2ANHA3KZjkwTqeQzH4h5vAdflh2MDIp3zxUiKNn6HwXWa3Fy1RRYszKuBIL
xwM7uKjHhitQ2V0JdRnX/RjjBQ+pjclztFz43WzvOwJhLIXdzlonemzvIU/NG1+na6ESY+XUzXtN
gpF8fgW1ux+N5+YKaG6D6iCma5/3EFYrR8tLn+FR8pxgUwS4X8JWvoQx4+tgdRvqp66QMi+Gn+0r
dNnmi3hdA225fWjg+gUJXP7QztZ5AN+9rolSzlJR5okJgkDD0rw2OdmWi73NHQoAild+oOtdWYLK
srJy1RAgIeMFhrWvunkLacjrFxLf+aF1m6USNo4YWcQkXua+OOEfcNd8DcenMpDl2RAx13yiUttc
9sNw17tEYxfRH3DEWRixWrBO8d8Z8zKEVL83sOH0UfyFZwmKGKcJt7RKzH1wuFJX4q098OLgUstZ
wqBg84fkhzC3V39QGyf2Awa5pp4SY+V72XdilwOTR2psrrgAPhb9tDULR27FKMUa54W5N1sMiqMi
CFZEJHIX3HjCJ4+XluLI0V+o2sk20NOZQgktoPmKHL9GmfbDRqdXQo+TiAc/bed3n3sN+OoErG4B
6n9ve2F2y8ARbkRaJT81d9YeU5aD+WPuhd4o1Io1JANgWLPl8YW3x+Gt5oK9azJXEdmhxWOnw6TZ
DBVlsIui86xzS7caPcFBsiN+0r7SZgEms9XYg0MVbYoaylUuy/GB0qT21ciH7OAVjW5oI8U91g0N
Lhhco7cpTGTqLdAkPiO8TwgYwW6OnCO6gD71FH28tlbUoXxNu2HOjAcAZtfWXJ+NGte2i9uJ+cJs
R2duWdq3TXmqk35PwaYGDgEmAmjF+BQE9rjpSB9b1Jx7rHyy2rgRXSnqo82n6aLqNj9hAE5H9gKB
eZAqfwuDoH/zjCx7bpKhOvMyZ3dFNsv3Hr93RjJBTFiC8VRfohjDcjxqarStaO5IYhA6VWT1lh0J
AmI0M33EKhzoBgqGI4OYZJEzOg2MuPnYGoyMaAW8dbPK8k0+F3QEz73VLgnrZS8+YWmG9am/AIqx
D15OmxtaCtM2pcHpd5PFpIvGgTepYIqlZSDiU3b9vb0ksW97+ss2QBX0zjJr9wvMrd5S+MzRh6FN
L+0yp0gcuZO6EYlodPJQya8mZjh9isd93TYbE4rEBqMgldFBRyFOD2BrywI327MmjLahjOtlQgnT
C0P8/EQo0zrNNrbohUmk8FBLpOhlGdvmPhL2N+HAbCVMlX06MEYzOMRp/TRhDwVwyOhBk0nTeqep
9uH8+Z32Fx1nK+GZD7sjH0NokBoe2UYXG+0QoyqMKxReFWTvivMUJGosbGOto7K6Q2+gxkA1yfxY
0e6G16EqhoOAokiIPRufptT8bgdCmdsk7Az0dgxWXtBFv72hjzaly+5xoS1cIbpjXqY+lWoiquus
Z+Rt9YiMoz7YCyUcuhZtN2z5RCkXXurUT55O89+5ncPFsCuSYXGSLuqiN9/YiVjurk0xWfRNjUGV
Q3SKgB4A/UsPM3aG1yCMPq8pHb5a/rEhjbQuLGIbXLZ2JRtIMfM+s4hRB3q+bnC5NiyNSVD5g5oR
emttPWQtX5Idm0PnCG7ffRiRwRdGN1iUjQQ9HJSUoQOPRfdZp3CQNcsq0uLt3rqC4Ru4J9yJIAis
8iTNV6VjqbuIgk3mPcGjFfzepuaZ8lTpKt/QCVMt/dJsb4ExT09ZPRvQdANnkeUlVOwux7VZOcYj
EaP1JOmIaIXl31FxVdy0JGBAZSXpi6m1tR/bYlizfq+/S9YrONq7ch0xbu0mrwxeXZsu+tB0q++x
oyIZkVxdC+td/dBe43OQbhhMrG4nIxGf4gpyVzbGlD+VrKcmpO8fD4PVsg6dC50bybEg13ygXsH8
1KX+wyHps9iaRjbVCz0ayTEvwkgySWbTTxgKdZqxVCU0HBnuDc5/DhJk7M9ibC2CQJ0PZ9Dot6pQ
ya2rmaPMKAw2Xm/i2069+gx+BUEt4RLJkpr27G76Lty5u03q5mbw7Z5kTd2ttEkJht9Tm0LwMDth
ZAcCPagTQ2eySoNSAsuzSInVHOuVMCSm3WwL2YvKmPgzkPq7NoMLeZtuU1Q9REsZJd59VdeEYppa
mJu4MY6cicVAwoHodtFwri4qPdGqKNQATowinfnoub3agD8x7n02CeJN1bPvHcawg8jh1gHvfZXL
H4asivoAFlTPPKSa7aTw33kOUOLDXLAoX7R+FnzjDDdNhFqeRp0cCWbkjreS8zCfRWecaah27hkm
9SEN0PFt0ZFxaJOAae6alfGLNNFLmr26cKHwCz/mmRntig6xkVVYuFJ9erSd2r3hROjXThMVJzey
xnZRABJ5JZhln6zCAIHDnDnftL2PoaIWjfeWM1k/VK3Vnvi+OgOzF1jEttHjXQa6UOG3x/wsDRMx
unbL2VqzpBcrBG4TqYEo78MMWoZYHKCNNwy8xcnuMozb5OWcG5viAqDdVHstGFYLyvgitwIV3zvu
Emwq1emdQ/vnMmvaaF5Hs2D9loV1/EI3nHls6xqkcCykAZ6SEQMYzB68eXEzCse9QpKLszW63h1l
f9JmAKNkZZmSwvj2dWJ+RvXgEy7PvDdMvMMeeQ1/GhZT4oVFFGcxxqhwmEj+0u67KoepxBSOFRF2
hvIfOzbfUJ6J1a0nJJ2F19N4JBtnG5BzX+HgxZVkYLAAkh+2W06tD9RjGuitgYYaX8bb3EfPmBKq
Lazo1mqcn8Yco11YVsZ+ouJumWEAEnV8pTvczPCTF6NbF6scSs6DUK2B24zCttDJYZ6L0F7mMtvS
rLdnTiDUJod5qapNWTEb8ic5gGf6EaR2Vklk7Cx3QnTLGLi5IlOeBTyKTvr4JWjBxaI7P/YxFmfK
rp5oH/MWXAfx3af9hdt5SdLbP9sWNRYFqUk7IXDDZeTTCO1T5qQrtqtspoKEZ4OI3vsKoChr84XT
tdaqHzx3NQOEB3od93uP5c26uKoBDshDUIGFDQqClCH9Q/w5R7AcbqCoB8jbTZFbK5FPH8VIc9UQ
73r8qCtaRy4zlp1bZRcV3ThiBmY0g8i3wwATVGCSQNQti7/Asg9p2UX3Ye1nWxnioomacVgjXg14
CpOrzaAGxjTDymEoNTR1F8Dr73TomOESQKG2MdsMtEB6ed+eXKz6CfF0Xl+f4rNtRocEWqIcd9Lw
wufBtIbXDkx+uoxjhK5FSqPfceq0V6/QIMY7NrdFvHajOnjOZTF9YPcMj507K4fWOBjPKnNeI1VD
OekNJwB3M3PBIaRrJvduHbE8RyyZd0gS04IHh3iB8Z0/9JCv1cJopSu2RpZ3B8DnPTOo37UceWP9
ImX/YGs+iqL3H/s+c44cMBmI6trfTXnzAQ7JXmBfctc9pZxEHgJyrGL8bekhppEJpvlNNNj+jjsW
rUqxqPM37fvu1UrRpAswyOM736xkmTh10izghG/pNnO3k+ZR7QAT2VtxEJHUs6Zd77MlWPixGayB
7ddHM+LM5xQS6jlysvytymk4Stx+KOE0d96Tz+ByLc8r8gnOBenL/9nF2v9D/vtfZGUwWTNAQ/3n
67cdJY3/zMrw1w//uYrzgl+CanUbu4AlfSGvrMA/V3Ge8+sK3wS2i0XH9ILrr/xlZrDtXxZCDIs6
cHcWQxxbur/MDLb4ZaNCsIpzTcf745f+AeX3r9B+qECYFv5mZvAku0AzMPECsfQDziWvfcV/Z2qw
YFvXXC0galH2sEq8DhxeF1BIgILRfMnebtepiGkfbBx/6xrIGIUM+5Wn0nBPItP6Fth2dhmD1ApC
zWVAgN9KRN93kuzEymaXnTiY6OarYR3DDNSgMClkX/KG071/hZxXQxmhuCd9+00lo95OcefdMzwm
as1XSX6FhAbpVpJuvBmNYqOD4UxsPMeLTZhhUG6/b+aIZCioFo1yuUnqAA4Xc1wdRMMrGejgOzPc
wV7EsaZ80AiHjV2aNJDkaT59R4kM3yFsDQf28NbKoWpmO0Mb2bG51FssieW2m5phFVk56ZvEv7D9
UmtNVn5XxcCVGz24C9VQq5KwiLlVtD+sg3SKTSjQria6U9KZOodJ/TQCbvidgKo998KwD40/PM6d
CFhQdv6t7TVw+i1nTHhVq9BeUD/W1QR329Zbh3EH0knT3US6SE9Lnh3ZK0BZcbD9qT+UmfUFshlw
VpYkpyQml5x4fveQY+HHC9oRGOJQcRZR5iWfsQcLDzo8twH04VOEYfOTwl5S+FPnGD+jdvtzof3x
tUJnP/OG8/d0+nERNmRAHCFvqDmHUuf5rIeY2fM1p9/PJJlUXDcmTJgzFB6ajOqyNre/mGKRFmbK
ulCpGYr5wEteKKN8kIWVcjflcRT7g3gla0muys2bXUDIaFUzIJ3tOO52tZU0+GkC/urRFbMS9c5i
HJ3xP8g7k97IkWxL/5WH3jNhHIxGLnrjTp9d8xCSNoSGEOd55q9/H6PyvY5QVkV2LRroRgOJSmQp
FO5OJ82u3XvOd4hHIuLhJDX/0anhgUh0xChaSRboG3pWLZPZ53Eqk31nOADqLJUtNDvMU7VDYwbH
Pl4zg4ws5TdI7hW5T4NdbzIZfuec6PurKC/lpc5chxEfKvHUF+eyFdl5KGb3g95S8DCCn0eyY2aP
E8GBRwfNwf0Abwy3PtmgZ6cnjWgohXHTVMx82CU1nP2Fhe/Pqrvyo0HfSCwu88suKLddGRuXswnT
JB7skT5qyojFNrhrI4DkD6lyjcoD+zhvtYxr5sa68LQ6715mIolOGpqLW/hAzAnZs7YME+uVOXKY
txbUCttcOSn1mJSoZZOM+X+t0eusp0WuQAgTbrf8QQdQeckwC/OapI2wET4uBbKM4uAS+0Bwbc66
5bWMuznTsOuS9zdA6W9MMj5JWSSOEUPAWgFienc4C7rsklq1B4JobXEPOHgnF6x88d7o4xHwQrzW
xOAZotW2dTFcZD1EAIcyFtWifc/ZgjDF3DiUnDdBDIe29jckUWUxAPll2dPp+qAXs0xJz44V+Muy
N2ktHcUkIFBVBhwlspXKEvNOc8YXQqHjH7qKtQQ0eVZ1B15Q44PC1xpLLkldYsPUAlnrGzmHaG/J
Pxx3sbGka8Vp/z0xuwVAPk4HVQ0IMNJDZc7VuDa6+sVp2m2BtHonc8S9qeGskyR6r6qxWHOBMwgT
DmZCQQhpOqXdwggLjwYyUzSdSY+Vqga2mfe1aROWLFoM5Ymx9gcIUr0NhEC6Y3aNoMN9KWg5vky9
6LcMCvM3IzO7SxnQoE8DEAnhoGe7oh3UU0Gs0sHOTP96yqL+lv9U23ruoqdYN2Fz9aTz0rVyNnNG
kOXQlfOusAfOQjjGDkFIS3M1gILcBq0R3E2pFverYaY1ztseFtFQuE1IoN/VA4DvhJ1mk5oJjdqQ
hWJTN3792KL/wwTllo+xCUOnSnPr0yY4xYvaJDmhNm+QZsj4VJIMaq9R2MhHrZXGlTs72p3ZDAYG
EDdggXVE8R110PhIuqr9KFWRX0PUrK8dPItHMWf63tSt8OxXoibczEJQ4HhtHzoe5MQWH0AztnjG
9PHGGIbhZhyy5BI3JPMmlHsRth3QDOlELmY8VfVdZ6TuWhikFUDQNN4squr7gqm1u/bTh7CNQem1
s2RiS+hs9pKJcriYmSqd57qF8hM24ykPHPuc4bemd5tGZyVhmOIKcMxtTUY7+JHMCdei7suzKgf/
qtGG8sZWOP+ovoOJTEeOK5IG26auhw4b0pxcd0NYXNiMv7wQre9ycC2PeJEwTC+PUlr57NnqAKWB
CVB+hVH9jqb5qkJjQUridDE2NtEsjiInjLVyTcoumDEeXHKZra2/PMxmoIdIfDXt01ke83554NMa
FuxQGyuLE9yKYlvu5h+rQ/djpbCWRaNblo96WUgcRCsMjiNj3rRtKFok5Cw6tIHzh3FZiFBijMd8
KFh4SgNnYO73IHWGiWUNuPBtTwLwaRZ69yKRzntFqgiR0GqDedGyOsbLQon3yuR4pjNJQL08XlZB
Eml7ZcyU3+2PdVi4JfJhV5taQuv1St1PopBXDbos38O/6n5EdQjO0in0RO4apFNHrS+ZkCybRYe/
3KPfxTaSl4HzNpSxZL3knjZZrKPyhNAdoH0JgWZfEGu387GnR179Y1+bBc2HAON8SBss6oFXVQrv
a8NXpH5sndOyiyL+YRrJvur82GHploPR6JT0wmXzFdRQvhtWawCf9BP91HFQEXXjKUt1YFauNh58
yYQKQ0VGt7UM0Q9k8SHuOqNF5RFCsu1da52PBaksbpqQsEUEysFsi/YiDjLjW1jARW1pM9+SguVn
q7oJkTaFtfu9Qt1wPaaDfO/Trr+Omil6ICy0vSNNZmy8QHTqwHSDyAYfQAdHYCu6Qq47MF+BVHNp
a2a3r8EOXVDY0LobLIOzJQWuvM6QjpCgVGaXbdcjbSkHVb9xsn4Sdgnyl0NnuEY2IWGyOPoOHU94
rwI+eEzpfKi1EvtVyKDnPnDp8OIRJxzRTCztWs6FeVAYae+yuLCvR9eR60hxlNOBk96XiNqJcBLw
OU0tAh2VwSnDj9s78Pj0kkwDd4ybC5ss3Y3dDy74pki8QaHt3s0iL7nGzDBonvKgbYdhZk5j2wHN
qoDezbdJRcgAY674OsVOcaTbBS6+djQ0EP2wB4MzHmOlQZqzoprkpMoOmNhp4lkfnes5aMd7pki0
QAoNvw8mgiP+E0zMg+XYN+FkJC+xCXBkXqb1K7PO2rdAAm0pu7bZCGURM1Ak/o4/8iYicvOWbtKm
zXL7ZJQuN7+mWgRylYhuNGDyDGcIMl7h7EcyPEy2db1geYlAZ0Rt0wouiBAu4vm7MDSyrAhGxnKD
5krzmIhyzI9QHErTEE9Fk1jHfmo6cNV0vgJddRuSVzkAE95+UEa4iKQWM65D1brB2w/12LWP5GN8
0nF/m0bIHWxgKacEv8gP0GAcnnYaY6s8roJbesXTjpWH6tJPxCMaNHrDRfaoW6XxZFV6t++7tPwG
+C/+5jei/s6cn7mdFsNxaecXZm6Ppg2fbxXH0j5Iq7gw7OEqdoH/js3YrTsgPBsMvgi3/ZQ58EaA
HDbXnQvrmmaaVR4cu2Xf9cHMIm4x93NbxhsdV+RzpHGfCuLXT+OgdR5B0f47jWFrF9hOPEAxWmrb
OV8E3iPNpzG0Prou9NHwVtrWplt+JhYsOtFtJ4O9y7XiFo+KcR9SxI9rklnb7z1Bv5Cqk8Y551XO
atMHZnyH+RC827xY/mJM3VsFTWtXF6akPixhQmu+tCMPTZXN3wphLI16eKuqrI8EoYMFdBo+e58u
ua4OeeBQzhZmRfmDI43ClJr8KrGbcA/rd96A4GrQa8wjpweTdoiWTIfRdQ38aLw+oaXqKUMXHdEC
nNwL6NETM3Pc8qbeqZewivQdkLN45QO87OCoTjy19SQI/sjDmNlt0eCXa55dv7uYlfhc8P4IzXz9
lcmxunIrHPuqvG+wfQSIjtrm1gjqKcPoRwZobM48BqHzmLU5lWXH3k4ogu4NfT3sHFHBXAzNcScW
5ibEAvGIMQzgHJ6RkLEbzvCoQM8fWEZ5Uyo/Y6YnXO7vNHfae87o871ddqTVJQIrjK7kmf5qSbQ9
n/maEEjjgn46I5EFCGBagYE5PGptD3KEk+9c5Wp3qGDMa1PPh08refMb7McD4utlthfaEGsma19H
CWWRll9k4EwsUQFUbVJ4tXka74AaVqwiJHDLsdG8TH4AQ03jLTqqlrbWhH0T7aHulb1/RqI2X1IQ
nloDE4vonpzkpZhvpxBKMtx3NJtG/BnL4DJJspwWXSlulPSrZ+4vNi8Cca4GRDCnNMzLJ9H3DIei
lKM45lINJz5P9PMsm+GBYA7z2ReJ/GbHzMlb0ViHRhPxkZ0gPNupj6Y6jJeQmBR6ntZQVMTBoa1j
BpMqAgc1duFNFJf2LZy/aSHxzxgug+xQz5a/nmOSIFWeyBQCGS419lM1PnUseesyx2C2LoQR7uEe
ZjAuJwKh8fUi+XPHO1Kdyx1pigBWmSBtR5hNe2tJp4xCKllEgNOmj/RxTw0p6G4Wjm3hoxb+tUzz
8gCOftziMrU2CbSuhzqi8gMWIdEsdBV949rdB2lKrm8RTTp5lgL0p8xoAAZ0a3u67U9VPy0DzTEg
2TvKgHaziBJ+ps3bftlwMcxVO11PHlB/lsfEarod/XoKMrS9W8B7HHwt27pHptFs5q4s6MwiOFk1
E6A5+oTKwMWgDfaaXixPYJILFuwZvMna7niyeCvFunUzfqNvMyjxPmltZMI1a81aiFZBbu7DhBXC
N7PGa1rEuxoek31uMGBo8eytdCeB9Boz5vGGoRrWQQKIsUv8k6H7/kWORx4p7ZukOxEnS64yvxH6
pzrzEQklTJW7InxqM0AJoRogIct5OtLmyj3Kh1sOp4sccODakuezsjU/uwiZZayzoVceh+V5E40S
9C/ADQ6oTpKeQkcqLoGvH4a60D/mrielzGjyz9BHV2APTnRwzElbY5HTy5Xpt8Uxh+DxYaRF8pxH
Vp2iXDT8W5ggLoomO73mrELoJoQFkgNt2ivSbszHGA/1GqZR+ZwxGFzj8y5OCF5izn8lknpkX3th
RunO6uvqnGPl3CPRX5cYgvG0K1yEljtj9I71HU+Y+dByXLtuNYZQea/qTZTRAAhdwr8Eo+U2Tk6F
IY9js58crmeXu88N8+y4Cp1bgqfdXTyo+NEWqXWokjQ9q6hxiPvSJOhwsBumPXSr/yMt3v+Xmrf0
UsnZ+tfN2/Nr0oSvH8P37+XPCsqlB8vv/dm3tf7QDROBlbJN3TFpFfx339ago6sLWxCcxHTLWXoL
f/Ztdf0PJSSxK6ayTNBWFn/dn31bBwWlrhv8xDWUwajh35JQLg64n/oXtku2C8o1JXSEnA4m+0Vh
+VPbVhaDH9Zke+LCAiWeNTsK7fQcZPULvB7GtUp4HB3yVUzArI+pm5tZPNKhEuei6Z/MIX7uyvrS
ruel39p3+7Zqr0nG4xm19cgrOiJOKyYL61qmT62zMAXc5AkBn+f205FgIoNI3AUUDVfSGOKrn76N
6390n//jp8CZX3vSPz6cY5q6FPj3ybWxvnw4YAwhuLPCYkQeezponMT/xCd/Ley/C8H6+koW36S0
ge2gedURhGAa/PkyBlqtq572ikcGPMBvWDtoVqa28HSCD37/oRYv5E9fGW0my1aWvvwL3a1lG19S
dCY7GjINy5QH2Ptd+ZWiXZbDo2DhrV394Pe461K7R85SkRWietjuwrZA2QRVSC7hQHJBV+6siKEz
h508zy40acyelPUTmv5TYatXI/Qspth0sYu3eswm2AUhiTF5dZ6soF5x7BwQxIsj7aDmYHK0W5Pm
OOIligiD8KdXu5+fqyp6MSsFqT1BofH7a6B/Ff7y4XFhIvi1SXKQuvGl7eaDD+8nE1l74Ti7kM1R
z8ZqXYZgkwrq4eKpzOxXzcFygbQOzjfJlX32kWrh99+/kR8v9PPYw7aUTg/QVAJEt4Ny4NcvfgpJ
As8CSfpwS9MawN0EfkQ9OUGzzOXTd9RlJwvoCD3jU90h+ZHTDVBXtQMcl5KuYNyg1rtbDiGjrHZW
oF7nOHjJJhQKqbz9mze75PD9/GYV0msWIU7EQiGENL/cpTnsWS1px3AjBEmokn1OieHe6sVdpdkX
ZQvGhUTg2AXky1gxqsSjFhIY3jHXD0FB1TP9QR1oFtvTek5DdL90qktmz79/n3/5dnmfWGwNqiYe
JUZeyxPw86IUVArXmdI8YuDvkFxV2yHLBnpM49UguxNhkExF4gFfvt1aK4RFL301E+EA1QmjzO/f
zHJNvlyzn9+L8yXbkNaBnmJlQn9KMMZI0lPC0BsxwAo92a7525f7sSZ9fT1bcDdZfFPI7r/cUArv
jDPTpvcwCcFmJaoD+Q2AsWzgrrDuSKoloIGgZq8vNMAjmULdE04HS4QvaqKai9E1bIIBL1ru5k8L
BylokMTGzT3x3cmJJjjYd98d6cVFN24mOq8FbKSZ89lp8fnFpGCvCEnBVAt8inAIfYMi6uS4DMmh
9mYby6rOaaUFW38i06d0AVK0iHIgRFUzpSO6eIPQnE1rzte//yJ+XWJxSnNT2NhpbfYq8inY9365
KZD9pAD5+CLm2drMVgB26XKMHSLiL37/QsZfHxMlbIajgpkq+6/8sm3ImXEk9kaQFbGCwpV8z6VO
lY+EGdmF2XluE36Lx+HOqggs76ZbczKefScjqbLxX2rfWUNTIil2XuUi2depgRSgvhiLdPf792n9
9db89X0us4mfHhPhuyowSsSK/mwvUUAw91W8Rvnw5LNBow7pobqWfcSBMASZOuYX9QhKyymJC5rh
fhXDrF3CSECOPlbm3oyj/oLA1Ay485DsZe74u6CyreNs18ljN2Bqwop12ReMaqyyQ9vdYvDTDByJ
ucsL26KfPFQtKTM+y1hhD0PKW4E9Z57bkY5TfBvb+NUPl0FuOUwvoLYfjdlBr0Ll8JmVPcwIPyBV
uquCU24XM57H9PH31+yvNxHVDqdkSiud/5VfnuakdSk3zNz1Aukzj4Jd3vbryCTbszS2v3+pH5GP
vz7JP2oOZUqDuTwWmV+/njEWFabhAuuVMZvHrpu/MVQzT2U9BY9MTiwAsNgR8umiCT4DxVGgIIp2
ZbhssEMLU3CedJsvRdbXujv9zZtbXvvLezNNyVOLWoCn6WvZl8Y9Cm/mZ16cpccp2Cqpnebq4W+u
wNdKZVEdCJdFTPEauqG+XIHaSIIOi06wienEI7Yc9xM8SM+XjMajkLgWAomGoCxf00o+xMN0I8H0
xgKLtrJytENzVjImi3KCd8ZrTvDhOdXwitU4Qv6moPhn79QmFFEutwVChi+LSxubfkrUhu85dsGq
EmXbHrUf/YQQmz9GbztUWxK3Tw7t799fJCr5X78JJtyG7di2kuzK8utiQ1u9nYug8D0Oto/+oFhi
SGFwC3Raxi0glXWUVX/zkvo/e01bR/MBAoN9Rn75XtxsApqfSMa/lb/LDBAszBzGY2kp0zMiSvus
ew+RIoMVfY0j+9WYDYR62huRlsE61Iri0hnzz1iZB71Q6yi+//0lsf6yAGNNob6jwF0UKjxFX54c
rdJpzbSax5nVi+IaCZ6/9WMeF5AtUK+SGdUGN9EwGjShwmM32y9NURNpZfvPNQOGFZ2fW2PoP3F1
bTPI+kGPelxLokVXscPrylZV0EMqi3ds1g5pgcG2DzQXBC3e8NIajnFiorBiHjFhvN8msvk+ZeK+
m6xneG1eM+XbHmqEFaDh6OFH/M03pH49lrHZOYbNsWVBjfDsgAr69QrkEZ0/iB3Ka3p1b2TyZnaK
vcqhgZcldvTUbesNbvULErLxivv8PwUoSBIRm00bNLdtPdxaNX5VouKddZRYSMhqNniFJCwTT4ox
gZe5zQAWsj4HzaKZnFi8K+wR9WDryxAbSrg1eOjnX5kf5VC/nLvedJ9BQVzogeklKSOTmN0gnoga
FIxgUNB+EMheep1RYQGKPMz6a11kV2k6nsc4PidpIlf0S1/7tvU0E5l8TDZT29oXhZbsKs4gmxGh
KBQO/D9WbhobeGtkDJCRBpqY1lI2IkdOEENazZpcPWK8BQhjWb7D7r4qUlIcEbu1339/M/5lk4Ud
g6hdKI526Ku+rgydnfu5qhCnEtFUEVig9n2xr5j9QKP78Ur/H4N8dMEiw1n1pyu+xOb+GYe75PL+
z//hvWav+X+85h//gUP9ly7Kf//yn40U4w+Xg56gJGOllD8L4MQfjjJt2hcLUYeOyP9qpBjiD36i
OErYjqEbjst7+bORwo9MVJwggNAp68se/e/QfFzjyzoucaJysNL5x9Id6GW/PrElI0m8frq1Abz7
iQr3krnTrrTd+9gvE8wQ+ibF2Ilhwr8n3uSmnG3Mc8Guc1/CoUvh3QQnP5wfk87elZHc6pq2ic9Q
/o7tQOSiSjfEsV2Eg3isDHOX4AQpZ7mLAdaKcl2EPnBeRJ5k8XVQzQZ+F79RGtd7q0oPiW3e2LW8
lLa5Q2F2Y/n6JaRUww7exiDcTqW7cdLqztHKu3n0N75trq2Q+BewQWn7Nqd3E26uGKu3xEqmrOFC
lc4B0MoZEuFlbo2PpWkBkc2vWdI25TTt4J7SMGqJY/PvqQcdz/Gte/Jq9jUtnsy34NiHbobqvN7P
+AARYwFED9QeDSr5S7J/aWv3non5ExKCkQ3Y2pm+fWBStGG3fNdak55SdrZgyv50513/o/75uV/0
47T+c1n040tUPOsmNxN3zZeKmhOkQaifZm0ozTwAHwRvZedgqK7kNF2pWoMRRxhVMquNxsGq55v5
/Rv4S0kv0SVRLQm6GhxxzMVV/XNJH1WuA5UiIgY4h5tSRmenq7fMh/QVEwG5SUIDgFli7zp/JgZg
fuzzCCOnLrUDPWfMnavvE+gK0m1qe90nZkRSCLldRNMtwKE9oJpkbTsBonfKqAzV4BquQ+bt8oGs
C7ifzcoZ0g0qOWgRKdPawgeO6EJtGMHGgZMSHLANMhh9OM/jfNMRUkuuDsnghv7NrIyTr8YL0nZO
OYiUY1GVwenfXyL/93K//+Wf+r/Qoq/TLmbb+dd95ovXj3D658nf//jVf6yQjvEHnWS6g7owBJ59
hzXoT4mw9YdABUxXwaGtoi8tw//CncE04xdA6ViLzlUtncv/WiD1P7gVDY4INmeYpUP97yyQtKi/
bqXo42wbGwrF3T+9ufETj3MyN9tFlGh5og7CHaLC8ErTYprKstW/OVXgMMeaVXqOzImEAicv8YYN
EUNqy4gwRzNMphE0WR+cJNz7OW9dBlFFYODKzxmGPwbU0hM828J5pM9mrIzSMLxRM0FLifS2sszx
QclCrtuw66/IzntkjR0pq/LhHlk9gTdznn90UplXNT73vWGVzpG4vfBQB1l3DV8zbVamkgjtmrTN
MFqGpB23xoTHBPGVWOdtPp9YXQaxrjtnunE7v58Id4EOeDTqikRUsMy3vdugKbHDGe6RcOYeynbd
32V6kblAQgZyTlxGN/aKXl7YH4wghUFjglL50DSnm1ZTlfvQpzIRtGc8M66LF8oABzmhhqlvoH6V
HwBkgKsE7pj0j0SvuR/FPI9voDwKfW/Aoco2rYL2G8QD4dOR6xIop9nM1K4kdJDhOGuy/2x9HDeX
I3FrL6nR6feFjUHcpMNxY1gTOr44PmD9N7VjqYWl2BWpY79N6BX6g2mXU72q/LoKgOXYJFKEY8mQ
gfBHfJvQR9cAG5acgUncW6Dunjv8oR9dpdXvo2jUJW2tSW0ap2oRLQNJWcusHE6cMYmvpuZ2CFmq
sx1XBch8K4kIJYqgJ64nKinR+oSRo94GZzPVsuRl5ua4jeOMjKhW5OKoMRRcIYhhCjoHsJhKHzYS
tV8QrctuwUcR+QB9l9VfWgTdYE8c1A9bPy785L3LuFvohAOfibKiA6EZxHfIMQPGqxAERMrn7hzf
XsfarIfrwBqLV1GMIN2izvwM0sz5hnSXm1zHWma+hKWyYbeSrKA6Ytg596xcIi73wKMCz82ZHIsY
EoXXgmI62W12S9RdNK6WKDwpJ3mz9Hmf6zqNiJ2IGpsiYw53Vauc9zozUN0kQkuf+nrsOjo1EnEi
6UBjwPkazjj06pztbJGvOwTRpHF5bHJT2ykHmelqSgNSccikWuJ7b9GfCPJqwf3srLgli3nJarCs
/rm2FAPMsud+Z3QkYb3DuXW2TuE75l742fwqs7ALv3WiCHGujCGTzjy0cfaNujYMB6FaIlWGDhb2
ushElB8o49BDoTsJn5ohGjmG6UFbbAtTwSCoJo5pHiHTjJVxvpvh1kowvnEqHfQrjHrw/Es2v2cT
YjYqIydQmr/zs876RuxZpV1KqwnrbSSJBdmOlJvSs7AcTGuGXEQUDfCnhBePfNErFPuSpCHTCPLx
0qpU0F0gI0RFp0Ofye4ilz91GzoDfItJMVb5Bp0hd1ZCQXHY+rhni3U0YDxYEy4+c5fNKODbMGrv
RUz6kCPdoLpLmmJyNpHWwswderKrehRUPNjMXjD5ggp+rHmjxtoq4uR7OrQuAfW+X0NUSipN0MRS
KSJZAUEMHrZGulbe6X7vZXP6CYa3WlMUDKTXxCV0Ru5MhENEdnHCcmvrpu6j/DLPpfywNahwe4Za
JEV2pEC+mW5aE2sTEiHohxLeVcSPWCRGg3hhS3+orAxzkUh0awuAKNhLUVY0BhxG80riTFjPC16T
Pg9OgxWaBEx8LJCqWRO6UBVrPmLm6VHpYzMMCYilNZkwvIrzenju+9y56BOZfytgtWcrAo+ny24w
kmNem+64wo0I7MAmx9QbG3fY23o7XPRu5V77mpMC8o9DdxsTb3EjAUFTx9JFyfo8tNZDK+NgDVaj
OPiVAbukTEfIBtUUndqWpHUJEOIeiav5LWvtYavXJsEkuWsfumgIWlwY0sk2oybQ7gW0Kk3NGGMS
oYgJ2ATO3O3E1Lln2ALaGqEK5mU0Zd0qtPLySmuL7lWY4/gS0fZ7bEI9OdiIELYIc/1bdsvI2VWE
5t0Xejy+VW1kfRD7PNwPdTZse5nfuSxLaN4qbOCbsC/u4s4iyKyZw/JYYZEQO0dXwR4dqOllTS93
PfKFCC5MS9a6jGE1bsmEm+tVk0JuQhBTeV2TN6fEBplLFH23yiN6bvSTxT5u2+wFe6MWeAX4kGEv
EMJu0p4iPkUPsc+yvkAsHA+XEjtCsarIoI63k84Hxh6nfy8LSMkdDrJwbeTIH89TZs6l19Rz8VCl
Q0rcxkheEpqG0jqAVuhPSRIGrVcoxwLiK9roRWqaddMDeLmIK7KLAJEvnn3beWdrrs9YBprnuMfl
SwkKCLgck+CUgb3jvUwsVNIc69uM0FyYWlbvXvFe2hd0geIx0Rt7WHVYE24Nok8OkZxK6Ks2eHIV
f+f8SPCsmmNYVVnUXvLt5c+CGHYGcy2K5rqVu8KwEH4V5QfBcvN1iHj8ksqFYAQ3z54mHVBV5WpR
eMgLC9WG3tWbxC1IrYM2bHq6iOwbgd8vBJJDnqPekUtzh9RZOxpWUb8YOnDHTYCrNCKAHYq6h1pl
QabaTftmV731AkQFMBdaR/Mgwzx5KgjcDq4mq4WQKGIrfyuGpn0HqwNZpRmLWgOB6k8xVxUvM/2t
Xt3hyIYiZspUHUtU92BSJGMkZG1ScyDjBwushwyl3quLCNmmUfHDxG/ljRUjCpJDw8rMl6s/jlqT
t6ivnRn7DtghVGMB/blSjtFumof2UxYuLbek57+FGXafcmj7A6rf8jzYtTpKLSpvkqKAIdCoCaep
hJv+kCJK3IXAVIht8sVO2D66zhrd44rchfRbzCguXLt2w2YzcXFg50BVDgl85IeLjM0FYpA18bac
TBikbg4pvBrN6ZUUJf+9bUZyW5qmR4hLaAo4TWOcwuRax11y4otHXGnw6zlDNQwjHP2a/KpiGHdL
YRp6QBiBklgRmVrIGtKZmxWl3s5w4+LFTYgUWkszH7ajNkc6old8Ra2symfw4XawjqY6f004wZ0s
n46a2XXNpvfrDlKtpfkn0Ba6ZOomk4PiLW0C1swl20cU31onqN5xZOPoNQslL6NQ0gR0QZreEpk5
nuumzO8LFyfBqq4LeVmAeYuQU0TNIcfOZm4MKyiuWfUnDweYO+8pdooF5uoHD76eLusOuedWYwD1
RY1HvGPtUzR5UxFDBjDHqXpxopitxtFcMO9ZJS1MVWP32raF3Cioqhi5OVZemdhM4UwMGVko4YRe
AvU8p8G21jtMJ8hhHwIINfduVSak6fGXXUZTKAg4GAn9YjRgPQlX9uFdMnbudWWFMPZZYJyPltqy
xQklJn/bsDNf58FEIDOsbbGKstbZm4WpYWgmiHtaBVyzPfHa/U4S99yspF4raEgx5mEnH4w7NCml
V9pB9xiSOYVX13CuMREu5CdZNTcpIr1+K1y0iZQkmiAtoiWOcFWTAnbX2250FQMIo8hzkulKmlXy
ngWjeVsBhmcnMgvsh5Em7Y3spfbBigfBOG3srTE58Xc1jaVHKSQf3NEt9C04MPtWYDtEVxmraO2G
ZrRm8EgvmcGZewztQj0nqp+vM1FrbwXy+zsxhWAiDLDspxxM2Ce5CFF5xiizpDlDr/iAGdM+zgMB
1ynQ3ZOCyxN5lgoFnWDVx/nWDmuixACHinAP59HeYyzWHiDupf0mbcoG57JsTxlCuzWoMCHWFdrb
jT51NawUI02PIiGuArt+P32bHb/dkPjDSFFNqlJemEVEQ+pFeWayprDmB1G9GfIAZ3bQiIOedU+j
aJFFB0XkzSRr8EaM6sUvxHKYsrGZhKZziPBFsXcFFnlkCoYCYmbUo9NAqASL18rUwkcj0R3MbwYq
8rboV0bjfhbK2je2WR/GwA82ldOmWwvxws7BzbLzo8n/7mtlc2UZBesfCXQQp0dOh9i3dkWGm2ag
RADFOPb2ZeAWxfW4pC9Ucdls9UmDtdygha0C1b0TMlHeQLxizOv3lEYp4tB7i71vC/K32Q+pG7xQ
zpBP7oa3Uc7S3HS8USI7IUZUqNhVX/j4kLBZlW6NqCbomnNnBOzU2OW8ISJTw8eLqmO9Im2FTvym
z4f2I6lyMUCBTAlkj0PnJa4MPfDyym6PuPS0taZN9amuEEJaRRIfgYT0r7NTfczwTTnTWP6ynXIa
K8Mcp9ZU18dJM+YdRyBGH5joocsxYr8Az5JvQiXBc+SwQOugN7aRP9o3bSYmZ12NY32ySY85g00o
D5MGStlzZC2u5CyRHWmxfTYL/57b/sa2glM/do/mPFjXzJuclSPTeQ0+icQRHdgCX+cSvhagP6jm
JdZbgy6yJtc1fSzMEfwEMY2I3DPyW9y8erBFO75GZTJew8VbIFN2G19Ms632tjFYB3pVZGmJsSFl
VMTj/IyY4Copm/oqyRaxatPuO8YdVIAd9gwYpt0LVSfg4ETKp2Yq+rdybi6yMK1OTRqDGtNFOrPE
mMGb4friLaDcgGczFtupm5wLCr351MPAu8Sr193B9mKfcyrpIdDotlUKopdbFL1lNmfGJaKq4b5V
1OZTkyC77xhkPlc+YdKtbvSbPMOlSThT80YkVfCf7J3ZbuNYuqWfiInNmQQafSGKkizJ8jxE3BB2
2MF52Jw3n/58jMyqExUnq6oT6L44jQPkRSLCDtsytfc/rPWtXeG7M+le0fQQxXZBn9OLHZYNbjfH
sXampjsvXiX9fIN5KF6zPcdFhFQjJGDMLmTgUWJ+qMkqDaUmbRTm+VBhkjJcPEaTLpMALxaWoV4j
dYlMIjJNE20Yv6Ny6V0sMfMajGlUFZ1Jz+Kv5zb5aA0NNxrYj/mQLWn1dY5bxhODaRTQb7WsiW/L
rBHPUTrWlN95eVtnpvHVIKfyxgA2+9FlWq0DvCtKmEP8Hq4Gupudg5cPocIyp8+5nElx0Dx8ug8A
2CoQO7GE5x47PUyoQi6vY9LYuDnkeDUzhaRfmM3qVmcR5RzWAclbbGt6ODKcRatB0gvoLgv7EpFE
vfYALZo8vmm0Au6X5iEp3P7NwEAGgEgvD4adklNbJyez63oSjQciHaDPKODJWMC2TlTbj6AT+0NX
4b+7jmdFdoYJEagNjc5YiDkVpantzFnDgeBNZeU9EwtkiH3DrWluuqhYS8b4PE0N2VktgnaECIDw
sZcs3SYjfe97A8vu4qFafxEzwR6bRJnRwIe52Wtape2RCU6FSQZEE0QRVoBHzc3M8hFc2vJQ9fqI
C3DGzUCWzkza6ZKoMkwnjZwNphL73nS/+KUs/RA5h743mTy7nEipwFyp28s1TWcLlYgbCwdSCiYp
RmlPa6Y9Nl7kkci8dAElJCqwAaAkbzlQzRz5jnWSQ5nd6LBxvxXZ4L0wmQHWzX1EJd3Y+yovmovt
N/j/2xh3ZerH5hkTvL7T/aT4yLRGiw4SZxsuyATMy0ZfzJnZjl9CbCNvHHqK2Rj4Kp2G5I1tCxP4
msVst7aFQ8w8opDAzL256a0t5/owsR2NGcqbXe0KzAeDDSwZ9jnlcJYojBqi7M1DRyeW4fVTJGKO
7ii2bW5DSrbaZng1I7IVdiPLZO6crigec8aBdhAxsbypaF/40xJVPcApHswN93TuHKVdWm+wu7EA
DEk8BznQOiocriiFrKLZWHh4j5PfOO855roXp9S918WpyKbDQ6vd1l5hKhIOLY+YLbNTqLsgfhJb
MrRXVOLFbiS+sggiNZA7VWILR+eY9SSOASqLv1pSNfvKGZwL6aAo5o2q9MiccweinVPP/gaANNIQ
9CD9cogEIFiRmuc16zTM3AAk5SmTjnlbsosmjw5+NE+wWdxXGgb6KTJlGyQtvQeK+xiIqN461Rns
WmxsOgkDblvijyO7vqxxIkeAjQg9n4gPaNAQttEQDqDC93C3LZgisD6/jA4NFj+J1z0PyoUq7gwz
qQiT65D9Y+Q9i3vXVwzQxpwqeSgS/dFzPQJxrd5zqBPy2Dw53TiUROWN2ZvRDQtzi3TW9J2Kdfiq
5WgB7vZdtDYZMCET2VzmIBGLZ9fW8cPM8Sub9W5fVoZzZCDiprBozGrPtLb4ILnKuK585WdIVgcT
c1EHNfImHeL+Wfq4weQk4JMOKiLDdGIh7wS5BueCR4zQABIelurYq2iB0dh6JJQNY+w/lmlLNz8b
HD/K0bP3SE3EqQ2GIY0z50RasN7SiQfqcgiopLfKtgIn64/maSrHYUH9MLvfWntonwrHSGjGUpxr
m9xgpLdJexdOd+Iwe6QXYDuWEyGKTQ5rS/wGAs49sfVffZN+5l2QmIIzcDk/ObCzmMTHkvN/IWsK
OhlJ8f3iBkWlM7DBQyoF0suRNCxwMOTRAWH84hDitF1cOXzhndQa51aIYR83cTecG2GMNvWyy5Zc
M7v4I9LTLNnNxkrMggZCZhfXEufKDCm+fMrMEU2ZXy/GRgy9dAJIS7YFMdqf9paTN6FmdOSTj40g
bb3CWrJ2kRrhUO0s43ApSCUOjSRd7gwMfM3eozJqaZn8bisRfA84c6zoegLDPgVtny2hFJmYNhMQ
YA5U4aMY5VQ1R5QQ806rJzGc1WQjeFw9jEtQKJCLQdoKhkmd63AOLInvXTrSqpkyc7PRgjloHqIM
2t3Gw17p7GsPoNZGTDHDIlXzDcPr7KLrbqjQrRSl/h2uunffonRh8pgRZ2hpdT9vBYa1nLdxAeRC
K5q2CjuOzXjj9FK7gzK3eM9Guiis0yNeJy/rJZeLPmo72nor/W5ZlfpaUJCRdp8a6T1TXDarFK5y
m0xuep8XnjogNEnGHZZJ97lJh+a0qDF+ho1EJV15TXZbyOK10cworFPXBV/JJRJGq8k3lv0YbYc5
qt5Y6GgfddqoRzDEg7ZNVsfaxuXYVUAj2eAQowEPjB5y9g4YwZll56P/jWKufRew6Z8WMbdpUDeE
d9CsJUdNZ9kEfWT9ifoIo7XpOAaHamF96qzRd0wtzN3MQOHESMcKMtMebjuhjGGrlbVJwoY7LQdM
CzEJlVNzj5eQdwCRu+kWzpfx0BLZzoJnwXWXs5mcyeEYiOZivhLvlskdE5IPOyZRegMRahdZg5ke
PB5fVpz1aDK3xOUFzlEHSrVbFn1czs1q0jh0s22ynkl6z9qkWLuuepU8JNJycNXp6k1EaWhqFtAR
gSDdk0sxsSolzbz2pfFKTTbb3G1Z4jxgKmZoUedes6Kl48eWfPdHalHyVYWfuFogWEVplG1Svjiu
qL8TVEAtarbMAQKvE+UnZmsvDzxzRSECnf/WyiEl7WDFQlolBz0VZeuU+7++fX2sS/77X/+wRf3B
DfpWs9FJ46T/3/909frfFuL0uxIFGfA/X9EGCRKWNH5rkz/RsPCZf2hY1gQpATGEcF8PhpOHsu2P
Da3zGzo3Q4DPNFdl/n9uaAE1oT0S6FQszCy/24T+2NDyV6s8zvccnj99FUb/pQ3tr7JANsY+1H80
CKspyfpVdEa0tFuy8wTEOrXyqZS1+ypdPb6GQskIhit9/tJr4j2COfjpYRr6OpEUHDh0j0NodVMd
0tq2ITWP/9rqY30cKZK2OnfcB9SN4eV/HsbVjKweVYMs6u2jTMFkdUgqv/W/PFKgttbd+j9/GB+p
hIf27c8/7fcn0Tfg969OMvHDevbjgfv9SfT133BMARlj4u0g212f0b+JBazfbBvHDaJhD0KAafBX
fxMLoM4iaA0rm8lT7IEq+yuPIuicf5RTeQjwHQTavEcwODn+f5FTVTkDDQszvhVZQIFyVo7a5B3K
EWOD7s+vngM6aJyTIrC7XO2Xuv+cDeMFh8tr6RbiPpIAAki7+OgVd2feg3HtZ4cLRNNZ30Luf2Bv
0p3cEWh07XGfLyPql4XcS6fRCF4zRuzqneZt4ri5uE1Oxcu8MlS1/VrT0OwcdP8k7n6WTXGrqyrf
FrFNvpefWRswtx9WbF4oDUAE15r8mtQMXmyHJLReKZb6thnxVePxKy3GQVvqc4sgmwHAVLqb0olv
Yw00U8qtGwr2nYg0M+DRSOBORF8uLNsb58wUB2lU45KluO6cn6HXPIo0f5uS9jUXPSjdsVfLtYaY
LgQSERG9S70ND3rYZIY13JeKyrzNrXPj6POVkWOOI8Wo3kI5IwNaQlHz4dgoqr/M1gH2D/6lUwSG
sxZz7/Cmse1tkjCh/9orJo/svGR17Waga9bS592UMDAdi0F/0hEFTA9hYDfw3StERg2VN+G8+Ia/
trOfBGZJhFszMc3H18v/VWbzPji+dh05o7jyJ7ARKX707VLY1vWSt8MOm8lnxuJvr/nSRaeR+bsJ
jgFBODrJcaKGhuQy6s8T9qKTL9ujLGfjHtj8R9NEFCL5LG8mnFmvZq1e8XUAQs9BiXQ+W+myE2dL
5kPYsMRBg0+cUz4W31O43ge39r/6fZGjY+DDl75QCXGyDCnHUhxr1+EBYGh3EE2bnFK3eEzxR7k0
c0ePnCxIOjMGq6jttrlLviuw55iRXFzcTz0hMjrhO8GS+wC609VP11hPrplF5KRp9vWQyReeV/9z
FmxdhFaV5DFgEWByWYZj0z1GyAoTBQi6nssNQ4XnbLHy7SgwArPSh4uvWV+Kal73ex1ZxuxQGS00
GyczAfMOdf8sYpZGiLKRnKOqmbNbhAA8s7zfgzFh0tONIJY3/ij8/Tx3cXTNeEe2+3LprSu4IsRi
xQpnpeXMTYgcjSKRgOcbvzMAhFjxdFWmerNzeAYJgOjGIxzj9MCaQ6EOSTjO/G4PBuN6ECTFQgNt
zZNd1dl9l1neHgUPgh67e9bjbn6AC0giHWLQAwoPAqct50knGHWfp2P5XGSEXPCrGsPJVmNPtQU/
nJIVVXjdjGGUG/JM/xcfFzWBqI5oTVHy0s5sh6j9hCdbbeManxf4I//ilNZ8R+cIVgUuXThPAzim
zjliejBvRBt1yBqBCtC2pHeTjgZFNd5wg1yDvS8jk2+98g9pv+DxmNz64Im12Cfh/i7CgrfFGAvz
JWGa2AMSCkD6uMHokKeX9xO2Rafx0oOR2GDny6JkYq0JZ+sDBXlRJAE+DfHgMjhR0Ush3AgGmpvt
7JG0qpRhP3haqU6STfyTnzaSnCtafBYci3FfLLp2Ybqy7EtCYF+cynhh8AJKjCVH3MVE4WG0wNZj
fI6NPt6nkzNttbTrqD1HxyV9u17g0wGe9bvmHfv79DkyjblxG3Mi39GZDiwEi+AH/VVDBwGIO37x
UKZe0Nyc2CuRMUjkWyzAulWlCEri+AJPk6cZ+RLv3NTMtpj6I5aJiXtaZ4W30xI150jvs5sE+RrE
hoGAoHTcl1YvX4hThBtdl+2lB5/I2qkV2yHVjbCEBBuM2ZI9jcCJdoAil3vUtXezXZVbwwPpUasp
vSL56o57SLsaCJXboROO39u6XA56oT1C9hDhYjKlqY2qv6FYt7eet6T4MjAlVEZ6nr0kv5exVd/Z
Gai3kjHABhuwhkXaNTYMsqItEg4F4w3XyZVmQ3TpGcfSXnjlXjDuOs8oAzYa+KZNVBa03K7JKZza
n7qeAJx3Cj1Aj35HJf8thXAVRNlEee+zwJgFW5l8hAmDARdmxBBxvEQ5U7AqehZWza24fg9GAcIo
TifYWr1vvHgj7+YCNwpa4sW/ZvFuZAGtO4uy3Iyndy1mXLKK8ttHo/G+2112XU4Dp69Oe5ToIdLC
m5FKFNZLDtYkA4CIyQIhzejlxOVq2b076821K5zsuaFoDaVhEwG2JM8gg/a2NsFs5k6oAvKoviwL
vZf0m4965oFyuuJxlDnk6FlNW7Yml2VcgL9gp+W2y56ok4yrQdP8oF1/0+zfop05MociqmXY4Or6
qIzlnQyYr6NrRLyoi4kll8QIrEOMREhTSY+Yy27TRLbXnoAZE5vGXaojdVaoeoK6Iv/SG9YZHgO/
jYW35dCNefsYk5mxXbpY7h2UEQdzVXNpnEIOO9LIiEKnt6G1G4fJsj9QDDAq7JkFpab98T/l7v9J
uWtATaA2/Oe17u3wgRnps23Vz+XuH5/2d13sCmkkAAfDuGtCVPh71wU614K8Q1X7wwGw/s0fta5O
Q2YZ2APQgFHuGhaC/z9qXV38tqpoadNMdib0/PpfqXV/tZ45uJwQ7QqmY+vc3aNZ/FnybTdoIIdm
kKHm2V+I+WRZDm8h5oQHcMulTEYRNBnfPVMYffvplfoTvfuvbshfv/Qvcncj0908F50MfQuWUpww
TE8ysNd59D5J5tf/+qsZ60/ys7p+NQLqJj4JG96AZazdw88/aRaNGX5teE6E3FnHWEY9ueIQu2fP
yHeqgxQUZ9me37QMi2LwQt8d3YCyx96OzvA61hUbtWWdXuW3qMmu7Wzm+CtshEfRi5SRwUvVp5u0
zk46dJV/5w34k28f0yi0PBczp8ED9YtH0GiZBzsoTkM77zFjmSZQSbaAyFxHS4UapEZ0FwpkVG7O
tz788gcrsm8M7pHtCAuWYad8zRfUIIgUvmhWdU5Ma2/U+XvsMj5leX4FPCPbzBMfa5QkSVTeskCn
BZdcJ8wnPSWvYmmIR60SVstEvT2gYt0y0GODdqdqEWRQs0Y7ubfs7BCr6Z2h8iafEu6HcjtHYN/j
NL9zubWaQuFe/lAtVxYqya9zOi97Ah7UtjdL97omPwh2aUOSijesVHEHeHG3oiI9fpgZHJBFXNEe
7mj86OTijnUBwF6fr2zKsTgbLMjesrJ397WfzXBB+vbEEpAkF3bY7ga/W7ultUtvVOuCGCkmeSCL
kJwxN5q3gHj9Izmj0Zkkl4XrLutupzGyDkvZMV/vau+rKUh9j9Gs3Xg2l+HgN/BzK8dh7x75oT0l
xntjL+MnGDtxHPXTZCQTsbULA1zhdd0OvHm9sx1jOVYDX0I4SwCXU19TYpuPNM2Y89TO1YRmnp0p
40i61zuta4inVskxAp6eeslRWv5TPMIvcfnV2J1q0QjwCU1GjuFURuSUlJ28ZuQTzkP96BI4dP43
b6dfHUeYjCzaY5Ma3DXwODEy+vnt5Me1LhnB6uFQFBVqZDCFVYBDG0kvk85mj+PUfExTYz4vyaB9
TSDtI9BaNxPkJdWEUJlPwMCCZYyq0zQM3udceerBJNd438FmJhmgE/foM/MXyELDtTtH4vuPH+H/
tuPt/7uBosFAg8PxX11qVfb2/o8X2o9P+fsYEXAPF5eB602n2eZg/2OMaDJg5EYiFeBXK5xp/Gbr
oH7Ir8cQ9AMb87fZjc8tiLOOT8RtCmDB+Ev3mferfZf71MFPt4Lqbf5b4UU/P5irjNBB2VPth2Hs
Dq2eD29V6gDa9uADo8nvTpMUalswK0fHRGywXVbxVTvDDiRpSQ8G2/aevUrZH34L8FpaxObheUGe
M2XzScurBP6Dhg/YtqOjVdJIxfPy5gwWogPq84F20ZnLk6YV1pZ3MbkhNbv01k8vQMzJyF7SZ6O2
Phj8B+YIBzLvGrk3IJ/S5gjE27Lh7mVNmoZp5upPhZ0yByLPqjiaC3FtTa6Wm0p3y29DzqG7ervf
VQpJjq833XCda2Q4a9hUGhQwz4YYAb+Bfg0shSm29aP8q12SvhEvfNUIeQnrPOB4H6MwR9Bxdfxi
ld10pVW1Sbekj1tZlXcNgSkICJP+mOmqhGPmzTeE03v7Gn02CoOu1mcUx/Nwm7AROmi5U53qeBru
VdnZc0Cjl2wAChtPCoVf3M7zQ5qZ8aVLrGljQAzaa6V7axCK9tT7Iv6URdq+ps5k3ZWC3VktPP82
9aQZzPTRYelE6QP+eOPKN9Rz5o7yNgGbztEh7bWVGk49ac5nqMjVM8GvYp8KscIxySri0aCCl9nb
JJv0kiS0EJg2gCptahYzD5z2JdO25DOy0FctaU41NDjy1UHABX1ONd+cJfquMuUtW9efXxKDfNqE
9MSBgUra6PodrQi6AC/LbzN38l/XecRZV411MssW0cmwFB9WLmDh5XR6qyzAvihGHZdqadYrGhzN
t4ZkUJQbUAS7mQFFnrTTEQptdJmQpx44ydGU6B7ScVKVr6VyP6P2pBuvYKpFCGHLf+jYUh0Lu+u2
5Hi49sbIhiZcYgXNryQEBQK/DtqNlWF+8ZMF5Ja2qCdjKXQkBgzp6Cjli07U5aVQRArFYhRnZciR
2VzZBrggpu1AgCZqCcxba4fW1iyumu4gkoiNN/Eu7Cmd7wA7PEC4TKekIf0dS8U5SGpjvuop2i7w
yp6Ywcitj/hhB2zH23GHuY9+ro076MPFm5NojC46srDAt2oRmtZYD7PW6RBrKRZjlaYFsxrqQFNC
bh3ozKG1rHMgUIrXpVOT7CYHd19glkAD5d5UM+Mis2LF7y3NdYQldGtnHgAOZ7NqI/dLTIwOrIM2
iwI1KhbqRv1uEwunW0V6im2EIc0g8rsGDu6uWfULeQcvWs+tnYMwYW+Af4bPILwveTqrkb16Nd7p
qZzunar5Yjnle7XEkNa7c1e538jwcm4XvP8Hcuhhy+tlxOGz/osQvc1g0onpaZb7qbPuPT1VgEbx
s1JkqofYh1BtTkgpiNNhs50iu7TrS5sujN960nv0wdHua1CfQJAndtx6vuzb3BE3UCT7oFaVTnBr
3B/rzrTCoW/czx4SB8Mxx7xuB5M3E2V0GOG5eCANhFd1tnCAKH8OunFkm2hDRuE5rkJPVyuZbWnm
lxik8ZXpZjS9ORUOhXh9nF0tXTex3X6sM3WV1zZrUp067qpbYnKbVw+pFy/2LnbJlo3MGE1QpOZt
TLTFRuVYeWz8DziTk36f+7IItcglzkMNVK2DjdAHfgNZbXoi+eiaSMRW6EGJSA+RaB29sLonM7LO
UYP6E+x0OVdHJDTeIYHp+s7GvT9RqYnA83Nxz5sc1EaKxXRDOeik8Aom88n5nVW5YivzHwTLyEpY
xeOt8cIkBXKejRl4L/QYH7NfPpmTJAFLpXutwEDHC3EorNrdcmHYr0Sg3w3ddFEpPzkI3AT3C4ij
FbMJgiZ7xd1HUlLhZegPewZiNWShqC0wwmagJ0OzTTrmw+A73V7ZAZ7XdN9XtrjtcGbnAgN3EjP6
BjTOnsw9D5kNCNiElpqb1ilbwCJbvvdQLSO6vh+0ULuy+gfUcem2HKaP3DPzw0Ss2DZaXd5Vepex
HtnmGQmeBMW3QdoJa0d+2kK4Z9TsTZsT3F5xpTMiHXQ2VLsodO6S0X3KnIbZ/cg/gNSyUa9NxrGx
iaMysw+jEyHGXtmoohdbyLAt0jWme8tKTyWjyr4XDrph/vWg8MZDNMZf+pxTv0gfTdO9GGUMjwFt
WFnEZdixDNyQjaUFyUprbVdu61zn1hWBtjKI+Mlf7JXv2pkZIAlJLiO3xKHqo+YhLsDAKjlEdqCP
Kx22XEGx84qMlSs81gXlfarBS3+WvsUiHA8S1yAz92LFzXY07Ft36fz7zkFsj64jdMTwOoCqjbJy
pf0vF72MaWNIVYp5pwRwoHt0LDKtBcINDtVZxwe4ymEnszujcg9YECAkTkDbWpmJk5E+lN3ZppeZ
2QAOYdqjL/0VOm+k6F5DhrQXb/ioT4SFvr1zqpxXsUCV+MAgTbKs+cTyMX1PXRVd5Iz0dYps40Tm
Kijf8QfWt66n/m3hGvrMFuExYgYCrP/gAStnllxv6D8I9l01DD8gwohwAApPRSrv1Cjw1jd2e02S
HM6JfpXLofAXzxw9Gd54YiQ6WQHhNtS0FyvBePEw8AxIDwOlJ86DlifzVemppdyj/Y6SrZl0jw1z
uLmT3o2n2cQHoyN7Zne2BE1NiRKL5rNo5vmxYb1GjIXr7Aar4PY2zdK/86z6eXbHW8ZocHqr5NKn
LSsy9A29ObzqffvU0r5tzCo375irEJq2Yp259uCp/mA9qxX7nK0A6JqygoSqb4Se7lHUH/CXn/rU
PUz9NECTteh0FquMS95ZNXaZkQOjy8Ka6L+dLqDlIxVhWH6fi+QbF9rz1I4fHVm2q7r0glpW7mLd
Irs3g+RmM57l3qUKi5KQ7FR3mzmLum46tltRB8zRVJa8AALbFXbEaH6aSRX3E2u4gCQAg9fISUdA
mjXbDP3cI8evd1YLCdkbWNNWSAmPmVGn6rSSi6jz9MRqTCN1bTIPEu/9HVWceqizAtoJKIFb3YM4
VGbsDilgy9kaTgO/aJJch2sHm8VRS8jl62yblMzO6LaMgP1jZKT9VjdBEZvaKAI8P2+Zchpk/TBf
Jw+o7RxJ4sZcGLuyc+ZtvST2uZsi/ZbyWx49dzQODUYiYOjZqdRm+WVAcbZap70tnO0EPLDSJpB/
PQIm6TU3fqTrOH/rN68gH8D22wZAXBltZnclNBCO2Mn+VTrtmxxrmyUmcitVrtNTROmR0LUXOy29
16qEUZHinX6qLNZYztrB2yoFls9L94l2qwRUrDt3k1JxMGcVqUOsLboj0vMCxijZmoClDubUO7yo
ZXzGb9ncuh6XVEyyqdlXwwswSHlGA9l+gTSvb3Nb4s5kEalx8KzutClH20+0B89OGrE7KKNgin04
6m7uB4ttQe9grv5UqUTeidjwtjANonuzbcggSOPmihpsuq+Nonpp4xY5cDmhYbNtdW9ogDPGtC8+
6lJ39/Dpq+8+i0fyKBsr8CQVdANh/WzoFr7QhWXeG/It/LzjkiF7nTzjVAuVPsQxVR6bJJk+Y10n
4K8gjxMydXzRCyH2sVmKi46KdYvQkNiIpOuuojWgRLhV/LUiMmODJ9zYogIuPyzJAhdxtf2sdBbg
Qz85G4fdwReCtOL7XGbFQw1N6Th5Hk6jTE9HXnoDTjadQMg7Jgu6br1cq+SOnRzpmXZCwdah40wY
zWjdPF2IM44CZ5LVxeoQIpfCdkNioj8n9glItoDZ76pCUbrNZrRjDuZ90Wf2fHFVmvfT4nTh3Ovy
FHeZQ/3p2AfV2/ZXWlYZLmXsfzZ9ZLABy+arRHn1jROn6WXUk/SAzZGC3KoATqAn4NawCK+tpKdD
gL7NtakKkXOL0EuJT0413a5YM2cXY2lvSpEYQLZtwH1uXxKenTM+bAz/qmeMebanNv/OD0oWpU8g
EgYjhm5Fj9VmKtR3O2LBR3zxxgNjwPbaQ+nSztC8fX1ljcacn0UVgXSJL2NOKLPU/WujUayOPXsk
hMdOX1ItU9tpIYvPG5cAG7l73Qzskewl21UC6GptdNNp5d0gDag+UbrtsaD6J3Y5KozahL0k7p3n
JDE0EzUebpCE99y2GB1c3pIN0jC0+tmiBAukYVRPMQV8RC83PsfCdkDziYdMxdHOinbeFO31XOZH
0r/ussnZuvHE4aIoyYXYabGuSFdZ5K6PsbKYar7JrO6dx3NGhF9mF1Th8GMVm23Z4wOaABrv24Uh
LHrLqsEYx4NaEAICuN25Qdb7ZUnEJeb8DAtIFmttkO5qCfFmbDQjpM+LDh7S021OqMXd2BQpUslO
HsbOX0LNzsoDN0V21Ed0s3IsvZthUda+Q5wKeTG+Zo0moEW1IgYjP+jTBocA5qSckOOtXkeEpyws
wwyD4snyAgA52QbbdREjUGTZT+F7SOpz7nl4ReNxOjPLgxfgafP40NlZ9aWMDN48ZqJHhKVVi7aJ
EhcLqEjkLAIxZuzrdO1+tuyyh0NvEY/urRk1lJn2iKs0ry5Zn+nkSFTtpdEK2lxynAJ449Lb4B3E
nK8joBrMJXo28M6FcqRv2fQpqulNWZEGhSFW3+PV6/eIRZ37tprzo+qd4cpGnXJvzpa1H0aj/ea0
mS+2qHnTL3Xt99/mssRs2TS8GUcOT14a/xRBWrvq+SYPvjGpzehYOUERXc/EurWA/ovpeYTt/oDO
0rogWyCpSK9qlt6ivTH5nd4ZpcE3g9TyOTamz6bIjJBOiJwRMeo3BHzhKJ8jP7BMc2RuYCM77ipN
v+G21cPSQk5N9VFulNLOOGkxTYOB2BE8AhlCl9qmKHTU2AZ2fcp0HAgX0fjug1vMWuiXxkTBXZfX
ohSh0S4gDGICbfGhpgdHjTnGUdw+fl8/zk7+1mIdWBSZqdmUfuS5lV25siUvrDUDoWYJ9n1+6Wh+
PN7Drqmrayy6X2s8UEekzMnd/5O5538jVLrJ8PBfStIeUgLIyp8nmn98yh8rOg/5mLcODH+gvbxV
//j7RNPzQNcIxxDMLvUff/43MZoHWJ0/8E0wrfa62Pv7gs5wIdf4tPqmazEjXRd+fyHbUv/HDR0o
YsvkuzJWnaUFE9ZetWo/cVYjMxHVRLrBwRoT7bi0E9iUOr22IqM5uvOEWUdicbfWrJeJ8NindMrj
IykH2NrQ/Wx1vyML3hg9atqODo+O/x7D13xVa01/Xbpz8m8Wbet89T/3bP/1+133cD99v7ZG9mLq
Kf3gp8V0QEVXcqsxgQNlR9VI8hPzIJx+pYh+Fwij240/6z/ZJ4LD+zdf+peNIhPPsqFCUoc07lBI
AXwlIUR6O4AidZgNWr1d/IL6Qye9MDfsm3n1MTjSL7e+67MZo6k5qKWy4bOQEIpwmuEtgCBGzayh
Gl49x5xvCjOKryPIu6Qw1SQRtpU4dEt634xZCAnlKc8EHglE9KxsGvrYV6K7FLEdcpK3dVJyhiEH
fBi5Jc5556LJLuY0LBqjPJa+qK9tMuqv22qZviTDRHWtNfU51QsjVAjVdm2DAKv6psZEXLF22Wt9
pq1xFoznJl08WVM9X7k4NveFWXjADuJ0l2EbzVq/g7JYG8MreDexTyot27GwWZMoJSF2iV2DF8ie
yGm+GdR0h/W0veqm7VRor1ZX+aceT+JRZf5LtxjaHlPVqVUkgKvEMc7ZEl+XJUCXhlHO1lNZu7GH
dG9OGAtGz33rS+5nWowKumx2pE7TNsaobmaR2DtkaH04rOnWGnFlx2acoZcM1FpRkV7qaEGI34pD
G9fgXuYjmTxMJNtmiztjY2DKqDN5dPTIRk8h5I697rxt4pLgUGKY9wxRrNCYGqKhZkofsKN1yA+W
oKWE6mS3jvg6xS2xWDESOMzavWI4hJhq8M0j7xrM1MMpUj5rX89gKpnMj/OogUAo5x6kv7VGoQ+7
2JoaRp8a7I55CtM29hn18ztJ6jq58Qcs8KNpFmf6Nha3YPg6z4muvMoR+x7IwJUF4Al+WZ2Ekpld
AKjJDvyhWfGV5vJIQ0QIaRxq9TgihCuvFrM1twW8AbyRPM2zje+P8IIa5o9PM5wP6jTFiWAs2AM+
GMt38DiPfd4HLRr+veSO9xPvUQh/2zkDCUQFr6WNeISY6fHgmD2+O2mSCucaxI0bHib6gRAVP8JN
5NsHm9/mmpu7d/6DvTNZjhvJtu2vXHtzpAGOfvAGN/oggxQ7iZQmMIYkonc07mi//i1Q2UgslWT1
xjUpq6pMCQjA4c05e6/tfpBSUUu3pwBpV82Zp+gygprAOERFRo+24cDnB9ke6MadJU3z0oixYXnD
OGwIX+tWVa39y6mq83twDsZm8n3OJ879UiXc5MGIlwp7/irvsmsvGCGBJxwl0JDqtYZ4scE7vDeG
du+S5bV1vPgOjzOONHannN2PwCvu0oBzcDOND3pML8mrXpPUd903Vs0RHZuz329H9WEumnd+g5nS
N7u7JKmD96LJ0x2Ysi3aruc8JerVi9srECCbqZQPysBxOYa7Jik/m5bcaloEm8K3ena4KllTUL1G
hgZVbIZZkzU4yENwT9a70ScWO5KCunRjCAKbJn8XR56sVpVdqbOFBoTnLs37Ef8dmkVxZygc3VEK
Y16SDP65p6e9MiWeihUei/A5KYAwmfys44jxnlcFWGNNE9WGfV3ja500Zuikg2jd2PLQ1mCNRC7A
jAGo37Rl7t4GqIdWBXbVq8xsukNhxMmFzbzIptd8X9K2XWwjw+WED/WhDQMmC00lzCbbbY8Wi9Jm
4VOWHqRvnsCLoJNtuvaugXR0g06xPqQVnB+iXvgXMbbS8+LIq4vWPHlN9A5G40Ur7GnrevnDJDN9
AeOD9SF3PnTwo7Zt7YOFwlJHtC1CCkMQ8SHIGcaJTK1I4yOElIFAIcsRKIRKpcd42QJnBkmumP7T
rW9Slwkr5T6V7KD8aGa+y5x1OQfZQQ4E4wksf9AgYaQbVvXiozyE/KL3LprztcGB6aDC9KNNZX7r
pNGtn9qU1ZPI2I2cNLGDYQkcjMw6lnUmrzmj3X3XbP3JOrZ0zt8soHRRhWux00OQ47+hhFuGk1hG
rqwDDJPbKgWTUBK+3MHe+MYz/LcLpvVjq/R1qf7hSm+2FihBZWJi/j/0ceeidQ+/WjPsCY5FFcZ0
7+wJihaj61ircJl5a3+oNr/+rfaPMoJvt4D6ybGJ0bChdb/p1gaVHDKpZuoGfemjRHWEsagK8ZoV
5GIaLTEMaWPl97gz9SFH532NeHdcJbiW6WNEzWU4aKQRqqJLl7W36E3CDT2zhZxtSXnt+nN0yIHf
bLK+iA9ppOVBICHeEhnDJAiPrW3M4MBR5oUKHExfJB7rsi1vuQ9ji+v0+de/92fv9vuf+0bFQ+B3
gebGtcgUVtGdakcUgBytNpQ75/WvL/WjvOrPJ+ubBLPzH/glln/+3T7MGihj6Xy0CKr2X7QPEGBy
nU828q5N69ZPv77YvyT58AYhOf5zNbbj31/NSDm7j1UmDmSCEpHs2o824LVjNsRfrJQTZuPl+qZL
iuQi0GI+aAN7rMhrF8BQrK/CrDtkvMmN4jMsvGbcZarTF1To7XU8oh9KU15h7g7mhj6yuxETybhm
lkhQZC3dgtHib6OStlK2cRqXTUmzbE8c9im//p3Lz3jzbbLjtzw0L0HAz12G83cPFfyIZxqsIwev
ATiRexEyYhs8WBl6xk3aG4BwuqbIf/Mqf/ah/nDZN3tqoYk0Nisqt4bj8mm07hc/Jyl1aMksS1vT
uJDTeB3Rlbwpll2OP+j8Nx/qT2+BSQnipxXgvwHH+cMvL0xrVDU6+gMhYi0lJIHkR11hTIwQnboc
lmsPeKPJftP2PjHrN7tfP/mfDGeobf9c/82X0w0wKy0ZOwdddJ9slY7XWkb2Rdl4DGwj/o28aTkp
vH3PqPihTeK+Q3r95tcmQ2q0ukLm79oqO1lDPmDIBzjz69/0k9mA5/nPVd78JmUjuijcyjmUmoP/
wA+kPuFsNRXp37y+n11p+SmmCFxOq/8yGdRhJ9E8mwvxGDdyYD0WXnhknfnNL/rpMPn+Qm/mAc4f
nUYb6LCa0FpOB/0ug9G9D4FSYv7v7Ps81h4W5WV7DOyAo0CN8+LXj/UnR2bHxKbGJ2oCkOXs/uNY
jZJxaPw0sg+kEdaHmS7MQy0c65imo32oYbBWdZhv4p6ec9pPbN9isoj9BlqOXxrPhp/m+G+AECy7
C3mZx+Wj19o0yFLxAQlC9ZsDM6jvt4PNQZnhhgFFCe7YfTMMDAvgQDm33BpZNwiPKgIJYRtXc4G+
x5ivxtAbt6gPDp1KwDYMab3iEGrs0jFn+764NPqS6bTt5ZFtarTNaDiUNWcaZdCJ5hDxUtdDfDSb
ki0cHWHCwhpIEqAw+ymgZmUQUlrPFXurOmqoRn4lhcFaTUNTEt3VOyel1Lctzn+ld7+xT/rI6Cgm
fTec/4VIv6/YUnx9Facfv/zf//P3n/hTe+f8IULPZUgzE3ok/TFW/tbeeS4MeCi0f1Wd/haTu38E
FsT60Fqsmwt2/u9aleUsij0MvoQLcK5ZLMH/Qa3qxznad5Ybo1jG6uB6NCne2iaFj2LcLQZAUXCQ
kRKTBxqBa13jKFmcJtl48d2T+e1O+a/rcUGiZ02ex5sPp4htlXsFYKrZUdmKVKYXaCUQBwdUxb++
EnvRHz7S12uxfFHXQ/no+i4O0x/Wv27RHNpJMmyRMlKBK10X+nKcWEcK+/VVHsX9VTfb2R6KGzau
pg2/wFzubxT18SMyAqghEOStC3PivM7BVjmUmwnbeXSIYWdxCTz32vNi66IzhTpPJHFHa2X5ESh7
nD5IFGbgSugFqq/Ggizwgtx6KINW9zvbZ4N8qZ3WvEkLoWLkITOGy8x3vmovqag4DFmPb7/oXrqR
CLrYSyO4G5RqqqiYb6AD4M/CwRTvm74D2dtpmjDebFw2Zmj2h8bpEBvlScitdH4UPTKFwYgUVB2Z
PePCR/8YTD7dx9jw9zUViormUwZ1owsHjq3KaUW1sv2+fSk5ol34KID8mPFg9R3dFl+e5OQ9kOnH
XJYThHMxx6CtsJ/Km3Es2MwJvXUis0c9Xj8ZJYGmTKG3OFHlXrr+CapsS9sLgSEcvGZth0Z7mthm
rjFn9evIRDBGFb9IwEsH4GdyN99aBi0LtAtPKTL5pdUNbxBtxor9P6ed3mdjkWW7QoVrcPs1jKJR
b3GVg0yU0z6PxS00yJUSxt2EKo5TnEJTPiZ7isUOsuvwKBoqAnltc3lQpSvT4mwBZIiiWMZ/QdNH
7F11UIUO133hy1WVKBolDhcXXolaP6A332EH7qqWT0fGz7HIr9Co5pslM2GIGOqWQlDhSGNPieC2
yttNsDzR3Obwg0jpHihqTKyr+OJ20cnK/WNDn39dWBi/agolKalHa6Hs28jOxzVt4i+ZV+6QXoPs
7fTeNrMXU3gAXaL2yeV/9FFwjd/gJQ/TU6nji7jOLWypy1qRNPcx6jdOM6tg6i+TKN9rtuBJ0aZb
tKiMO+wV86qJULucMtthA585kXrXaGCSRvUk+4z4TZsTnT0Ul2Y4fvW6OtvkY+vt8pKXhy4XDyX4
KRzFQ7gFlpHTy5I27xxiZofIUBALfW1H4zmJ1OMY4y9zxbB4yjBjepHxgLTsNGW+uZ5thwakoaK1
8El/yiOcbF58GUd5tfdagXE55AdEQJQjLlcM6TlCukGUJopGXDRrZAwrp656VGZc2huEcSQSDlip
cgc6aMltUk4hYh86WUYB0Y5qCPqFRswP2uBUHSn/YTD5pZJUh17yHhyzPqOjr77twf67uP5mcSWY
j0qsY7Ll/Pfadr7ZZ61T9S+sjH/+8J89IecPNpF4tnAMQaZgWftrpQ3MPxDdEUzwetxdxOx/27YE
cbsmCwCbzhCFAQCDf1ZaH0cXhAu6OCQu+D4No/9gpYXB8XY9WqxAdIVEQBov13uzHplRxq4x60f6
lVUioImjLR9URuF2CiVwI7ueUSbRrKWE08cLiNf3a5BOzihGY6WxQq3plIuTHEgXrLqKbnYXlWhW
fL+4z6G3PbhWlBzjkUXMK2VCQLZPUbJ1/XKvxjzc+jbJMoCcky+4MmfAuEStsIVM7OQAsbH4MMey
KCkHy+CSUoxDGKDwMJqT3nHrjeis8Drexx3wsdk4FGXZMf31pbvt0rYlMzuU6xELithBNOpyEGix
1mu/QA20l2JortNqQQlDwjXviZIsnqCqxfeVqOTGM0V2xp0cX01FA69hAmx5jqvQ/TQmjr/SGnbF
IAaas4Cw3UyE6YrNvUcvwcrFOgNkdjMqVbyr5zwj9Z2nI8V4GZuAAK0yEbgrW4HYi46908FznSvP
OgdpMJYrWdG5WOkgzU9N4uXnwQtndPFxEX6JKyN+L7yMOmjmhxEEH98Q1iYWvdyQ4o5PFZbZioBu
NA1ZLC4yXgDcCbjY2sv6S3DKqOFkFG18MVJ0ntlWQM6XoEvnsQGZ6WD72tim51913pA9p9Ipv5oi
wi+PypQNRyN7JIJmOCkQ1qwttauQbdCSFzyHXsON8ySY8diwK6LAvSG+0gHV6zFEvJyQeErAeUdp
AWdDCg4ZYbCHq6BKnrCHOzG+BfwHtuI61mQD1M3bATMSJ70G77jbSsSKUYt0hE1EeigSs/uC131I
draoxkOXGuEeYhzCVhF701bUHdp43w5gcVHYUe+1Y4ubPEWzFHmdekhkUj3HUJ2Zg7Vs6E3RdqrX
PiC+z03pTh9VmHAAclOOcaswa+tPVqcRfs9UdfJ9Buf9nspreOM4lgFTrB7CU5ZX6qZMGhDSgUws
sQ7HoL0NPDl+UI6BfjUqTeMrC5OLC9uy2id4ouXZa7xqH4wT/7wS4fAANdJGqqhLVizQX8l0GLAA
G4QuJRJ2BryDoRBQIzShAnEyDB9Cb6jBO1fz0bbk8t3mCHwxuPdrh9YSJAULBUWD9hw9qylw6vFx
LX80IpCHWHggeWaqoEA6vRccezf1UNW5Bj0CpxjNx7iZzCePITdtzaaa92FEB2wVwG6u9vRtqLzZ
DUoVZbboCP0mWMSOyIxpTHyNCjF/ZPO2taJqjbTM/lz1YZCuzTxrz64/lrjsLWf8OAL13TRdMq4B
EA4PMArqU4LN5pDj+LmQZYFA3I01/9inZUU7Rj3OygdsQegbrbkAqm42vuYAz6iGbKSDxBXUcpdP
Nks/FvbDNBEaXU7ztgIqSuQRvaDaTtp9B6luNQs/+hCKDP4HjMlw4+WhtzYs8JywEdu6QVFXQiOb
pZNh3eRMuy6Hsay2Aq96STZzk37FG5G8n/0kuSRPgE5bo2GKrgxHDE8GH4q1a4TdAm5rmu5jaWcJ
UmZDGxA0U/JMVnPpNjdIvstpJ7sM02KJGn5p2Wogby4TS9d53TWQ/InQFFmhdSmVelILNCEt5Ze8
7DPM/C3zdF8U3mUS5ovPvSMQG5FQ897UIrua2T9J2nZj/+iQT3qyoyT5aPU+0nMCcedtJ9h8MWCj
gKYZBKV03bAz/6xkUBxi8qrMJnXqdSAhIrGUuEvmStF8wSHEqcNoO5hziJOHq7TrYgyxLnjrjbKy
TKGy7QJYy4gtA1RhDaDbjn10gGslptrKZolQQsJT9Bph6qqaa1YZpy8Pbdk2FxEOrHclTwpKNmZI
ZOZDkes9e06VHCAei52Teto8lEj8gXticye9GtkdyPaOViK/3nTUhqHZvIzDFFyYukI9RR2iWwXg
1q50WMh7afC50XlPxw2q/eZj6iNTX2H9D2513YoPE8YrPromFyczqcT7sO2bJ1wQwUWQcXQkUUpj
4wrq2H5X60C+w8/iv8dRw3EnRMZORUj1hb2baisvKUz3V5OvF7PmiK8qtDoTV2vlWy9mY1rBJXeY
2BuvdwuxSoIp+KhHAOosUEJd8d265SFyhMvEMLjeA3NTe+pLFEVDVIkdBWcfh6xIiFozWppahZEa
yRqINq7QpkpP2RT5j9PCESwgrLzLUVbRnkU2FA5VesN5XK6T2bLI5PKqtVUlzQf4pPn7OrTrjTV1
H2vTtx903Ts3eTFBG+GcdYAbaj40ZmV8JayAgBjQdd2mBmd+BCcBRiKBY/hAxI9/41fpQ1WZxk1U
0QTKJ+kvG388TkYmLPxCNTk0wyRddH8hUUXb1JRyWmkeW7KekJpCYSyCcRkJhV0/p4GMdmPVxe6u
9xeH1VwNh8QCzqNjtg59McyfQW+mGwMcUkukCIXCyivUqax7f1sPXvop1e1H4F7zHlj7CF67k2vf
K9PniIDMTUUmyl3gD3IP7WKJ40nkrjEG6lyEUxlbOTTBZuoSWnpCoZi/8t2y/FQkPWLYwKKNvDWL
HDawbE3nWMQ1k4tCAnTsklQ/NEuKijTa5ArXSLvVC+ej9GP6DnmVw81Tjr13mIDQTpb9g8vScusY
hc2RfBjyaJXkUCkqc1DPs5UNV4ECxAQsRCVHoNwJsu5e3JtOV9/AO4KEqQlYOUHG8e5tjEjNunBQ
3g3KJhOIU9X1NJO/dClVZBIlSn4OMm2/eK4xbX3spjy/Q0YavrRNAWyXMZATfALBGJo6iouB/6c1
kEbGnSxu0nEJnHFtXjFB9kN0aBUhICvtVNOjmN2QHstU3+T1chByFCjNla0s+9mjBedRZ4iTD95r
rA1mx8q4Hl3wQ06czRuORVG0txOfUIMsRVZyDCN4GFCoMu+xN/giZZn2d37cNHudl9a7QSSiIVBJ
aQQHBtODJ/0YrWGhP8Z4fG6JLiZ9R8Qdsr7GbC69JOdbneMyO/mTPZ1arxn6tWEb3S0b2IGkriXF
J8EAQAzU0Gss4GCFScAZm0dbZPVNqDLIOl47Xwedh9qUZQsFidu0vNEWISHSwNL/UiHSQNCTiOna
oAZwEZLbhcA0HPt1O2hj62NH+DwjQrQ2QetMzzrRQOkVveetM9X9GfxtFuxCW3W7gTrKIevm4bbP
tdV9+5U4THFOO03/Mez9B3vJNxrmwX3k44Sd1KSyvoHqvOi8yvduXtwVqFRQUZCPFJYEmdU2OM5V
7vTGXpYuMiZjqvWGAFNePEnc4WNtQRVZRZSAid97TV6iuWV/IGu9OYVWVd1BnPfuepoOVxxeipOC
x/9kQBciVLtUwWcMp8itc8Nt1yOu7usx8HosjIUeCWeYzOmiGu1+OpBMj+yRxBuLwOI4ng7adt3P
UREToCsx9qykMbC5jGufUHnRBuG1bGJoN6xcXw3CUb7GMZkUW+gMMwd7XCntxit51yu3t1OxF1WY
wtNRAmpqkT3NhjHfmWEZ2bt+qkLWtqT/YOVQ7/1JFNcSeu3NnNr6q/26+LZRBuq6Iy4Ev090N0Eg
PY9VoK58KeuHdugvrSaOPTgIvfecVGkzbjEwJvZ2iTnHiO9N3aqfhf0uyP0BOneMmz/Bash7Ltyw
Q5zhIBvoumw+jn2jmDSaCppN0QkXroRFoFXXaFClZtpiOTXN+rNjNBrTVZtegaWqbtNyaB5baDVf
VOOGh0Lm1ofeWjIgxmmMj2HfKb2zhrFK16XU8dEIndk45gCZD8JPx8scLY6FiSHRnxIOyfjSWt2d
cFCU9T73Ao3OzKKTxZEAfWo7YLsYzYbUHPxIELMS9qFTDwQu6WRdb+x6gaJl8KWstekbvDqvUhdl
mVED7EH7FhsRWdUN4THzoSvsZXdjd9neNVV2CFy0ZeB4LXEXMzIPg+XJc1DN5PpwytZcwUZb3Tm2
cW92LZl2hdU+gkTDImjZJVtVFnw02xHOH0u5/JPFhTIYorpU5lSfqjBGnpvaSRWtq6LKnsuqaJOD
0Gn8DhYTPwHAP9VINLbZbReWL62mIM7nUu4HOHc3Rpsu6KsC52g7k4gSJ6OF4gHTzkPmRuHdKGD2
OsEsHCQonZdDqO7ZkEBmVRcqdQOx8WbHWXhVXn1QujHXRCSlBkfTJFsW5bR0D61WvBq28WYZTpc9
Uv4LzYr0nObe6K1luojAwQVSOMTHjUs80RrnnnA1drtBQ2/NlUcqWYu3mTNb7m3hpyWXSsCYa/N+
/lLSoN7N41jqZRtZ1lu/S9pgXXh5egwhEX8d47y6ittXbGEchbfErKDqcZczhSYFAXYSqzhyGqt9
BzzaPpWejg5YxeWhz32iWzpcJzusEeMHR9DO2IOxro5G00efsJAtpFdvLmBVO4042m0LZYv0OM0G
0B/gUb9WZ/5bzPpNMWsJfCYM/lelrP+VX/5OL75OP1fn5/Z/jqqABKt+7CD9+Td9q2uF9h9kDtMt
oT9j+5Sq6EZ+6yCF4g+xgC99J8SS4L4GeP6FI7L/4P9Zwjgdx/GpcNFf/hPfAKiIVRFGkQ+XhsKX
9x/hiJYC2XeNdz8AI+ub3Bn2RipoAX/b/3wvsFAKn1iVYtZOhtKG/ohvug7yre3ztSRRW+/oir7Q
Qa7Xc5ifK0uhTaoMa930IM7TimyLQKpNhN9uHQ3ph76iBv3dQ/5J0+lNi/v1FgO8PEuPiydC8+zH
W0TAShssZ1kLymiE9eWILf1jG5FieOqb5pmQz2tPdRsVC8rQHrXi/68bgE8qeFQ+Ge0/3gD5M3Uw
OAXraswN2DMbkdoq4FiT3Js0tVh3xDwBpkFAA3t6BZZS/eYWfpQTfHsEoIJNy3GB9UI7/fEOlEPc
Ei79Zt92MWGhlv/QgTJISX3+9U99o+j+60Iel3GAFrNl+fFC8BYU0NKq2cuK4HMd63Dn6/qJgLJw
Bys/XU/EYyAuQuPeD5DmCAmWJ2MUty4KeMwzgbG14Ys/qwwWXDsK887O6c4s38U+dMf22Mlq2rcl
hEWjpjaPN8NHl1jXpCn0eosujBZmJ24aI8FkHfEgp8b7SEHsaLaKFkzaRBexpHWDSnECXDMnV1P0
nsgZRms5E6kXuDtnHMbrUeUvlj0D3uyLszTIVyva6HoOwq/oeu/Ii3z89ZNbyr//CFiWB8cnsZBw
F0AL8q/lDX4nVPJnSYUybTBt2RFJKuP0MaN6GDjEWQA7TNcOjnGqPn34G5mOeFOX5sKOCzDdB+Aj
XqeRHy9cYpGpFYrRfaCSYksSEl6XYNYHuqTYoYk42eDq7fGKCveyBNq5k1hYqd5JXmgxim2RxLsu
oPnm+nxTtiXyDceGYFU1A9HeGdSuxciBc8eQ4lvj5N/qIQWF+zcPDZhS4IcUlr2lvP9mWJtd6BBs
lRT7kACaTYOfkv3B0gLswztUy9U293Wx15Eur+mjHXvbOi5mi65ALR6V3vHbBOSMu8o9eb5HAKii
BRQa/GhS5ujaFuAsEHZ//k/fteMBvKEDzYTkOiGrxvfvWovUMNue2x6MFkSjw6QQmAhcXh9069Xh
uuloNhpOIX73ff7kgcGmC5fIcMt0XzOXvxtlnSgj5PJtsY96RXmuCxGYQzj9jXjpR33MMpZhOdDq
oLPMj2PC+fH3yaIm3wZL8T6ZfLn3W5yCbZScf/MQnTcd/tfLOCGyITQU6NvEm7cPyNMnUa4vcEIU
L5EPfwEACZ3AWNpEVyz92dAYWFt6rbfSmhH9ucWLFTvzbU1uoyu7hHWHDqDl9OG6RBO3TebYPBSK
QZ5ng1gj1EsJ7gkeDM+YdhTrr8U4tcd06AgJGelF91YR7gx8xWTLmGIbVO7eHJnfXGuk7wAbmZwE
/jWVuNYJqQL0jQ5wZxjx550mIPFlRvggZv4bSVmk+C4qDBKNQqqTJLonYe3shFAfRo2ZT9RIqCOd
ncs5PbuZfVvWc3QR1cRhOfR6W9HRo+6SkKaBPBgjFacOL+iuqNKXNqZJ2gEQWWEWYLfahww4i/Et
YyXWOCbPXs8YdPL4PdakedcX4UPC4FgbOue+7VuZhsZhSHqxtYV+siRf+7DM3tOUq8d6scQ6IFs3
4yjFOofFA90tc545DTEtC6Ldlt6sIihqYzeNWMce3GYEA59kC1EUiqi469FKkno9sxDPHif0Inux
En50H+tgU5bcL+2ku1bkXz0OGDSgi1M8UDvoAyZuqthqm7OAEMU70/hojSffxPzs0MNYgvKCjUuN
e91R9Njxick9dtozZiVq3Qs7BFab4Oygaa845Qnb9H1mhQ+cCUs+QzAueRQkezY/NgsLiVCFzauR
qr3zUsKoyrp7xwZjH/ny3JoKE05XI60gyG8bjrxNwNn1um0yqlmFt2ua4kWGraDI2V+SmHE5l/kL
kgIoyWpSm9jhh6qhJB3FvopsRiBlYIz1pn+dU3dcc+QN6ZOjfxDUUzZRzTgnONmAM87+Kre4FE7G
F4QdjFje7OTHLy4Be8Q6N+4HKhhAAmNUFQJkFPXL+KVavGYyYbY20yHYgAw4AS0g2ALlAOXM8gw0
oXjXIUeC228E93gddkSvnT3brA7JZBLuFvkPpqbU37I9PXkZEpHXF8PO4Fp5rd7mmCvWr2N3Ghg2
Zh3CRo8KTbJceg4AWtFwsG/toAj3eirOAZbYVc4It1AckyfHWGpn7juSNE6pe9HS8/bAth7qkI1M
0piYkJdPoGSEWZZ9C/lVbdyezSdFoPlKjrysLl12GwZ/X1XW9iqgNI9IhNevTD4Xuld4kwC4nwYT
CTn9ToK9AwZtpdPz641zu+xi0GMSVcaaRm8XQKHbqUcEM+EOaiDzdY3NpPCT+qoKw2YLtEGsffpD
27nxj5Y3ck8lfg4w6RBjxv5UQW9ZZ/SDd6NG1lAygRkLPj700bvM/A6GLsTY5QXjjL8VRfNU1TwL
b8xeGo+7jprs/DpddH7+okf20UHPY5BZzAUUzRi9yFVqjzZya2m0KZxTVxwG2A/N7KfYJfurHlk7
vobsVBAeuAEcGmyYqPKtN9dPrqhOr6sTfC+yamiJ7lzLiS5oib5MZhTdUITelWyS1inn622rZL1z
R7FhPv0iCW9a2YKRK9l0rZRK3xOUxpRn8Pf2zLU51YmNO7r71i/Omv3VMp1NkgeRFN7166TUuUwv
JJQ9oaZiYSSwSlR4QJrCveW8I/cpVH9EVdl5MlIURja6naLn5b6eJpJlw+KltrFdlh2SMa9ffyFB
Wy/LJ0G20O2yFPieoPHAjb2+g1qE12kJvMKUZIXmwymIM3gzchk2RO1CR3DLbUUvkexc6+S2yGvq
uMCXwFDBPE7s5zLTBQ6TiYtnq5poHjjIsrbMJsM7FUyasgDfb8aXiR1l5k+R5nqAOxRd6OXtgLGA
nQXen0Y8EUsZ3+FYz+PF60yc0uLepF5cEPlIu5I1HhHUHECKrBuAPLH0uJNg3KlFfhMoXkCXkmKT
Vt28g0eDNw9c1SZwa5YfxYzAGOavX9YVO+em1LJ5zj0XqVS0JeV22tsR7TEqif16GWHjzL+Z1GzT
mWl2PaCy1VAx6NqQiQclOcN0EQYFPa/GDtlQLG+XVidpdHzhfsKszylI7ikgot7tORW8zr/FMjtG
wAfIfrPslUFh89BkSm+XNa4NuUCcMKrdjg/In/OTh0l9JZbOYka3YvO6He7SrNh20BeujKiY3mOs
h7YKMwrPPZsrc8zPr2NF6vIMgvpFzuNDZGYTC0ZLW6TnUS+rTRQyL+aaTyBqdX41+h7sBcODWtXT
IHI0OauuAFfW1bLZUeaJebdtej2kPFWcMuzPXX9HYmZyKOqKBW/SzTWzZHOZOok+OgMCKHIPvNVo
J9DcrTnc5d0QbHHaR5usgXpSqWEagAO4uCfrOT5DCUAoZ1tOuuutmuZCkIJ+88lbSsf0pWqqp6iV
msZMU342wny+t4usvjQlcX5xre8zarV7zjnpUvmznvCB4K8tJ8mO2Cb3iNz3jW3P5oHcyR2od1ba
iqjvVV731RFah09Lg2rVME+wxIYleX1qqmOwHODyhH1yM7fXtpU4iFlGNJJhfO6MYtxkPrlMyFxs
eCmz2uVQVC/nls+plkz2yzGvIhxjQ7eI/wggj7ngVw8hTPPr1CUoYVyCyCk6o99zAL4rCq0rCucO
exQ4pAk0hJVcIHe9WDhIbNh079Yrq5GkKEQ4bVGuH3XYPBUh5fewq+dVb3vDVW9X9AoCW+0prWdr
lAkRl6duRwR0tLBl+btnwh9Sy+p2bedeIAT9FBfx8DXX1CrLBjb7MBI1wAHqM6Yq5LLT525k82yA
Xl8lhkl+awCdgBJxsWY0kDYJQhyZIejAyKnAlkHe8SAT2AcjQxFpq8Hc0n5dFCA3BgZxzAtsE03s
qaQmbYEJfsbgd4Vl8jKtmH8B/ry3zOGi9TAJB2lJIzE0vtYeg88fYBmKEYp93hnPrmbWzRoCM/Xs
3MZALFYZLr7WsPONjJkyzaxTmza1jEOTJjC9xpKvdjn5zDlCXHNmWkq79MUaq3CXLLm+VsRMQ8jB
9N7WTrO84RmsFCuQI73oZSCncy2soPggm865dGbzqRdMFfQHnmREiaPMm5Yk9nDJlJDdlvhV6HAV
m+AEahXtFXZMJme4fJUZsEJe53HHyE+LpLGJmRxMy9Vbg+DUfVeD63890eNmZjqw+UyDmo2MNK1b
G/3HqpApFteScVstQ5QD894ZhjOl+GCfQ/dLAkZMFCL/MCSFWvBhL8t9LvpNi+rDXnkWx0JW61XI
NruzknPuVk9m3rFHds1bRc4F8GjCl4dEjRevGunU9GnC+vENqLpTPVmfOEA2OxieLdVv0b7vjPxj
xpoWQzduxBReENJurwCT5lfZwN0E7KoAxWl218t0Outyvso7Vrw+0PVucIMH9JPneipPbDDGm9kf
W3aB9lXdsq8xrJB4xdTj3IjWQ4sB4NlY3odi2PYCKbcWBb+VyLBrRAHJjdla9cfU5NlLtsnbRWZa
OIywumA0QAet2GDxTBGB8JwdPyBVV7aXsZEOD2WDMEC3DDexFK/SGPcqeQDraRF2Rop9Tt4k47Vh
2KKjqbxM0guRuu9r9t5KY1od2GOKuSd8Ms1WTdVWhyK29pHZqSPMjhdpJC8kfTy1LeuQku51bHOf
ryu6HjmELdudZhmrMcPkOnLwpsfsCThciy2CGQMKDBdwljVTTlWBFIdTyzxSIPIREW26uH0iqYHz
wtAN7+KaTwoTES9barmHDBBdTFQm6coW47sc9tRd0xGLXprW1qDJSxxhwu6OEz1ZuYxJjEbylPbo
hbHxBmSdh9YpJjt7UwjGMKnU86fS9pMvbTqCDvP5C4KwwyZOD/3/UXdmPW4rW5b+K4165wXHIAl0
14NETSnlPNovhKdkcCaDM399f9Q9p6+d6ZvueimgHg7gg7RTEkVG7Nh7rW+tO427yZ/Iq8yGht+i
8ld91vWvedgXp4xd73z3c94EwpXEFxxWX2lC8KkyceeN8U745m2BBHXfMKMLkgr6FY0qx55hXEV+
fwm2isZmuuyBi8K4K0E2k4O+LApRdavI0WAzI0EEJxFhDrqEcMgyRjMy3eSLSAy854XWzTErbnWc
zJnZSs3LIxWkXrUpsGLNvM5UnyPlXQQpcjBgnNGV4m5ni+v4ivrCvj3vvf7IcypRJXx88Hd+114A
k2tij3KFros3Sso+IYY1SqZ0R1Q1B3GLhi357S91RVMQfOi8nREB8in4ltsZXJo082WSWz059bNX
Vw+6Fxs8wxx0lzKjc3Vtg/7zIe2jG90cZwRUrrbHat8FcgAoTNYQgkoNmJbXUgC30eO5kXk+I2Hu
+B63uXwVY9uvnVbcgu8sgGi1xokZ5HghqjEnuMOgoOuXotTlDIT2Kea8hHhRa5nWNxrmnfMhjNGO
d9d5JN3CiC2aGhBOtFSBchG7c+YNnMgLGbsZ43+9Rc5EAOeyiduErsBiOPm5I5VkscyjRW4XNhw5
mH2FFw3mg70wKbrwnz/FSyuVz8f+3/G4GbDP/tCift8ARW3LMAO5LREJ9HN/fQsEAdRObKbdLnHJ
1SAnWe4bhvZbKWqmgxrSEilg1vVZbP2hXWX8po3I8R2TpGUtZOtzU/unrhhPNnj51O92Xk1Eu8Oi
HiSwv5ZAmzyw56r6vCQNbUJ9hgDgJDdln/f3fmXuJms0Xj6+u9/PU4C06y6KRg/NMSCZXy9DZ3Z6
BQg2RZfCIrA0DIilpoRuMDUoh5T7iNX145dcruyvrWeb/uiiTnZpP/+T0vLTx7cKEhEATXe7JrS8
TVZP3qaO+JORAUNqVI94SCNlhXEsnBYUYx+/+m+eZuYEvAHsdOdR1q8fOOeiAuDT2l3tUYylNHTW
BQeKP9zhv7msdJlNSOMefc93Yyp2U9NhStbuZiO2192M31Yl42dcJVeNn32aWvJbP/5cxu8+mOVg
A6a/bdDdX+66ny4rMbMRZUne7qI4aY4Y2f1tjOvnwJJAK2fwSODizEFeBb09fCL5mE27fjSqFUnm
kA37+PucPX38nt74vZaO6TJHxPa1OILf3Vzww1Ts6xXPWJp8Litn+vHP4jdNqPGysb76+OWWKeOb
O8vBkUsqFuglfxlE/noJOtPVRAjsdOfF7pUiJSMoNKfYlAhg1jpVM54i8QVD1WMF9ZlsqkcVC/S3
8XDZmel3FM0AD514/oPddJnKvntb8FNw33Hngb1+OxBEeTxFbkSws9/Tp8konkXNUtPpID4IWz50
ZX2SNMmerbaqtk3JV6RJeKqLA8ZQ46IK5GQCA8gkPwTtnCusqwHZ0qpNkm+i2TutTqq6TQnSugcL
4w4gndcukmD+oi4h/CPaSGRoa5eQiXVbMFtapo5An0G86FmytvMWhKK1nK113VwhccfZSSAWl4ZW
1jK2O29soGDV4eOv7G1sCbfIMkl2aODjPwRC8ObaoAkaWw6G1Q4dwogYvI7WbovUKhty+mJu3a4n
Saj82OYoznri0JePSWt1bWd1SUFIzCBxUeREJCq9qPRO2zgYmzb9UjfPKVVpk0cEDYLIXSmPTmiU
/3E9O9uFf13QXKx/JomQoH11YKpvbrseJZOtKDYpSlER+Z4W0FMbMPIosL/YdaXIT57vqI2RoI0k
jmSrBkBXH1/K9zc/kmGf28tkcq8TA/Pru4ABYqGAjIDDT+rCHLgwi4UrLnrxhxcy3680jA5x+QMf
wUVNVNevr8QUJKyJbK/QbdEVTKh7jCklLstti9dsxqyGk4Sbd+ku18SLrEha5s2ArFuHeR8FQyW/
ktj+NUbufnJzznspR8Czo6xczowFh3f62ycUSzROM9pwWsjZ5eOr9bsvjQEeA1DH1XG8v50cF5xc
TWOW1U42uRGYGRo5WIXVOm+oOmE41Rtr6L4v56WzE6yr5euUe39Ysd4vkC6yCOaJqO3s99tEZnaN
WxlGtSMV7YflI+LkMiy2FZx96Jr/8Grm+wkWtiJsvMx9LbAf3tuapzRaDyNTxfxyiLZpVU7BMpac
GzPC7RI5NHApqEH5sEV4dnSdz+VLCTT7UuQU97Yefa2gul9mdj3vew7eqKhSTuY5J3stbHpSF4fr
j7+m9/so75g8IwpiwYr+VkignNHNm5FHy9Ugp5cNykUtpQPR6ZyfaGVjh9SzPwwtf1Pw82rcEeBm
dJbtt09SRukwlDU0SULluYVRWXIQHwGZlfYIAqyln4r4iRNtd2hoTx19i0bl0jOk365tchOMd1zQ
QggZFAUtiHsaoRZ4Vwjq25pqtrI4YkosuoHltC/I9+mmLz2RwuDgZDJ+3rbusprFDv3aZfxim118
m3KiWhMwLvf2DDEhSkFKwTB4zHAQgsFnqFcZAkgnQ4etdJdiPhz8nbNMKHEt356Dm86zjTKDTcbM
7dtyEhZxy8uNOhOK8LOlgVavqmYgWJzb8OOv8rfLBnlACHgELjw0G78uGxXxhFLZLBvR1MobUCk0
BTi+bE0YuSsayyV7IIdczLpfaZvTzXb4os967KEjqLNAlnjhTvSIzms9gE1Go1MM6c1uKidoW/PT
ebRpV+R1+ExrL3LG3Vcy4Uv4+JO8L2AxelNdoGYCmKE7b9Z7FdmMYJXb7AqXzbgbIebk7vJI2LI/
RsrP1743559sL3QDjM3pH/ZM+/36i0LThUtrU7Abxlt9j++NqT+MRbnTCSwISlONN0ZKv9/L6IRb
tW8/FRWht4ggUzjQPCOpzQ45avSx4+VPDrLQoNPdHPw8tyl7FxMllwGQmOzPutFdpFP5osG4Wp/n
D7Q2DI0+XzgmGxlKPL/VMg1waLInNCV3er70+MalnTtX8a2qB/tJzxyC5v2T6k0EuoIYh2nRvIBK
fuW/JRRY039gys92hYfAJnUZN378Jf2mssCuAoyGTBObXVksV/GnerhnVlckgyx3NUOK84CAxFRG
wgYToSrmMSQhl6DFFEWunurAbakYwviJ4UG1hKfQotRxiFfKt5Bx67fZsr7V4sFOcLdDyfxUMNEP
oolZhAsOeffxu3+/7nkoJ4XNc096zbszUtdqFQLxiOQbz94ZyOJXy1KRTpyKz90oeMV/WPXeFc8u
9xT1KYcym0pGd5e39NP1gtoWTirlJEhruyIttl3gJ2zH51lMc/56O4ZCPesLSg5EI90yBuxboIEW
VJeNqlW6cRCzrJBq/GnxeLtRnt8chlmL521RDS0//+nNiclLEpIy0h0RmdAIFO9hoowgc3NEnMtV
+fjy/+bllkccpZJlcJh4t+2klQNhr0x3g7PctRiyJ42Cym64dzg7/ulE7L09IbiscawoKDoRsuHZ
fXOvStUzbVSx3EkJAN+PgapI4qmDEVo4oyYQ2wMS6E28mPwtytB9jHdiDysdnHlpu8+Dnfs3Sd/B
aOyuG5CIm1qQXGMPfb0ZeEYDuivNMfOqYucPZHxXbRGfCisBB9DnTDfnltyKmF8e9woJt6bdxrTD
D0lH7lyZNHWAGyNHFuxVe84wtlxrZTwEdoQFAKNlfxjDYUtHst6oqLZ3Oci4C7QcGhOV9LqZdHvN
sc3aQY3kGkJHAPOnJURdpNF1wTl5O8PNDDACA4uX/ABk+FdjUdsZQ92RJ+GZ2zwjs86VnNTChXWZ
UtHREVS01WPm1EGR5tYFAlUHHVjqJxgD6mJbVDZGkET1A0oLMtABnlk7y62hSce8B60KI/q791Vr
X0cyNgON7vDRA6hD+2c2PkOUsnatmzp/eNCst4X64p5YSCsmB2JkeEuC/c/3sh/VytcydnkUFN7+
fO6xMlQjRaMz2aaWSsxcv67quthhyrDXFvxwXK/LF0h+CR6SVjC/6KjrXeUmQZzJb5mZWFsSGAXM
EPDfMNbszaRBMvRYIAFBqGLLEMFeL12JrWfN2sNUDvbJX359UrbXmFceHBe1yTCCuvedztp0KgeF
lzTeHxpObzcvZH88UDzB1DEsNPqbW52V04Can3pbSc6zkhMuVusPT+/bxfP8Ei4KQweHkfEOxcIp
zKEREHkIBpIqKHvar73qOWZU+N6bFmb/pOHs+3jJeFsU8KKsnUBy6LAvy8abFYrUH5EIqdxtXbr1
huGXIqFJrxm7AcPwLEZ6muU0h1Lp4dpuSf/5+OWNt7W9i8mfAtmkgKefSsfl17tqwsreJ3npbjtR
aczlcWhWpjUHSbK8YOj4h8pvvR2r3QNth3SX2aJ//Pg9nBVwPx+Ez++BFjmgbCL+fO/NEZTHRrmm
0sQ2EakW9FPd7HPbUhzElxgf1cc+hgS9+TLqc3jFhbSvcBaGQdGaHqEv7hyQEAQ7brCTbQeN80Vv
TC5l3VDdyWqbw228I3Kjgc3r8nFa6Z7q2hYntxrqJzNClbAaC6KPBr+9sVxCDmSvZX8ovhyT6/jL
Z6SApWUKJAkcpcXe/OY6x62wa7bQbcdTdRosNW71KjJwyZf9xflD+GAMb7AAuadG8gMGj+Han/U5
yAy0IzMlWGDRi1hbMoz2fiS9ANOpxnOtN/BazdcKLcZeIwxp3RG9EMSRdZuaubWpVNxfYKAEmkqC
CQqAmexVcm2YakNBdZIENYcgtEC0MwqfcpmxF9o2r8w5UAsCGULxNlV1gwVv9raV6JFYyOhuwhMO
CGXIbqa5eppVYrEIdRfOAOxntnUcWbXsL83YbV+0svj+8S1jvdtpuZw04dFUurSCgUz9ejkrH8v/
zLlpG6VqcWBpak220CmOhvsclDCsT9sALmtARBCk7Jl0vNaJU3n7FADoSovpXqXMl0Hc8pglRS+P
AJH1LzVEF8bL/nzkt4hT35cdE2G72NNI6uDFSLEjZ+/bnFSkDCQh0Qgtkj2nbWwc3XWBqM9Ua02U
T1ANSBAfNcKOBui3M7byj6+A/W61gsDJaZO2kePxABtvbqgkbidBO8XZGj2bt4dH4bM5DgzBeOMw
njoyWrvSa3ftMGpbS8uhIc+1PBpJ60FPhzCRSPIj86zMH+NokXfEPHYp3F9iIZyEtMeh4sYUkRYo
xHGBjgtyM7VlsjZi8sQ6XD6bSXW7cZIGWgL7fuitF0yqgDF89z6U8XfOOh2kctUd81Zz9xGijUvy
bb2blnpyIzOPhOY+4zheyAoj99juBL2Bnc3Ib8tgkhu95yVHP7P+0MP53b3D5MKm6c3a964onMZY
MqPk3gGS+IrbwLtZnhUFh4GEPHhbH39R7rudiwBsx0KhRicXq/dbMXPe0avSu5YVFjlVkDCHfkFY
Jo/VTCqoPufj1oK6ciVFK4+mp1jwMJQzuuKiL56/lUWOyZpp4nPvh6chEpfh7BDyg8pnFBdTlJRB
PfFc9wmSV/4uyVZiDjSf+1IlbB/mwNNM2f5aNvV8a5aI+YyaZDUcms0e7pHB5HAsTkmji02KY34r
kcQ/Dn2m7hj4h4Fhyp6kzhiHuolOI7UNWlxirjewGXowAqN/YCJ7i9O92fvEKjGt9DuQ1IV7Urgr
LgedZbmp0nTbLG+HiWm2FOL9o4PtNmh6thlN9l6+dkw32ZZ1y1PYamTZ6CW2eyj4n63QzZDIGIyz
JWlRW1/ltJ37SNviS2cxcg2xkfSCqEB5IOY/PGi/uVu4SejFLHr0ZZf8daVphCCeLUIV60HdYg3h
+imA/uu5tMvAdXggPr5f3r8eU0UU6ZRYHNSdt6d0kRYog+fS2QKvoQCpeBqQzfkHNEekDM4k93z8
esb7wpJj2xmAyoGXYZ6/vKOfDkke8rbajCJ7i47J2sQTylDD8MQJz2G7K2ZdHkffJjCpIcMIUyk+
bpYLAdF9U+Y8/HjiGQUMwCdGTs5g5tmo9J6vWi9trL2u0e6qmo8Si1Ld5Q3LtVMsm7sTKnaeOLtx
ivILQA48/wV0utjkphNG9gX9Yr0hW53lvYw1EkMt4wF0anMgZeky62W6ZcrwWkOzDrA1v6a41E3J
e9d0DI+TF85H+lrmxuhGGiulegDpwEqlsfKft9YqpdRSAM5eUJRZJK8guDcQ+aIR4WnyfXZJyS0I
XSbTj0Nrt7tSLLtpniIGr6hLUkgG6y7v8FIuz+pksn6ovJtI5GR9S3vu87nmFk+Vavao4tl7Upbd
Jq3qpzhOIewX7JkZ7lEGFpDD6LjMga9JpgATpOJ//jTjfodvqm0hVnOaL1GGBB2govWItGA1Lbtu
Is3mYMepy8PCchEbA/VAO85cxLE5yFb3Lo2aAX6X8b9+G3n7xuUJLSR/hWx6LShCH0JyifgbzXe7
U1GjrmIDFRGphiX7Ah9TI5bxqtfmOah6o9l0Uyl2eJSA0uUx1y5zvF02i0cxud9y9LprEm/MA09n
T6Zgam1YwbiLncnb9XVGyRJTRp8fd19w+VCa8goau0DlU+nInOsvfavl0M7Xcb7b/9t8n8sLfSsZ
hcQRst7//N9/vfCC2/zlfzZn0uZt90NNdz+aLmv/hnItf/P/94d/8Tr/YOn8m0/GwvTv+WQX8otK
JR7Ony2cP/3Lv+BkLiZOj04CpjiWoAXb+XdgjfUPCldcmpwRUGA4/0KTOf8wPc5M7KTwKpApsXr8
ncBt/GOxveBlXOZcjqCV9vdVuPlnacwF/LcuKlZt1qGfSuhF+uFZC3yXX0ekzrkm/GmdIhEpiUIy
T3Y5GXNqnXV6WawM37DkpukcfCC6E4pnMAN6FjSKDvWmalIPwuOkyCCFymEvuIK6vx90zugr12md
bZtp+aUHXBgTvGzvgOwhtzTKgYWefWxVTVm8l11ZHHlDeZDbQEUGv0OsOTneMJ5EicgenVYRXzuQ
bmggC0vGQQZ8E7IZ5lJ0X7LM7uyidaZF2TphQndnJFpjreOnKF05WysI4wPTm4h4kxUNK2+PN8bp
96AQk7u+c+o93X9E28ZYvLBWotbqQgPWVUPpmiKiXrgIVvfgNgJgIKtnRphbboQ0oUjkW2uDGEoi
FXJryzi1B7Vm1W5JlMnA/tWMYXwVt4ZO/oCsbTq7LqfPCxNtbErQAkK7Fabu0N0nlOE6E4SkKEhp
s2N3DWVKjOtYFtpn+GQ+Wdfk4J1K9Nhf6ryLT40JBW+lytKNjyPdwzlgo2kpkSntxHlRBO8DAvIl
GsruU2amg70SXVv+MGfNekXZRxKzxlz7FM7xdDkOfUNemOOD8O8aHzSAU43p3tDM4UabiU9JLJV/
gw2PXixNJIp3gnG0l6a2Jy0gLLIpdzYW4BvNdMIqMO0og/DRIJAGrNhnD6WV9bQUWr3lgDSLqoS/
4Bmvgl50RrPHyD7NLpX+ttNq31mF7pzsYppB1lpWSoWrxE3J5uhCzT8aMaN4o4JWZqpmoTgR4Sh7
pfZWW9Z3MvF0olOZ0JBwnORDkKFMQOOdV1/0ph2vsJVY3Rr+A0EZxFUQ88HUiPgylPCLSq2JvR7i
2AQwtCVUHT+gMW1llI7PRLJOl3pU+HsKeKxYVRk/kzteUT7O1ISe7nkvedjO90Y5jjdFRPvZbtFI
povqPzGwQmfYjQCE1eklGZCIDPhdOzLJMKYZQG/OzojOZigAY4tB1qxIDtLQPJz1a2DYQpSmbbk3
czSIhSUKqA0yf1IGkKjSsx4Z8KB2FAgPG78i3+7YmzwGxF/GOBKg2Nz5vWMd4sUVOXC2CGJ05Mc6
REsbEhL3WEUk7omuGy8Q4ViUfIwjaiCs00oskx2DzRvptBlGN4ZjzLdnVwcRIOM197q1q8zErQJZ
OsUrBuf2lrBhM0g6x7ifo2F+gsQm9pmLbHw7JLXbk5pWFU8ZyJFnu0yqp7RsYdxKlTwxlD2Iwev2
dsrvpkMSDyDrW3EzmXn9qTbz5rbIbePL4IcO9mFmcveo8fV1QbKKvk7yzoGpw5qSrsbESjaDRYBT
ZAnzyzAn7bSqtMZ+NM06ukbOj/Jn6POv7PPutaeA3ydSazYyJ7Q16EXT36HMAmRWxfDHgVV8d5vQ
n7Cz6ib5tJozXSduAXzI15Pq1QTl+7TcCA84gudX6Q5DFXiDnj3Ote7eTvm40Ji0Hg0fsbtr1zEG
PidkBrSinvHJsiKp7Tp7LJzAz7IQaqvbXUysEXfhGEc/cpmOSP/6cXpO/QLTVMPSvLdEakarxAqt
V2Lpga80vlVLMupN8dD5hYGfvONUMWdOdKfyqPgiFNNsswcVsiq9il5IzIFwXREpiDnIG0+OGbUU
iXM8b0fSoAOGhemKJJUR5JuuVtAjgFuoCcSEbUIEsUNbXcy6U1eBypQwgsLo5n0Goo7m0CS7G8+w
mOSQ5Q23UDhofYiQaO4iXEy7uByZXPdx19wnCUlW9HXqg5744miJLLyLMtv+hLEhvaBmCz9j37zX
q3w8JVGHQbDSp+TWVyLN9yjk4hWIRBNjjhV1BwC0xOAa2mQeDJiGJ5F67WVWpxJOmfDldeqM/hWa
INQ0yax1XIiMsnQQTTTszbht7+GsZJgeI+ezictr08OaPxqe1G8thlYXaCfEKTP7/CJOuxxkTycJ
GU9H/zovpmnfl6NzAWuPZsnQ9WhsYVzHSHibVmhbAByxs4YtWV/yKJiPguS326hOoqPZ9hw04fx9
GRF7foE81e3IWuM9D5alvhstZ1sAMuZDT2sAZnbhbrxaeqdIqepbFEbDF79K5nQVMYvy1qmGhWs1
94PaiymG1E+mLOoWo3gNmxL/ylJtoPNuAfDUljYFptM4hzYcy1MypBYHxOWKTlYsV+5APHI7T9NB
yj691fDSgo/UPQbZIOzZb73Kr698kIjpqjac3FjJoR++aNZi/EInFd7Jduperd7Ju2um8hJgqWen
PbunW1yGMefWoounW4U7kp1dNeq2KPHsrBsMiSCtEtdepwQjn6ACIf4UvUivmmYk6pE4tgtJ7nO2
eF7N7y70K6RZZjfgsLCs+Og7E5Y83Hz6o3Cz+Ik9G6qwiqs2Y+iOq6NwNOeYMXjZQW33H32pyD13
FUQyr0yiYp2anXbM4nDWD3HfFA9WUSOIBQWUHGdE8PZRFpP1XFY64ciQsw4xx9hq5TRFedE3Q31s
S9e8G3XPvLB9DlJho2trw4s4sZTzcDMXDRfEZ9HFItq2z45fl6+SpuKzPiixy+BvHhrCt4MEZPKd
H9b2yVXElayYaorn1qQPuGoHi3LIiWwnPADLFJexlPFVFtbpc4ka6ZKCjZFPWBcdPC20jSd/6rxP
/hwzOYwFTqCs2k24aANTs7mdUZgHvqrsBy2xiFwH3oX9waqQ4BZus8TDt12xqTI/3klYVp+KSB9o
7bLsk3SvqqMPCW4jWyTsDJvNkaweEmMEtrMDIZ3exmxrQV42Ry3i7VFaJfh7mFT1nydzQvEWp7bA
UOumn7wJN9MK1pC3xy8EvhrkmxnUht7/CJFMbLqRMyCF0UavYmtlWM2XIqbpOAzc/l2bOkeUNA8k
wSqazf294fbVs1qIGz0AhWjl9h4rVoKLYzdqTcnalEXZfcxt8lyP+riKw37eQ3AljpzxY3xnzqR4
XXSag12z7CrkeuC57Bcy+aavlesxQsdxC11twGik2H7CpgPGWeEQ4nCj1tglXRCPsChWY9ghHsQU
nH2KazFwEX1YXJPJ9omaxTSIc+3Sm+TM6PMXXF/JKOQGospDtqD8ogXqF5/5fkSPWYfO5phqnPl/
1YICRFagkxcHHjBZQIFJGaltpEtcyvgTHgb7EHLJtzMcbZwyzmWT6/op1wd7M+QKVZWvA24tyKnL
DYTuLuCqmwapbKAJ48olO+aKmLlwVSt9uA0XrmG6EA7TM+ywNdhjyak3gSC69eAGPQ5lpgQwEo1x
VKeozgcYHVjf830OWfZSzRSLK8Vx5sk5UxfnM4HRnApN4IXWWxiISqAHWHCNNWsdO9jk3GG3MpPA
6qgSaa8VGYYqzfM1TrnAHxME4ldMIORN5LbL0TeaJkbg0zhfePT6XnD0iEeM19NJZC5sSRvx3RO8
GueWxY4Wdl7r8hMPsL61pqGghD4TKhdWpbtQKys8gqyoC8vSnyvvAm6DfPVFn7c4AyK3DlLqzUMx
5NAwszMZ03bbRt9XCzAT2WeDdyyrrIJVcyI0r2scrHARIEiITDoouHUbRRZU4sYlA82zHIgDs02e
iWY39wUqSmtN9JIWVDCjrmc36z6VrpiqoO6n4rLz3HVte6LF3qFR4kx2r197jcg+NSk9WAjDSZJf
N+SFYYpFRu4EjmT4BxIhDEGe9iO9T72QjbUfK8NG186tvA97038O3Y6DTu/ilFqlwNksUML1Eiif
4U0JqmJCKSlm47lpNDvategljv40DOM6MaP4sdS8fLrNS0Wb3kag9dooG9kEjSo1bUO9JX4AIVzU
BhltTnndWjZHjiwrkXR50pjZ9DLkKKY33fHMDCvHQm62buVMrcHqf2xlv1ddXhxHz7KfWZacO1Gy
HcRJ6B+LfmrviY5sQJBk8/MwRySE+RLvLMtvQqii1OlisiTNfw0b/9u6Hz83P/7zf1CQr4EHx3QX
rea/75BcLktxp37pj/y/f/YX48qGtY5IlkYHKnybscvf7REYVwu4HXYTzgzaxL82SFD3Mrc3bKLo
HB6PfzVIrH9gJkD5q9NVWcav4r/SIEGr/muDhOY0ywkSAcd3HN2gSfJrI9epsbdregoKUsX5fpJL
oEjsX9gtJy12B9SaTjQ+pFhKdxwwHHaBeXzMm1a7Z/z5TMZofanV3nwXhfl4dM2hv2t6G9NhDj93
NiS6Cjtm6yz1rZM3Ub2SKoTk5uWXaDYOjVoSsTuvO+IVv9NwSnMuHuVXR0vnlQPReW322U3ioQZZ
kfqach4gUHJl1529JRrJp7XoiP6Bo723HkNQnfMwVZcqsUcJOnMiEI3sU8RVIUfvKnX3GqA4Z+83
/nifdbl84dz9I521wg0iRvU0nuPkc2wmXwfEePvYtq8SaIN0ObL0OGB3CIjVxJRpT6+6VmCf6Yqa
ASciiIZ8u7sEwzEwVmc/ASdeuik4NmNnXM9qoCdfx5QRMn7px4QclbYi/1srFmcspdVq4Byr4999
AshORrHe0XExaX833CLpamjz6k4fku+D09ioX0NGlXLKmjUtmIY0Ff1zbhA+D3ui6AFIgF/AsRDd
96xbrTVo933nZrd9JrRdNjhhEVRkmNw6g+uxa0SDzNYMlbAfGWr5neaAY4Yk4ZS8CPDoxZ4TxHQb
mgwEW5o9LY141QdYooWJH1xG2kHNWXasxqxNtuFsUpPa+PbC4wwfqd9Kj/5GXzbdUuKFMETYKeXO
nxgv1y2yPkgwbJ5B7zCYXCGf7kMYD1Vmo/S19W+itkbiXceiX3l+4wIUcut6WvcYYX1aCZPPXDBN
BZudHeEeBTFBIT5AbIYBk8QvLZiOy7ltbXD5lMDxOjJC+1oiqDWCFiwkaHRytuJKoQn1i/7asaHJ
3k5p65VrP2nwoTJtyVzwmwbVv6+MYbhLlBvKPfVERx7upAPUxT8YQZh1axOX6FC8llWcH6m7o2jT
TpWqdowkG77zKXYv2iat/dVgKLpuYvBvmUgdvFTHP43IakVi7IZqIccia+kroFrRxrauaLq+ZI17
MyaLbzTWzXUTq71sbYKClX6ZYalfUUHd9Vb/Nazs+w5gwmTY01XsW3snx/Y6dDXHTGzxaXkQEoU1
DaFiEWFSxq1bBcfTNgeED/mUH4A1WzfxZGk/uJ0hGAOg7vUbmJb0/EfvVtdruHfDuLA79C3R81XA
R3215tuc+JHG49+gMX/JNTO5bXT9UAlam4NSKcgyjj5mk4gAPvF3O85SfGZauBJac+OJKWhQW6zq
QdGpcADAZw6NCCrrh9zq5S5NXUCe4Iv3tRulKyHyaeVPwD2NvGzW0zzrm5Rgwi+2TelN/YliVW5m
i3K4x8K8Lzy9WMTVgWsDMlgnvlXSoirKSz1OxGd/iu7xE8c0kMxuN4Rgckgf2qY2wTaG5bb0HEL3
22zPRHUa04a2QnMyzQQQSOgdJEgQgPfuPUvfJVgNEgjoxF2kMVJnIiSmJMu29mQKTr9ql1det7OF
/p2oIqDyYvoRpeG1JQdYsDM6D7vxHrS5N34MrZd+7ebo9afd6a/++P8quvymjIu2+T//YZ4NpP/q
h3v4EAkXwfpi4tpaXHhvBGFFNaJ/gxqx1yLUzDJnOuvPGXyhaKyca1kKnhKNzMxq49Rpc6mXY/zC
uJjibux70a9yMUjWSWRhYiXKECWgWXX+JhpTBX82jj3AGUYKkyDu0+mpVIXxrZ9CnmeDjl24dqvl
3J6RMCeCibmgCQdE9RepITu5k5HQ1EEZDotFUYXHfkp6FCfn1UQ7ryz1eZVplgUH24TUDl07ueae
55JID7Ucszrdpi0h0+SONPLJXWX0qg6qrlmmBhF9M8MF+NtGRGiL7pSFzXbwoR91gNtXFloQ3ZbD
0dGLo5mk8ggTO9mgkBs5O/sSWFMEfrfwmRl31t2cG+0KlW5zIk1+CbQG0+b3LVyVMiZEdQQ3XRTm
xVLe/zDIln1UfUTot8VocJM2NVJIevHduEsgAHRrQcMak+LM0yL0RHF3M+wt6a0aSXofT40xHDlV
5gRtDM5KgqNB5MDIS681AuP9qHiStT/fiFDgL9VzIklUciS22L6h/zpDHwij4hOLQrPOanfeOkB6
UAIhA+ULrZPrvsKaG7VOh+wzuVVZaV4IPS6CEp61canbRnqV+zH1bataPVlnePnjU46s+ChHzb2G
IaPt3F7a37wQ9DPz0vYm1Eh1Lt0o+hbWhBJwQK+7zxNNKsBWvXkdOp1+GzPvDErD+GpnIam7Y5Nv
MKTVOMVy0kMlNpnYMXdZjmrbqGFxDFCL3U7rj14EOV2MCsWpbFBxEQBKt49exnSqWudFRjMhhUby
nGEnh/0Vc/aM/GmjAWYGNmY85H5b4vYd93QPMafRNvBH63ukG8MWueg3bOGFXBW2satke2EhfJQG
KCHTODZ5+BxGJMvX8sBc9WtsCPIjfXrwPSKWrnO249x9zwH5XjHr/lHakQ/0oLIDw9XVljBxb48x
5osDIORCetCKGpHK75PvDxe98BoOF+Z0aP4ve2e2G7mVZe1XKfQ9EyQPD4eLbuCPCMaoGKTQfENI
qRTneebT/x9ld9lOV1e177qBLhgFpzOVkiieYe+91rdqOS2iIiTrII0Zf3b1dy6LcplJ8dEZM5aN
5vMS7RH8MC0MD0akvEyYnDeEamiQrJ0jxeO4FNAd3CyjHQZ7NV/j9/OgfpFUA8JhWppFS95DlzDm
ZreCouA2NmH2aBbyom6OU0EA90ifbGMZRb1MB/0KsWo4JpoWMsDVIVtqI+SvWoMAwbz+FkhZzVTe
d4XThTulsZmB9OCzABFY4Z6IYJ3ShzrrB7OnztVbrfjElY6tJzbztQENe0UVT1RQqvO7ofRX9GzI
bO8H4sNAV48vCC1RkZnDqDO4aGfEb5Wqz6EMm0cgM+QbgF+IPgMvpIGcepgPI1Ik5pExWbEb0iUC
383LKj148xldzad1/HVwF1+HOIZ2DnRhAarc2l8Hffd16E9fF4CCGSKCv6+LAeNOLgnmfF9gkNP8
ohz5v2rrXw2kSWuk2EKQ9l9XW6u3j+rtb8yj/3Z6IzPrb9u37kcS/lR8/fq3/FJ8WeKbLhDgaBqS
99n8//fZtEXxpRloV5hLs5MykfhtOq0ytsbeiFFKatLUmVv/53Ba/abCtlQZQqKr5gj9S3zhn0fT
s2IY89ecz4UvH4vPHyuvCLj+IBi8uj14migaNqYRrDX2sngwNr97Tv/g3Nd+Ev7xvVMrzgKcWfro
8Ms/fi4/VQo80bUHGjIn66K7G9NyW8fWOkM0RL7LC9e5ZdM/OYK6ajr76aQuA/Gc+PpCh+g+JMXa
zPR/pSPmSf5xOD9/VXQX6f/wL+bPtAuvCHMH+bznFsHoNnG5S8weMpNurTW/AqgDi1VJlyb5e/Yc
hOJ3q9GbIzx8ULINd9bi9p8/Jv3rmf92PZrfEbDpZJxIwTUJNvVP16M0sAoFLJzn1hMXEj0yduiL
jDsgA955CAJoT1IhjivpAFgN5oTPDvtyM0nIxnFn7KYge1WqTN56jZYcBEHDB8MId4WVrQuYVyuR
9a/W8D0Zs1XXkFGSZ0fuVCGJzoNN6zSTWFd99ACQgmuVVCAIGuBvSExalfQi8S8cOfBXTEbWhZGt
osSg3mzX5IHsTeWu1/O7yUsJpTBWRon1yubEU9sVVNRFpup73/Q2bZnf1FRusNrpfT6PqbJTyBue
unclO5h0x/BxiH1B20o3trHz2LXdU9fGsC5HLIDFYO2M5hHOKrysDh9/vhFQJNOaxnrj307GPrSi
U2JLeoDT0pYj4BVvLwNAk7RpHS+5GSVa2y7bMwxcDzToTAKN0UM16zKyx7XSExilWytMMuj7+tl1
cewCc41kayDqwDb4nElPHjJJo2W+qOWTaTv7KKVNm8U7LZHoldqFFnZrH1hVJHNkZ/3ST2oeD5/G
IaCi7O/ySt7y81xEiti2jZnSNOgQ5WEbjqqVVoInO+tZeZNNzYL77BLgyUJVnX1hsDI7Mlm4hSnh
NSZ+RalOY2GtGcK9dUA0DOO9HPLXuv5OiUwSKR0Q3zkTigIV5xJW2XY+8FPbWofcKH0a6yfA3sU1
bLxXn7Dn41jyk7OwsShF1NOoHwg0Qt/BfZV7toeO5LsvSi9cFAUPjRouCtCgJz/qMQtu9cnP3xwR
WiburXnREI8QzqF5Vm9cLa1lNhfr3a7u/faFZFxYAMLxN31v0aogttZ/TIs4AxUqvIXmZVO5gGnH
/YtrWnqF0N+uNbO2Vk2FzmKR9aBi+SrM4U3SM9iS/dQCwSo7/xh0RXgjWnGWVW3eVlNn3TWMuddf
6/T/Dsn/xiGpfW2T//Uh+f8Y6L19D96Sv12qt48fdfDz+fjLX/Brc9L6xi9VgZKDcpDziD7jrwB+
4xutMFRd0O8lhvH55PwVwK/b5D4jg4T9NJ9g6Kt+OyDNbwA4CHHmdMRAB5T+rzQn8YP88YDAOu7Q
swH0D7/blnjW/nhslX5Kohla4t2clBFt26mOz1Yt22YlPEq/xTC0ScQgIivahVVUASvWZji4QiKl
77AzRi6VcDVvy9I8aipg40U3hPw/A4zwZQqZ9bJOeZtdrtT+nvxEhCiy0lUXG6bwT7mUabhVjLF4
YZEEFERaiLKAfpmP/cknkcZFymY9sqyMtdZYPY2nonMJVtahk9nGezERf+Qy7GQ+hKOhSVaZ7tuM
f3qnZxNqo3A75FjLlvqgjvq2HKJqU0HzEgulg497ETpJFyS9FhB7R6n5x4zw7Fvk+YW3iMuOcBHS
mwq5LJWyJgvJTtXPIFTzCcqNjUDTMBTjLgs8I9kwivefS7DboIBsb/wuTKW5FERMzqC8rF3aUdG3
C1EZ3VsQ1cNO2vRrYQCb4Qsj8prRpYHeus9VFXu3Wa36VDfRIzTAKDOsBmjQMp29B8bsfWPq4zOu
f7tZkP7pNYA/cnrAtoXLQ0wVnQNjZNNGaWeJI23O/tgPk3IQaQJJbjLC6STCtNWuepULenQG++La
cArhPHWELO7GMqg1N3FUUDJT5uvlZhw0gngWid9U4a6kfGJcND+X2C0nUTvrCHytfV9D9Z1l5EA5
PKj6z3oNGaweu/lhBXQSggxeSdG7/DXGgUtUubVjBj5nZn6Zv0ytoNPOPvOdbh5wI/ZD97NirywX
RqsOd02ofkaIsNwshn7VI0/d5QqmXqx/xIuWmg5iuaZ1OXrTCUV1sEhFKCHWGs06jDUUhD5c0XDh
mz3oRKe1rvhhd32haPMlyHMYUbWpa0TeFUW8f0J69qQXAt2aCbyC94OWr/zQ0nSXddWuH3wixxI1
3TBf1pczetIV+C6Pvi6yvclrc5eKQtmZQxcvSULm0ZWlvUkN5A5OXuxbE0aMrxhLE2nDYvLsI76S
+mgbOTSvjmDWJOgtfqpG8GF0dbKxjSx9ChuZnTpB/7vtZvY1I1+op0z1JSq8c2wXliuIurmzqLlP
4C/AqsRyciduxjMHTPUe/GS4xnTGSUyM/d3Y9oQ1W1a1p4c4ZyznJI4OQllQsr/nWiSuZa7F6Nx9
MhR83VubtJlcI0O4wdVOW3SMFkKtaY8lWI8S/CgGuWiU7X0SFJeuYH6ONYw7BlhgTA9Bc/YC2t9y
Iq5xKQFxSTrqOe2HjrmAP3Z3mIsS5nvMPbLiByqkSwwWZyE9qMJJQyBsFtXWuWlYZb6twFfjdxYl
6vZnNtmCzUjcGx3vP1euhUy9j0QLNlqbOSgRJ/UHKV+86XlxKLiELbSeCErVUXIydoZPK2sODCvU
JeJEfvKF4P6RMrWA5+gvpqQlKtWTBHCIRCF2A13NNOb1DcovC5Y38Zj4s4Zlb1kMckc5PSt83eso
8ibsNEa5IUyb+LcgBuRpK/0VLOSVBJ5on8gUvaaadJh6KsQ5RA26sRiy26oOa5esIB8BVDqdwE21
xgo1mCQ5z2NoQH+xXZmRLtSlYWT+iuRbRGKqp4+PYdTkxDN5/clxSFQ1Yyt2nYBkrqasPotSiJXa
2uV+MEnSCjQitvFiEZwdd+lFOliJ/abW9wNAv3cigrO1iuWIb74nnt1oVB+moorHVffYCUl7rF05
lvYToxz/o4g7CJL/vFj4kwtSpXBksIexlCmdppk/mamUKG6yfsytnd6FOqnbje/sbZH7p6LPjH4p
kbaNS5yH2qJoBdj9sbV2BMl4/5Jw9ydjmzrHOxsSPwaFLrahn6q7qvXKIdWsYTeitIm6unlHCt+T
BdAZTn227UwzL7EKHtcFfN7fEVJWVQsI0w12rE7PGah3j/3AiPCpG/XKX6c0yDUgwzIt30w5WdQT
tSKfSqibF0x02XEyRfJslwpAwa+dPO077d1iTsPAzg7KJ9aNsh6aRlz1rle+V4EH3L21/QdLpR8K
29xnOBOKGX7XUcOgT/OBfKtPdkXdF4TBcFvmZgS13TaY80xqfAA1TPk05uKGw9E/92A2lw325DvL
SscDLBFxbKlWl5z0yVoMybNOhuBto/t7q9fspT6fdtZ87hVfRyAkKJMzFr5L4HJWo8X4Oi/9r7MT
c7f6WXydqLpRWh+kQtiXQcbV3eQjDjCFSjhvCXiefXMYitVA45Q8Ed8OtyGGCZRX6LmpVGbSlVbF
qDgduxChO2Rl3y/nxvh3hmiqa6udfY76UoGZ1uSCqOqUOgq5nL4RQJqteRsy37AsJgsZO/ZO8fQH
DBHtrhiYkjBylG6MjgTpkZPP/sTMf8V76MDkHILqmJatPALV5ZeAJzZeMDSBa09Deo3yEVa31jdo
nyPzagdWR1R5H66qIpUbvaw43OajdBlIobwnBd1ud4g8axEFmfnuFI046ag7TwzgihdkJkzk2AR0
gG9OoE9XU9bxi9ST4k1acC1WGfkDwxMYMB6SzBN5aqahDza9YXKJ4gZWPFdeYWYfCi350A1k6382
os3Lyz9fr/qfMEyqRRCFBAeoG46h0fP5422SuVjUwahud6GU2rFQBh9YfVii+0celqWqvSvtKu2X
Xpt77lDlZzvJvZsAmWK+UMwe4mXjE7JWToq/skmxYIiWxv1dhdItWxkcsM9Y1Aoqv1CUV6MH64yI
2ODwCHvXtIYzYIFzDxsVdHCvdTcaE2Vkr2LwvsN5EGuCpEzGc2UMUk0O3AXNaE+b4krIMOgC70Ik
DTBWz8eAiapcU/0ra1ycoIIey5DDzlQMtVtboYpQnI2+7VdVaZvbICyZijZmoxG1GalbBmLJhSxm
9SJyDe9+bkj/Hqt5tvHB7DPJaZWveWLPpo3e5MTmUl7sqgbA7ttds5JcSvpFaNDndeWQxHvkwGm5
bDUIzkuCG7MPq62xacZ2e24T2Vx0p6tJYO9pwjNiWeIlTlYONMoUNqvlvQRcR2nujiRz9mhr1l4T
B5sQLC+J2Z5hcdmNmnVkjfMUT7LkDKRyfH8VEKMxjbqPFB/B3CJW6W7kZkYcJVL/GewAVIBpQeds
TbXybr3OCd4xgXhwFvzQ9bxMuRvAO20chUY76vpuTzQmXggVbRhn0sRbafenJHIINHQC5RWRcuHy
1zX4wVAwEgJu61wQCrKR0dGjdxKE2/cNUkBKgGCN8Jxx1yS79QhZ7qXTtfBeCWr9kSlOtoW3qQbL
vCvZmoY+up3qxl8R/SQOEOzw0FtW4+ZcUqE/ASy3GD88ZGods4sGDhI9cJL0WvDeJG7amN4NSDR1
Y1qByrp2InFTpPmVmQI4+8TQEJnOJxFmbuOWAZt/7CciCJdVpbY0QUBk2pcs9lrkHnP1oX0VIloz
tNMSxwgFCsaX/rbiOjDhYZtLGK9OKGeccCSxlK7gu/ZV7jgUPvpXCVSjaFljOLMek68SKdMVRS7Q
Rs7IZnbvbMXuVrz4mCjCrTBMzT8BItVUdz7HPoy2HypXDDr9k2Yu06LZwLYoKiK9F5loBLLQvmVO
mJB00/dS2+GibspVhwaA+Z8zYb9uHCiQ28g2EfuPU1vKVRVqOQ05Qeh7+XUZGOZ7QSy159IuQHk0
/j3BIM9hNS8QPaKkYGpRetOcoelY60LL2/mrBuuObugwBNQWtZLLLXm09ds/36h+6opiVUImJNik
0KILjOpzUfx7yxJXulgk3CscH1i0cy7j6qbofml1/qUWyjH8XuV1/tl8OdL+7lD78lf99qv7POWf
n//I/In+/mf+h3ja5hECQqrfPe3ZOPerIe70lv749387hlNevaU/90R++bBfeyLimwHRFA/Nr6a1
3xIJZ5oKSw+94lfv/+8NEYOPYMrA/zDFajjNfmuIYGdj3E6rH2suH2v+JbXWn04waRg2UwxoTfRC
kGv9dNEbtHpCI5V226xD1whbq9j0skw3VaSdRFU7O9S+rBdtQC7a/tA90zv6Mv1XzBPnT6Kx+evQ
dWaOFto2w/yZqUzrUMm13Ovo39bJtrG0tSFi4hCx22C3PlA6lyYdy/DUhrDSR4kNS/e9Y8QdhLaz
uG9LInR0dMWPU3gSjNtFBA4xtBt8UoSW9KZ1KLTCX/RM/AzZ3I4tE2APG5ckGIAi4aEnP5Zesjt4
mRul9WWIhzOx1ntd0AkCCuLV6ZOR+mclKtJFJOP7NhSVWwv/zbDifAXa3lyhHBsK8l+qwp2dYqvW
Bn7DNvVc18W9GAFYeCO5VeLSOxzZBnnNCx5sLUTzHJhUmX4+qWsqz0U+QH1AU7SWgb8c9WOu5IyR
BYPuJ3Rsd34UXZEJ7EmJ2urC2mc0GsARUUuW12GQL+TSWYtxiE8wV1oUWR3R60Zub4UMn5w8PVX2
tDcH+SMPGE2qr0qtPswaGL+xjpWs7kxP2+hN7mqDsuoxAi10iy8DmPqSpG13Dh7Kk+4jLIVJ/0zg
aInNT92ZvB3j1mCXTiJlR6RnNljTgTvCUbFBrEFYR8KG3UaM5jVN/F2l3tWZtaSXaIJF7a8lemq8
6GvQoxFPC5Vako0uwP7G7PdlJB5SoNcLVcHiUF/LbPjsUns31OrLVBsAvziogr7AxheuRxke9FJI
CDr+KvVyt7GcB16vRSzJJaNGMDTocTDI3VHtTr7iPXvFdOhMcVfNsWOD1T5oyHk07SNP01OtdocW
jR2qQn+VDxT4WkPSeKXjf/C4dwzNaySapY6+caFSJli8mmVgPsCKURcENn4wI/YWY5Cu8jpiGgFA
PY2a72pTBPy2h11h3Ddm5lraXOEFT1Gq3Rvpk0X07DmCaPbUTemhjo1bb+i6jY1lY1GZfr8zdHMF
nu9AINbKLLNtE8TPZuv9iJX8OE7nQj7URgpbsVRCFArqLScpl85+2hV+9GRoWU9XJV91ZB1MnnXT
DeUKpvka/9vZwGxiF0cIk8u6CjhnjTG/oe4jAVrzV60ZXJrBS1w/ajhrEYY3zSBhRsp4aweXztdu
spzLgLOrM3LoiZtcsB1cwjnbjXn/U0Fc4hSb7xgq3ajPEio2rTqWjkZ+tB8nGPSFOw4oI22S2xJ7
XcYXekXLvtBu0zRdabmxTtTpEYPNttMTBHeMdQA+Pikhtxwl2fBqWCsVjP1O5AwROk1tl15nnvJW
2wc60hJ9egg7Xa7K1noJyXpcIkwnxkkS0MYlIx3Oll5vCCdYZpNtHbqsd2HIfDc746J50byc9LOj
tgRdN/IcOv4OnuFrxqgxbOVHHmu7CMAF1DBCb4hsXsdJtpWZ2t/QtAAsYQHxQ5Z5N/u6l5Onnn34
9m6mXSpzWqq1ypNHb+arys4uwmMaZv2K3gU4japD9EVWimLKi+T2mSYRbS3ivelPbzoasstQBhri
z+I9l7jSRvMxRfhp8h9WSI/WCY7M1TjkkASqB2uqzl7WvLRjWtBkaRnEWfYjUtcrnjx/NThk+jSH
3EfZnlb3quKcJ1G+NAl+L8T6FDM36ti+lGP8FI9WumkKvg9Y1KOSu1U3upMV6nejodw5No8nBaBg
W9m+aWm9tKQkLUojR6ZpVdHWsvtdT49F18VmqopPEaebrI3ebPx1i370dlkR6MfSY+VnZTEstdL+
wTzvcZCAAeCJuWU/rksxZzQYpMjRAY0XtcZcbHLe9BafJ6Ye3r9G3SQm/S7cag86Ff8cIOeywk7N
qD2VTgayE+yVkeJsUtP6LYpxaLAOF0HTv8A7uZANdK/09o3aNadJV8mHp3zY1MQooY3dTb7xA8SC
XKgVkVNaWN9MPFZUtUfuhWu60yEdRlqP40wMwa9gL4MKXG01eK6gEcHS2zU07tzWUC5VQad+xEwL
bVk5GqrMCBAJP2jkbRCp3SF/IZRM8W/rBPebxftQ2TzJ2K1M69g6YpczMu1rWs7V3gyaZUzYyTaf
543EdpjypRXxg5fWbthUG9pHmNcyhsFsQmrurZvA2xTI6Ir8Nagz9FnWU1dpuyFxVk1iHPqaSPeu
WHsiW2kwc5ZQtHZqODA3iBrMD9fS61cIZ7ZjeCrz5mlMAf/1ydbhTbcT7Rk8wRlJI3QfB5ORs2FK
SRxU7W0nJZghM9W96TXwA6ghAmOI92b1ZDvVSjKAJc9hkTn6tk/aG826GSaBCT4N0TtXt8okjuPA
zlUM5sKJWPKKtC5yCH4U48HvLDe31HMwfKbddEI9QKMSto0qPqFKgJBpo1WbaAfub0saep+hnn0E
vnEWZnMSZrUNY/+e2YurIvZBG+s82xHBTe1nA12ixEkzUWPWsjrJcmAR5s8skcdylHsree1s0my6
7NWHCVjH0U2rtmcLuoUAkL7RveAI7+pp0jranzktpeHU4p8ai/RcyvQ19ZVkNSrGu2OVp67Vt/kw
Hqky01UTCdSm2jYVNZyg9q2d2mdiv1zUrVuQfN9hPL2nYjwECoE/3iIbdEBKuVyYxO3VJAWQSF8v
I3vRh1c93Qs2hQAWIttyC8CsSaG7tW4zkCcvjlNk73o9OatO+AOJHc12PyQnkvMzh5I00B1NUN/H
6pE0LI8Uy/LGN+LbKjOJwjLv2pQeEKONMG1egmOW3Oj1QwQOWJTKuqijUwEnDEhIvhAd3NLQous0
oS4L+LaiCzS1rLU2ydBv87T+AMZ9CMJ4O8zZkJV+Y6Q6ReiQ7BxcsX6dHIwBbKJlPlZD9e6Urec2
BrIO8CyPslTowcfNtByi9GEgUPgWObe2xFhKlIuqcrHJc+DMnWAuX+FLTZZxo6P9MuQFSecLgBM0
nu0TycYbAhCwgBnVYxUXmGpncX3lyll4rXcbNGtoLu+7BrYjGy9BmEsh07uyQM/h1ZtRk67VKUvd
P3a9JBI0GG7ofBK7jDK8/0wC5AThbVOSegQNE7v5Oar3SjiuMGMth7thCtZ5vQ7M7Fx6BAIqcHNX
cRBwfoSzJuOu5SiaBbCLqN9MzoNv6U+o5e7CVmU/sDch1WgYbxrom21oXCYQhkXV3gxqettpl1Tw
AhFGNoWviooGoNQwobYMkzAu9M3W7PUbNO0+kV3DfnBqAmFK89NBIsraHHN/3zM3iIgp8hwKiaIk
uuEm1EZ/kdj3Jqxu22jeQlKIED20K2xdtBu4P7SK9RQ3gv59+VhOPumPqG/1AwB6QsfYsgyupINn
7svUvGrpfSddPx9pg7dfinfPQtKhpumDzwRlmXXk/ziQTluLExkW3bS3yFI4FrZJOpgMHJiGU77z
PEGOnVo5zbPs4xyZH2btKZQtSSnN+Jk1dC6cCFQNZoXuo+vz2IURrm6kjKgdJtPraOXRYLHl4DLJ
xU6QJcGtLVLzoJY+Sm02+3Tr6EX8mEOQdBMtde5oL/MklSZ4TbkNbxOYnzQ+Ydm4DcyOPcR9vV3i
kgncRID9GJJwp83NKcZa6g8+pf0d8NT0rqSmuk3l2BAEFWnX3Kzw+Fl+c7YDkPlqFqUHVbGqK/Ue
92MuZgN6xqy+LdNY3Nt8xUvFKTlboqDHGVIXh7wz/F2LCXxtIcS8ZJMyrLxRs3c+/eOYjMKEHLG8
KI8ZTgeXs6ZYDtKZdgqJYkc9Q4cDVa3eM1nsMKIolF5D5fDc6TIdG8PSUBeNx9zWySgFhhJdwcBZ
j2ql0jHPs/IQ0WZa++YEZmCY8heCo50TvaPygUKH9WPXfvpuR2b7jNNb4m3rggggQSPv8ZkGd45Q
x9u6d4qT1tNs7wxICFXuBIfReOwYg9Z2V22cqRnuvFwzHhTDGDv0nKP+IhlKrYeyYCuja3VbdVZL
MuFk3YwcmK+BDK1tmrc2iLpheEf2ml3apG8ukmDQc9Jq0Q5YBDYX6cwkPvzfQW6jZRkzf4O0GQWW
KBjkd5jmhIdjFateunEC9GXpXGBn8QhqIvCZ4MYJJh6oMfJJEHaxHNieXiOZ6Cd0XWJrgDo5MMgb
2VMy5KdJeMmH1yFol1GIcKtrkvGs6yMnaZGO3bXmzRy1EMtDuslzLVu15fRdJhGN1x4qzarwuntP
wd6ZTWezjF/MMNkaMt0FOZGFU5uw7aNKMIdDGUZuWGAdlsiDFdX2V4biMPfi/FWtZ2AMOzT0pCVr
xoeZcJjp0ZsBOXkEQAYrdN1AlifLr+dgMORA/x73wMn2DXWTedXToOf3embsQjzLidGuDG1aBpHg
K243XQxrrXrUNHw4ECieQUUGi9EPuVGm5n1ndA+eop2LEZ4VHccFjI6bcVB2vj1CHfS7XaGVxkoq
erJNs5mWOunn0W4XsMiTZR5lrlMGNLX7GiIwl3J8BYtWN9Zd1ayzWtFXhYuhCE7BoslrfNo202F7
DZ7ls8jqh9/1h/6BdFJ8wdp+0wQCjgUbpOJmMUnWsAlv+qnpwpyMG5M0+62ZPFHmh4dpaIfz0Bc6
MXXJuFfN2QaW+9Mt+1Nw14emvNeIaztXMGR6HGtZ92wzw3y3vpZKPK+acV4/cl5Jwbym4nl1MUUo
D9rXipvXXj758bVHMcjVmaXZzmvUnlfrOK/bZF7B3tdiHnxRk/seK3vfY62P86q35/VPyqjvpulU
HlOndjY9nAkAPeQO7yIvHkFbVGTd0ohcMyf00XKwy5CA3O98j51HBZ+AC7cX95Yc2ZcQphJ/EgTN
VY3y+qrmdXrAAMB0fqqasz9RjYENQbThAYDz5t3PnPdBOe+Iip9rP/R5l6zGJtwFeDCcogxchlps
pu28ryqhTwTd12ZLhH2/HWM7eM0K7hmQMZw7I4rx4oMLeGSCQ8FA35cGStBjrx774NZwcu275yiD
mxJGIJDPLc2vQyBvYw2VGydDPZ8R3nxa5PO5EYUOLr75LKnmU4V+Tv6ozScN4GYOHX6a+c4njdhl
hJJia+B0qudzCqxgsBsAS+TzGRbMpxmqi4fwS3ZuT/X0QZPwMKOvqkWpa/VjP6vU7S/B+hgm+tMo
LZpa6axo753BZ9UIGzmnTwMq5t10W7PDsZhygdNJJwArk52sOslOASgEyMx6cCpoUC8E4aYFRdvW
VAIHKQWutDcjlQSlg7ubKG7yRlsjhLEqkiK+PqOoqPOt1K4tzmnFmqkQWRDApciTS55F5ptd6voh
jdgkNvBqqFeZOXNTAMSZ9QuyzeJ3oRa3nUgg+RWqLst1wJy+qKgWli3jGhpeKaEQUQNAQYW05HYl
8CKqzW2vGC9VRiunVTsqiYl75cTrOyJp4bAZXIzb9yBT7pMmSF2lR4aJJzM9kVBH0AAF+w+KmCfF
VuVRtI7j1oXx0IVcPTtFF66aImLpmsBewhFP7uzeVG5sWB4uBz0gIjUO7y21CRYmoIt9YJr3oRbd
20SEHqLSibeZxTW7TdW9L7TGBeo6MLsZOi49DTidDoZOiHAM6Wb4CfYhxj8zBdyK49bVtfGm4v6B
1ZM/3vNiLCOre5atlu8zEKzrzByAfVS5vinHBGlph+u8noyNHeSEYGW9skCTItc0U2mrqNUbM6xb
7oX6QjUHZh9a/1DkwyM09OzaKwXlmJ0EG6NtO5uEyJgIC6sIVkmMBb0ZR0ZFiqZtRGQWa9uapgVq
2Xrd6ay13KavCSiFCszHEuUP9WufddZu1GImHlP2KjXoQqlEEwPRqNmkjkBOwhiC1yrEk5ciV620
WVVRoEtBwER0DFnnyyaSBqejk3K1KFTK+QueW0IjYW9SFFPyB7aXP+Zew094pGol6dJc1k53z8fJ
nS9kwrGL9vChts3skDdQP/TCgTHAsXvMPetDK+r0PtaVibeADUVJsw+qmM9ImPcA/8AdayEyJMU3
TqjbwVmYPLvECT6Ik5D4hTFdxmWdrrgVoGsaw/dx1J/75AXdyJFwGt4Iwo3BU1wmDQzCGGefZj3d
jVpuchVu4ZgkDTGvim3phBmH/qmu9G4lIjZHTaXw6DI8Ljm8ymuH3e6BpLSa6lX7jtdZuLKMHixS
5Zj/O64CYpXKuEB04WvBjW+Jw2j1YI0E62uoOCRyhesADelT50l8U62VlxhvCSwOdCXY+r0/PUf2
XGT6YlxPA86ZxYDjdFpGTTe9emGcIhqDlY+CW1ky0NXPVhMVb1Ewip2vmOoh6J1olzRGffZyq7l0
eIUv0lOGd4/956DppbUd5htVN9+tEBa2JzHft/qvm9d8B9MV8r6UPoeM9nU7Y8c1Huz5ylbNl7eW
J/518P6lCdU/nj39fvT0H/+9Idb/Pu7APyUzHn/4KHzfRiaLP76gkbuPf/83Bo800wQf+OsgS/9m
4acTptSACKBT4nd+mWXZzjcsDoDFNYcshF9+5z/Fvea3WdProFq1TVQmzu/cL/KbqjPfAiXFQIto
J+uviHuZbDDH/O1eZdmqqc5zThX0gcFfZvwsx/CCBo2pZW4rpzL8rV7GjPQJDBgqAI1h8DHESUKv
HYXNDrtGezW00fZds9eiaQ18WjyUYEB2WWOSZ14gEsOTHCp4TGXfDOUmVQLxMHvGj17fq+eUEXRz
ETIzxdIipYLOsGFEkO/y3CaGZLTL4kZVciRUZKEspfSxi9keU+FaWphfgbvPNmBNuUe0Wx7s1mqf
SY1IFllkO66mJvGyzOw7FUclZ4Z6GkcssGjcSoJq6q76XiZlgapG1Cgl+Gb9GzUiGhltqzbdyADD
+6o3uEEDBQVmPSXp1morekt6qG+9/8/eeSzHjbTp+lY6ZnF2UCDhEoiJMxFTnsUiWTSSKG4QJZGC
9x5Xfx4UxW5Srnt+ama0OLUTSaGARJrPvMa08T03R51K3QCM1iDCgdTXA0mNB+uy83Xnxs4ce92J
qCOFjp15OCTtTCfpWiJwmM9ilNMgk1iIKcCZeddmdteQaPW5pOCaXQlHyaE55MGQLDM6oCrkZjeg
TJB27WUBI3BAZBcm464IasoVrt1S9Oy7mITfSekDLSrY8fnCU/TUpr7AjrTyxEDnPW4dRVyOAuze
Remxx18KQyXHwarALTdRqJQusaAtxpNGrQG7uC0Sm4ssdEW7bBqAZyuo3/EtLvWFeWknJcVsMdqT
FISPQuycinE0IFVYtc3KRdxuLWvVv1ez3JPzJE+cdVo24p2JM1WJELDnTe4inx1qU43SFXsttbUd
Ui55NNNVZaNAwLmVFuZxIFH3iFtDby469JWorjlnetktkqEILnF3V1eWigtzhksIBWtT7daVkVb3
etLKTcZuHawDKjNiEWcqKjpWbt+YMsRmfiDVHhYJHljXuFIPuw4x+rkB8GQRVHV8XWNDv4CUgfoe
cdkaVe1sq0pUJjBH8pZqYG+bcpjAcGK8cdNArNoiM7fgeFA2DJV1kAqq+nYzj7Kquh4MxKh8KBsX
CpIHqy7qvAQwBdVWhKMGqkWZLxMOdn6+zpQu3pm0vgFt6nA+kzjZlQWUX9BCRnDDbG1OOdEE9ita
NnRItQfhyeBFHUJzbrMAqM1xmaNT57VddOHAAP6AahPEfi9zKV56Wk9paej6Ht8jpQOUVOIrnyR0
BYIguSyGbE1tLl4iDje+A88T3IMd7JalLfPrpPGqtfSbkHEPh7UVesUH6dTGCdlPc5bXw0PWNDR4
c6QUCRHceoOZbriy0D2ObkEpWdddRpAzF34k7/Kh5oBWE8s46eIWeCLkgUUAiHppKVqzNNuiWalF
WVCPkx3lfhM0k6CrHfdk0Aa9gk3sKFsVvA07TNKfQYRobl21othdefHec/RiW+VhiiqE71DoKwjI
u9atH6W+//+x+HfcF7IN0v+Jkfdj8svbmpbD4Yeaxfzfx6PRFm9URGaQQ0DhHV8zE9DI49Eo5RtT
QkRRhZDiuSSPLtAstnDQ0dEnFsj2cJw90ULtNxJ+CiYkx8N0+l9faRT/TLPYkhOr5dnBaAhUk4F3
SA5i9BroGvH7ZwAg30U1hBNPWyMnkcQIqlod3UYzUyBxSPNQDa52KQYYz0UeqXPAnWk/V6PBQpjL
qOpVZ8puB2QBP+sWjV66oAWSs28bzLvTFqqJxGdo4VtFfCLrvP3oB02NTCVQU1I3D7dAB5NADO5t
k+IhNpTR3AZTeOXGgoymLsYLMBYVhAGj3oQpmp0zq7H9GaW/fqlGHRI7efng0Vec13JqDqHW6ixi
R9jnao3soYcT5nLQwmChyKZYJRpCzEadBMuqDu3TUBfO3PERai5oqK2pNjn3IZF+MiOzUCHHusY6
GxoVDbMguIhyq1jzZuQi0XukzI26G7cE0tpCdapqpY0yBcCABkAwAw14QJyXG+28OFwnNlI2M68d
oo5WZKvNhNnYl10cejTn82zf2kb+UcXm4dyI1J0xWne1o56NWYBYgBFvxiHG5kOejuZw6SuwWkyj
2UNBPAMQWy56Q9YrvQzWo+XBxaAHVa8yxYonUeAk54TuO0TWIte6qcF195wkrasuQLpjtBCegvjH
XdFOjIWbmjVgwqlg6ScDuWPtlDQz00bL0KNUBgpBpXvnhL15gqZivh8r0WTzUVOsmxiZk20ZDhVB
vaKe9b4fk7PVOj0Hu8aADn5XdGIlvdy0FZF/7DXtW+reFlB1NGgSfNioUeiK2KnSVk4yDU2ESq9R
ro9MnDiZadWsSTv5vkMF6DRFoxK3PV+fo6YK5xOKbnAfWF25VJmVG8fPZApQ0k/XKmq6d62pWReS
KsUsJo36WObZh9oe5AfU8+VaJml0lURGu68GGkRgBuNZHvjqLg0KuQtjQB2FsPwFcNQdEYy3a9U+
XZWIfm4cFT85FxnXSwn1BRtfFG6p/CLpR0OJTpBwm3M79aOzuDcQQYgjMAMgS8RuGEuoKiZ+ue9q
qfnI6zgd6g5FMFwjVNufJF0l9pqIG2PpmXl7wFul27qRZUBmqkJKoWN91yVut3NTUBfQWfSbSrUV
f4azZ3ehY+9+F1suLJIoHKtijsGLicKoGkGadTt8IymsotKPjpECwaLD4cTtbBrSddRjpKDwNZDX
un2L5s07I1NKKooKr6KIeomGuYdPFJwcPTsdPWJLvULHVYaau1Qo216wXYD4iAItOA995Pzt0Yj3
XT3Wuxb9sX0vWhvaKwW+a2CTYmtEdUUnpxDZJxV45IVaD8CANBFqlF4L+tC9RDNXF1I5TVwUWWlp
dpngS9PwQht19E/bMdpXZUdT0u3TZR0LOuy20W+k7GSxrpUuv7Tzzr2wUZXY+YntY1YBPGVWgblb
QRhG4MOx4mCnhS6NjmywdsKv+lMV3Mha1bV6l6p5d+YTo9yZaOiheIcUtz7XUHt2jcyZm7nu3ogy
AZSqjZiqdgTLBFbltYnyzSIw2hQPM2ybJMwgABldEp27Xtxd2o3oLweagzULrqwREJZywZa6FLLe
KIVabmTW+ruIdhiGJWCFa6kUe2E5yT6g9v6uAB8OyEXNHjp90saEu0vkPtrKNVoV2kVbaeY74RYK
6jC4OpyCacZ0oZbhKekRUzrV9c9gcDHYFF3+zsxUsVAA+b8LfBDxEUIe9SymrbTU0dxYhbCboKZH
/kqt/I42oFdRqC1DeGmY614bMnFXvm/XsIHsbjjJolTfeUkwrofEMtfQAm3QCiUi0iIE/lI2zm2q
TF5ildZcIVI04ScIzPO6k7dBJ5J14pX+qoYSfa5ZcJbRbJkQGET5aNcld9jFOneOnSR7KpfBGp0w
ENgjFLgIfdVl0qJCDbFIaidlNDnUUEzCoS+OfIw/42ZL5blYdI1dnhijSPY5/GmwccEn+qX23Eqr
be4TkUlONZBhd7k+Fj2wNnnlFYh5Jf1wAnnBuynCuH3A0g70Tan367qcgEqy0QqxtIYxwZ0JzpdP
ttV1K2XQLQ/RKz3f5VKpJ9upcFY2iKbFNtG/q2oggLBNIZk0Z4Z+W9KuM5tAORNZu0k89LBk4J31
CursbNVLMeHWkxA1BSdPymVdCnTIegipy7JEhJxKkanH20ivK9SW7DohWG9SepJ+A76wDuMTotvp
WYSXLss+6dDHK+9UsvNN22SymNudDkhxVOHNl9U4LBpDG5da0Zmr1EnaK10BmL1svMzZ9CKHbw/K
g2i7R2MsvJIjfdkYx9S9WnGewUKK6Plq+cfCHpJtnzM8KXP+JlGBiI59bpyRieq0pVG7F1U6nIpO
owc9jhuQkuM6BV1wK3r3fsrT48Q9+L2sNl0CtsxOlQ2tmFltePPCzNwTFC8yUIyKfgWQqdmilqle
09OjiV8q9P58zGyhhdomqHPTV42FlfZihQOA5k+Qu8+9W1pboWXlO9ZHsUOprtnAr6BI6TXZfVKD
gLW1HDk1LR8PgN5AxPjp3o1ApcXxMC69NnGveQEJY4rWIGSd0j7YGr61RlX458IDgMAf6gjT94j8
qGO2p5ur7mg0Jbddq7bLliYgTl1KC4Smw5pwo1k4F7M5qbjKKro+dxUF6fcoMopZqZeQ7T27C5bC
Ti1jDQvBP0kNGAYANSEb+L1Bp518Q50rVWoBTXDS7Ir4IkjP0ApV/IWSxKT/bANz/0StyHIXWlGE
3YWD3uyWBDZGUUIPHhJ2HBqShtXN4x4z1Eq3grd6kqBSRbg7tyMhbirZxqteQ76Af0t9k+CrtUJR
GoZQFlARgG01L9D53ahJgN2X7PKrqusulCyZpTmJfV9WJyVO3IsGdujMVvtoVhNazCsEh+boKfT3
XdD3n2l/3VeBWd7JuD1YeatGMxM11AtH8SagaQNsUAbBPM30bif1MiZYBZo5Glq5yNxBzmUFhqKL
OZ4qtdG3emHfaGMHdlJDW1drFDyA6Ycv/Ar+XJxXHvVTM135SGef4ifRXdTCVdZu1ilkzkkNDFpY
c0NLrTMrHNx7Wy9QMilLb51ilsFraJKbwMygDui2t0egtgeg1dYrBdwY4JLYuvakV+70lKMTsdcx
XJhGHeczrXW8LUYa7aqSNVCFXhYfRdj2Sxte7z4Jymapdpmcl2xRMxCj5nmTBdFciV0dHCI8IRfh
82De2SmA1yDozeUY4wlpwpLM5lrQSVyOVX9FzwSD0CbqlJPEyYxTicTvUpS9sUl6GEBu7fhLSuzm
WYOq1sYcjAg8WCfe1aWXQTJCSCOy2u4kiN1sL7t4ELPGGqGge6oS3JpBWW+KLsqvVLDLi14LaOIH
qZzRJjDecdDFrL/SJjsILG1pdHa0DURib6QLuKiB8vHZTiP7zKrM+G2L09TaqlN1WYDFBxlKId8p
BmNFiUOFe5yLhRG5DkfNkCI0NUb6IlDTflep9aWpViviVHWH+2KIgXT5XsEqqKDwdd4Oyoe0pSKu
e5n5Vk9pDFh2SesqI2mBEjv5S6r9NkdKZFm6mF3NegNSVVOhkGE1CURZJga95gSb5Ss1Mq0b1RhN
quW1yxP0uBy5lbt9lll+pzGsfe2m902eNgn8PMvTsEEfw04N/A3MFPrcEzpLgSwC5sYOcBrHZC2k
yfMWPl9/Ywvh3A52m19o/uidIpZffMAJIlwalOOArJuat/abIb/pdWeE2apQO5JRsEjwb93D6dZ8
Fm0A0MPgDUAoNAgl4AMGt5R9FYWgJgXsotXpOofdDQs6OrVxTPrkWZm3wGo9AwkfVxt0w941RSVO
MEkxkSVwxK3WNBLcN3o6tMMQhePe5ymet+dGjP1abOqluUgQeD0pfSnviNS9tTmBRODXH7LW3Dc1
lVkilBn9E7SJHW1YmKM/XLZNuqMvMe7gO8JkxELRn6l0WD2yUh9Nl7gv0TcHfW/eo6QegFaCvsPh
nhAULltFZO9HLYlp9Qd2xBbrW+3OlRLZ/oJoF7qOZl1iRtdeVNCAJq6pcM8GP9Ie0JUL7nN3bJE5
VZDuxG72KhsjGI8I3cBlp9e/zIbWOgU6p2ywfUcAIRyzApgQzhJAI9T+oa3628ofC6T8zWBllEmM
CmERr8BM0DXKTR2dhDGgsGza7aKgMCmhkdNya7K2WlLSDS7GKOWExg1k65K/7gMYaAgM0la8YqE7
J73TdydaZrQn0MBiFGuG6jNSc4SCSdf1NLc6fDIb4gVcWFC7l3MbgQMgecTZ7THkjo/htzZF4pzC
BOWoN1STJL22UsnlIap3oM30KZLXj0G9PcX34hjpY0nRsz8Q/3eKXe+cKSeIpuwgnvKEJm41LPQ8
xb6oQpjiOb4FN8mUYJTHXIMSKS+onFIQ/ZiNNFNikkwpSnLMVuDv9euuxBghAYk2B++Ev5pOg3iJ
IQi0sWPKYx/TH9wJ0nxTF7Kf26Ultn1pUuE0cnrPZcTEpYCOkIAp5CFHwAhgepjOtLSt90ZfQtGy
BxzV7CnfGovxOi8NaxEr+ZWiBcEmVxgwHdWrKwqUBsL8RMoAAntllhEKbyVc3NPWJ0kzSheVuCZs
ACXbhGFIddcOUEhVvKfsbM4bW9f3jg2ZreAd4PczpYxIPKAJecwjscaIzvyoplJAkmmkeIZ2x8zT
OmahzpSQ5tQR18WUpKIUka6omFJMJ4PNp1Q2mJLaZEpvuckp0SXlLafkN57SYGtKiO0pNTYVz/6Q
GsWHvgqjj9aUQDdTKj1OSXU6pdf0lcm0YUsPG39Kv50pER+OOXk8pefJlKhTz9dOIa7L9/2UxuMv
QEZfTsl9OqX545Twh2zSGP/wW6zXEqSCpspANBUJYHZKNGUpHGh14yx+vqMe7Ue/LXwRG2pT1Uaa
X2lR45bhDUY/oEQxk9fjrX5bHJTb4qo7ry6DWZVeKPH5/2yP8TdkwUmOJWzryc91tjKQ+FPf7ccV
093hnnrp8zbidy/wWDaVDso/9BNNfRILl/ak1/OlbGq+0TWL/YZmo05FczKB+9JR1M03MNUIjHmf
9KBNRPOeCqe6htKexDuOwMNBA44T9r9QOGWWvCicKsirSwOOt/HVQWzENUyOqPY3cSeTaXkh0cqG
iFqrnSfQsHUnHU+lktrrRi+rrUrdbUuny0cNyKrD8y6fEqXUHkx85zkENt2Ii5HwwwLUeKQBMa4a
eEDYqCI7E6bOsjVy/7TFeBDR8WSsNhTWwjvddPsLdCeTe3PM60vNTQRmOiWsFKgP4eAvoNCXNFWa
zr0rZCOQJEHZdOW0GD3MWgM3hZWjjcp7eOMeq02aErEaNGurVWVo1OQGJfXPCy/H2x5GGIgcqETX
QAa8cxp5Jt1AEZp4CGiCVEGFdd3mqnPTYQkSXXuG04pZHWtxv3CyMx0VFP5V9v1CtUJAyG5rXCCb
gTzyMJoXdiYnPFlqrxyRVdgqFKUerrB/jT4mWNJlM+HrXo43gxeehjnmQSmp98oi594KJWjRCM7c
4qI3VA+NzirTr4EHR2+5D5deZ4k807zqWyAiNDw9b6EZldXM+zzx36ZKqp56QimitRZFdIm8Ti/d
OYxA37iI4aqfocCZLfPOCZKZ41AXnKu9p6VrQuZIoWmbqe9DFE4HkG/JVDJv9GZVl0V/C+DcPyP7
RNUwki32kWnhlcBbXNWuNw4wonKHomv3QUWCAWZxJ+3oXE+Vcd2a+kSDDuy3flWk56YWTOhZOx+q
VWK7+UcE/v12Hcdx3a1UJCu2elsp+azrGwv34oz811C0Aby68N7mo12/i+o8j+eplxg3iebUQHIy
3wDXlcY9GlQZbhsdaUOAqUPJi8f+/RzejIJEhpI90DDXqg+jaVvmos8Vo6nmpM1WvQj8xG3mapw2
iAiCqunfRcjkm6eKZhXqLEwTj+lBbA6JQ1G2dZSLu8q0A+w8JwVgPJxwmdCEXzSbKMACcc0RaYX8
pIO0ZajjbQtWB5Xdqee7dDrNv2nyrEAKFpGtNAJgvIG4DdnLUyIEtxM4VNZZ61RIgyMaPMBdxC4Z
peTG1C8FkdZ9XblNv4BaM6QoY3QwJbWoSvfYGaV3nZHQOQ5KzfxsO0lqgMutQMU5Hp3q+UDzd7go
UmdAnq8LTW2Dy4j2fpRZedngJYyPRpnuRAqeaDVQvwmhSggNiRl6xrbaRPbMsir34HSFdqWmjPyy
Eb6jzMvEMeNln1vkupQDlc8A00Zw1rDMOXljbTbSbF0pbtovS6kb5cxQahVuR9+IZRGq2UFHxULb
hy0WgpDXaAvnWr/P1Dgf5mmedSC68tL1J+0pbe4mhb/Hu8k40RGgvYhAxZeTCRLwTkKvAroLRWAk
jbik9xYjVe5JUK16lzMrq0WBiuLnjEjtqtRjOrmxGhH1uEWzUEKcomWDMnRZ9pRj9LJeQkbLcSuE
SAxu38MYzwM0v2xGuIKIb0bmzGSRHvxYKU+jfkQ4txdUe5RaOJ8HQ7rD2lUS2Z+hpa/coOvDVWwf
Zy2P9UETgY12qg817jarg/LTEDvNVE8T+LyrHQh8HQTjKRCwlGKiioYksEl9rSoV+P0C22ap2/3S
K7ViaWmYwQGlkOOJEfrhTIGfu3QyZIOaoWowAK+NraFr6q0M6klZwklXkQh0ZWHWcQYryh3pMxGq
gL+D89KHUXOVGQ3BZgKPvgJ3BsA5LdTgEkfJeClyEN4zE8GsUzXRzCUVKnepWe7HHjXJtRrwJ1lT
E8g7jneHikT9cQAeDBAMPcWFN2jRnVdl8hIpmAp7JSMJt6Ci4vWoTBpt5DA3fe/uB78WH8CF+Jek
386i1XpCM9cy+61dtN3GyGPvFHeeiHG3gq3tA1vD9jgw11mkau+LckQmHd0RC3sCBRdOX1VJkaRh
0O2uvbD95CAr89EEMLEJlMoDSduH1RlbMMDCVoclVbaoX2gKikvg8cb4BNA2uwoln+wm83x7FYeZ
hQpIb1wbI+ZLgCCVfVbBlO2sjAXohVZ7Uyi5h9IHTPATy7Ptpexb/yYXAZodljb6c9ttcAQEVh/P
qqZ10JdK1eQ8HXJ/q7u+tQdtYoGCZc0iTWep0Zmp6A16JL5+HmgjbS6XaPmijAuPnFHFbN5XkUhC
p24At9mE9fWgxcFbJD3bPVUl8xNrV+yFXzoPReVXK7CXLpRJbfAVmLIG8Xqd1exKUXhiFlYII1at
+xmIU2Oe1DaFiKbREIiwE4BwaeMvmjRJQLMUsH9ADgM9tHLKNUZ/qsQ8LAdwYWHIlALhqb0MiD2V
nPdlobKOwY/E5FliKm4A3XA1mDO136BYMjRUY2Y5wGSYsCEpha71ZxnovsneuGvMuSH99EZwVq8s
ow33maF9lrLUoQl6KAUC1YzKGxRY6h2BsAS80lj2yYACE9a1vdG9owiWPZSEf5xCJVaSC4A/4Rxq
cH0fETn/92AN/hvAdV/gEJN+wzfGx38206ffHp0ObrJ/7Y+egs3vX+gLtO5vcQlEvV9F2MebOvo4
/+wa8aEO6uYeVQqBR5AAkGDgMXn8ECLHWep9+bW0UOnE+MUkSj5+UBojon82Rj8ahZ8/4Lcm099e
58UDfMqatC4xp4bIkT7PGcSUyr1IMn4wBF9d4a8h0EgFyDQt8eURHRKI50PgvCGdQdlsslKaPo9D
/j8/BId7WNwTIqsMPtXPh2BKPv7ZGHx1iWdjYDEGKK0Chnh8zwA2n40BflE2vVjkwv+Xp8FXD/AX
ApUU0AKs8k8mwlfX+GsQBNAcYUHlnFLIZ08v7TcGAl4AUH+7V/8IvDXgBb3qydHVtQyWuAoi6fj5
ahdAq1eQItsgcI+fR6Gb32kJSM34h/vAD1+/Zr05GrVbQLCOH0oMz2cB7mfEXSpi9o+D8DjdfqNB
gJLsULd61UwQ6husCWyUhrjS86e3WANA1gzxZYYwOHzRb/T0huD2Xvv0zhsDhUWg4c531wGnoWo7
OiJ+v+kU0KCTvnodqG+opKmGwSg8fl7MBBvJKdrjnIZfxug3XAfC1jVCltfOBvnGVtWJcPDVeeC8
UVWHzcD8Mg/49e+1FhDGmjgNr9oJ2A4p5FJe50A8fl6eCTazxIKXCir/cZI8jvZvtCHo3PprQwKN
TZ/isG7DYvneIMg3jhTMA7gkx8/j9vuPBuEf/NGf6cbcD+L7Y6IRPFTH6P4xgP7bP3iKwr+9wJfo
+sjeIYR+8YdT3vF46ccAa/r3f7w4N48b/7NfPh0Ex+/58t+/POC3X/3iu56e6umHm+ChPJSfcF05
sou+3OajhN5/oqmCDc/33AUwcXkKib+bNf25FH56/Z8ZGKC79yu+oqpeagA+Bu9/DeX//bcXA/1s
Ef/szqGxH8qnAZjeqe5onNCvvezmUA6H9PB0oeNkAWPKMfvqKwfJj60iDFUnon3tV2wPSdL88X8O
Sf7vf5wewPQEL0aInHY6Kl/7LaeHMqUYEL0cpKkf9QuuzVKIv7rwMcR77U3vDlHlH+67h4f86S6P
71ZCiHv6wb++jM4O9/7w/WXK9X/BuFzcB9z+041Od/4l7nntuOyb++aT/1CWw4uLo4Uqnn7wrw/L
vknDw8en6xzvGqTDL5iCV4fwUNX+4UVdhD72lBG9dkSugygKXoiW6pis/IJ3eHNIghg3tfvm6San
EfmSxr/2ro9knO+dE18Co9de//1DVf8xe0i9Q/zi7h8jjtde/ezAZs6GVZcv5viXBOe1V1+jilce
XhSQJNNQ03/BebHOXtzxdF1L+wVbOQf/ITmkjwZ8wafsIxZ8J1WMH1/1fPwpVOJC8Atm/X/+LBCg
5kKZ6JdslD+VBD7GP//6dnNTTv7wL97HdOfoDf+C1ftf8kN85YNMjovTq37+ph/rXpMbxWuXw9kh
ncbp6ULHY/CRzf4LhunvyPKvHJnFQ+wH3975VA587bAs/lxvNKeeLvfX4Bi/4Dycc2LdB7hp+t+5
/i9YxBhHHOo6qL75hi90zl/wfv8B6fOVr3jLUfBDUukvyEduHlha3tcxvvVnAeW18+ifgrxeOUzf
34/+4Nz444czWVIrUy2QZJox+cyZQvvbSf29lPbPIui3ie5Tl+t7/+1lFj/9xaf44VD+x/8DAAD/
/w==</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00000000-689C-45F0-8812-5164024565EB}">
          <cx:tx>
            <cx:txData>
              <cx:f>_xlchart.v1.8</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solidFill>
              <a:schemeClr val="accent5">
                <a:lumMod val="50000"/>
              </a:schemeClr>
            </a:solidFill>
            <a:ln>
              <a:noFill/>
            </a:ln>
            <a:effectLst>
              <a:outerShdw blurRad="57150" dist="19050" dir="5400000" algn="ctr" rotWithShape="0">
                <a:srgbClr val="000000">
                  <a:alpha val="63000"/>
                </a:srgbClr>
              </a:outerShdw>
            </a:effectLst>
          </cx:spPr>
        </cx:plotSurface>
        <cx:series layoutId="regionMap" uniqueId="{00000000-5C8B-413C-B012-C2A4D6D76520}">
          <cx:tx>
            <cx:txData>
              <cx:f>_xlchart.v5.12</cx:f>
              <cx:v>Sum of TotalAmount</cx:v>
            </cx:txData>
          </cx:tx>
          <cx:spPr>
            <a:effectLst>
              <a:outerShdw blurRad="50800" dist="50800" dir="5400000" algn="ctr" rotWithShape="0">
                <a:srgbClr val="FFFFCD"/>
              </a:outerShdw>
            </a:effectLst>
          </cx:spPr>
          <cx:dataId val="0"/>
          <cx:layoutPr>
            <cx:geography cultureLanguage="en-US" cultureRegion="US" attribution="Powered by Bing">
              <cx:geoCache provider="{E9337A44-BEBE-4D9F-B70C-5C5E7DAFC167}">
                <cx:binary>1HvZct22tu2vuPx84QAEAYK7dk7VAcnVaKmXLFt+YcmSzBYte379mbKdlKVoO7l1cqtu1oMtLRJE
MzDnHGOA+vf9/K/79vHOv5lVq7t/3c+/vi373v7rl1+6+/JR3XXvVHXvTWe+9O/ujfrFfPlS3T/+
8uDvpkoXvwSYhL/cl3e+f5zf/te/4WnFozk293d9ZfTF8OiXy8duaPvuJ9devfTm7kFVOq263lf3
Pfn17X933Z16++ZR91W/XC/28de3z255++aXlw/6Q6dvWhhXPzxA24C/oyykIiYi/vZ5+6Y1uvh+
OQ7eiSBiMY7pt6v0t65P7xQ0/9PRfB3L3cODf+w6mMvX/39v9mzg8O3V2zf3ZtD902oVsHC/vt3r
h+ru7ZuqM8m3C4l5GvX+9Os0f3m+zv/17xdfwMRffPMDFC9X6c8u/QGJ6ztVtW9O7x6G39bkfw8H
Ie8w4QRjIZ7hEIl3IY5wgFn0W2ffAPhrg3gdhR/bvoDiGhb4HwRF+tiW1W8L879HIRDveEhpjDnH
Xz/kORjRO0JYGAlGvgUF/63rb5j86Wheh+N7sxdIpMf/KCQOd17f9XcNBO3flaJI+C4iOAzCMHgV
Df6O8CgmDAD7+nmRov7SiF5H5IemL1A5/Pc/CpXLu/qu68s7/fehAoWDiZBxTr6jEjyPEfpOhDFE
UPw9RthvXX+Lkb80otdR+aHpC1Quj/5RqBwe/V37dwYKfheGsYiiKHyOBYfiIQIeku/pDKD6Fpzf
sPjzcbwOxG/tXqBw+GdlrLOHqiv/RhQC/I4RisOQsm/5KH4GhgjfhYEAyoXjb9nsRWD8+XBeB+O3
di/AOLv8R4XEyR1w6Luu7P3fiAiJ34UswAIA+U8FBIuYBpCvvn5eIPIXx/Q6LM8av8DmZPePwub6
sb3TxZ3+O5GJ3gmMOQP18SxIovgdxjEUEPYdE7j8Y8b6S0N5HZAfmr6A43r7j4Ljfd+DXD33dw+P
Xfnb8vwN3Je/iwPKOAER8vVDniEjILtxTlkgXmdbf3lUr6PzovkLhN6f/6MQ+vDY9W/kI8RM+zfi
A8SKPSn2gL6KT/QujgjEDWXfLgMV+DFy/uKYXkfnWeMX2HyQ/19j87qY/VGiPLvj/9ZFCcBFCQQn
34Mi/kM6o5xSgaHqf/28EPHfXY7/PJrX4fje7NnA/x9bJv/ZTvndZEpB/mVf3akfHJWfX/06PTDM
XjT9vnFfzWnf1mr/8OvbKMY0oEBpf/e9nh7zbNNvhxpYRf9bJDxr9QjCCB4CrCziNA45yMgAUwLP
myB8f33LxTsIJ0xxQIIQBzSEgNLG9yV4Z0/CNGA05hEwOsI4NOrM8PUSBosgAsRJGASExCT83RU8
N+1SGP37inz//Y0e1LmpdN/9+ha6sN/u+jrUEEMPIsYEbDgSRCTCcP3+7hKMR7iZ/J84qEbetXOU
9axsS7muy/KhDPj8zSX7ZpK90g3YFi+6ETwMooDHEQ9gXi+66Tjm9VRonvGwGT+NGImNwLTwcuyb
cVsoO0IF/R2FVzp8qvJ/6JGzKAQSAA4jEU8j+nFiam3E0OQ8i8gcK2kVbstkQKWapI6oThVX1ZUY
onrX5+JymHCMpIvV+kkvlGyxi+ujjpf0iLgxyIJ1qI/ipZ1OVLGux2Ru7MmfjBeY4B/GC5CHjAGV
jPCTzvpxvHWEmmWadZQ1uVEP07g0SRcR+LeJdZzWKBdyKiI+yUqYB2/w+jDMYrpZitpu2WDCL8Uw
NO+1mfujYl7Nl58PL/jjPhE8ohRHBNwr2JOwH38cXhQ7bOt44dlAbHhSraSZk4oZmkbdVB6Weo6M
1MSaQ9vTOcMIF7u+COYMxix25RxGH4KlUGfLXB4IsXtcoou5IEzJfBxEKbkbm1sacrEd89CftyYw
n4eCNFu1OHv587mEoJL+sNQgZZ/qHA0F/P98LqJaJ9wPlGV2aMvjhXmRTPMcFOlsRXk0+WpoEkUx
y5DppgfNJ5PLVum4kVr1bDfzGF0M89zf8nCkSBKij1WD2MeZNJuuYyeRr4JUR9WYRC0qzjQdxn1v
yjLzRX1rmStllbOPMevpaY+GROvlTCzVuLMLV/vGt/yUKO2OQ5SvVgblxLQMKpJvSqW5rEGjZ8Mi
Qhm0Ez3xFpcPgvtilWSg9sC4W0/6WtFClpCNDl7haZF1gOI+Netcf/z5Wr6ylGDuQ3KDVCRoGDzt
6h+izLdTbW3gWKYZDQ4UqfVh5Y4fh57iy2DuYL9qM8VGQvXS57HOffrzAXzNHM8TmIjw0zlDRCih
nL+IcxuprmHdwjKSU3VmcKM3pp7wsQjENqLkC6qn+WxYqrlL1CxKtRtg0F+4a/3n0Lr+xBXTqGTg
gmg/mbZNI+QmLrWOSIJyas9NabrdOHbFfCisWh7iYSJXg83NIW5n9JHQpji2Ky+KpLUVlkuB52PR
DPWmHzj+k50Lqf0POxdSw1NNEsDCIBafL7cV2I7RUxR2jRtPCxUM+RO24d5CXTlHC483jpBA5qRd
L7wTxYFahicZCmF3ZA3Fe9ax5dFPBb7/OQ6vJHgBxQSsIPhgwV9shLZY1NiyiWWTCFhCvflSjss+
7Js5jeYRzLWfJfdXlgEEXBCA5qaCQE15vgwGCtQklp5ly9JFH7FZzFMaqc9+3ssrGflZLy/SRCvq
infUs6yhVfWI4QDveBk0sjLs9bL5eV+vzCgOozAG4x8YOPz4YkZoYtaVjGVtH403ZHKhnPM1+pMq
HDw95sdgYYIAcWBMQAoH1yICAfZjuAaQcsXS1jwbmb+0XVAkCi/buhovZnVt4ups1jSh8/QwT0sy
lC06W0mbS6gnIq3ptKTxMHRJX4bmgnd22kZF30s2X3aBdUmzlDizVdFKPJR7G87BImm8+lRN7rEu
quTnS/YSHibA6gqhVoYEDBZMwZv/cS5ruDZu4D7KHJSdJB8qIfkyFunKDUp/3tUflg3M5qfCRzgQ
GMLEi81drnnQRgOKs6jlxVG+NGgX4XU8FF63G9rlww6WOv6TToEKvgwqDmdyOAK6BIktYkDPnk9x
CnoWKDLl2dhO16xqTEYL4bdxPk8fqTOKSzJ3l6io9r6YbqNY15toWoK7ugiI7HF5AO4jl0hEkub8
vLMWp5Bb3Lbydtv22sour27zoLs1I9lWeDJSiKaTncoD6dreyGia96wZQ+mjDp/HfLKJU62Mq6Us
JGItkhVe8MaTnJ0Ik89p4fGxDVC7ieaplHEeIEmtuhhcGUvtCgt14HKJmgRy7r4JxVURm+Fs5Xeh
XR80XrszvSqWasaKj51BwxlydbCZ6q5I87UmUjmhpO+iettWXGP4va1vlxWRdB4qXSbx3I0PQRv7
bViGcS1VT8PbuQrEJsbq2trx3IvtAPOs6oLc5xXzGcuVlhUq1KeIsWqVfcv8hrmmyXQV293cMpUE
i1enoaubczLzfJBB7fqM1CHUXD8Ejx1txIlSUbepSEHSvGqmPInJmGfrxCOV5lAkPjWdnrKq07OW
9ZLYll8xW5m0d1QVUg9D2CarK5eDp2V4kZejS6JqyWaKs9jMO1PqdRu0dJfz62Fs5DKHab8E8Zdl
osfNNFy7cXisgV3eVIFpNnTVKovF+EGV7qhTc7fphn48yQNHblxd04ux8UzIxRoFz2pRJ+M1ljF1
Fypeb+ZiECdjE4W73novy6FArWzEzBOC+vHMz+u8JWvLzvtRqAfdAWyDB4Uq87L4IsY+3hZr3u2w
E/aiawX5qJ1tP0wV3eq6N/2mqmdxboyyF6hpBy/nApcsUYFb0q4el/dtsfYXNF+G9zao48Qhv1yj
Mrdba1Bziqwrduvs0WUDROt0qF2Z1HC8nRKnIuiZ29N8RUPWTDPOhlCQO5QTvzfcsNPAW5eWgN5u
rVV/UQ7tZz9Gy+f6aYYTZmjr8/EcF+F2NdeYEJIItZy5fDnJUdRta1xPe0Mac5/npLw2GLako0MF
BFyQVLiGHKGoXdO+d326xmsrzVywi8hN5WnjzJpiu5DELF5/EbibN2gMlyNlvTrTTDyWjt1qjPNY
dsTYXPqgmj9EXWR2YTEhuSxxC5xupnLoynUvplrLwRcfvO0+2Hgaatkz4j+3hvQ3hWj4TsVObWO6
mMzmOkhA+XTHXnmW+tjzXe1tu/FIFBmjMCiCub4JvUYnFYwqtSSHmxt9CRl23jnlpj3pKc/grmIb
RNNx3o2PlBWH1sxcdnXMtdSYzkldlXADKsqrcY5FNs4j2jRUiLO8s01GDBJXdFg+d4KZy9ZP/IwN
kBUgBtc0pNW4bxU7Xy2mF0OpAJNgMDotu2k4Ckk3QVD15aaMpykZYprMgbHHUT2WsqG8ksVS1gnL
1/J9T0sD39n1gLGDCRrXJQuD7MjCboEC4ZRkpIRzzUEPx2PBptNqzdsLtpjppGdIZcj6Pi3besvC
6taVqtsUvNZpiFoHedWnzRiP6YxUfWoaTeWC5uCeTvUgJ+Hq1MUlTqumcOcBUnEhc5B2fENVeENz
xyAHFrXPylKnJGrOUI+HyyJfDkSNyUC7/drU13nTaJixbS4onknSLlXwgNe5vbRjDUxfTGu4rbsg
EtKvuk5nz888HNKl2pbrzs30iuRzwnQYyGHIRxlFw1avdshiH3zWozuUhKVt2HzWVchlpcdwO1ke
bD3CV6axaVfO44lmY348DaZ2kmHbfexXRVLrJp1/KkCejbLMVbRZ6qUHdb36Q0/6IgkUzeauKU6H
tRNJH0wkKSe6Bklk5kYi54dkqGKNJOt0uOFxWCVmyo+AdpitqevmYCgazxGp3KbCWh+Xxtgjxjtz
GXJ3UTZkkaaN0V0VenO3etxsSR5VN7kWYdbPYXVc5Z5+hFGbrBsadqrHqt3Gs1i3JbflXUxQfeQE
HmTEoXL6YHEQFzbejdUwJLavQQ62i0i7wqi9payC1M9c2vgGn7STHTa9g+RdV/7Cky9NCT6C5Gjp
rkUf6aQjpT0Ppna55EUjDta3yyFao/oA3t2ShW2ff9BrvHwc2sYmcdCSy7lwbqtZCLWwDOpt6Pvq
kzBsTWzYuc3oRPTRFhjvqzI2RzUtoNyWyznmTZnODS3OwdnpMwyzPZ6KhR36sWPHOR1YVuYjvg5w
WV20VU/3vpvEcRgXQ4bjujgZlYCfung8dVH9YJWrr0umcFKFBd7BFs3c0H0WipUb3QJflJF/yi5x
WZJGthZo9xrxZd+FNKPIH9nhjOEqUx3XZ1NbOVnYWfQJsTzP0CCiE+q4uezXij2wyqmPUaBZglB4
s+QhS02Jofy5ftyyafSx7Ne+3uIw1hKFXB31jeOQw0K/CSNE0wrXXRIh764QG0MMxLSNx01kWbl3
NLIbvIShbIkz6Roq2Ph575FNZ83DfV2M614L/EGEfXQuoL0cZoQudFy3J2vlHngXkAw3ngIDbr2+
0n44RR3dRV34RQt/VDRrcc6amKfzMjZpMZX1fqSwzkVUscTRZZJgR510hc3GIk+AqOUbn6vJgkGw
lNmISHw2kXg46/uueA8KjxOp24ps4lDzUkbd6E9DGuc3kY/IpVI9Pgn6yR7RophP5nnuHjpWYSVH
V5bXk4bBIByyRzrj+F5UpT5qqqrOghLakVyg1HPtiayA9G1yVtNRQl5Y7oK4i47V2C1IFtTozMeR
vrQ60vvS1eNjO818kDVF9lCUYtx2xlIrI1KR9ygHTlKXTSxSw6Bej2D/GKl4jrfhZEMolYPLr0NL
BgC/jYFGTqrYLo6yFnim41a6Mlhl1QXtjWHx/NFHa1ukvmt7L21Z5nlWD7Tk0pk6Pm3KZtwEDZpS
CmJohmSD2G3hoARFNm9veTBE25ghtMhmqo2cJhWfxK2zMHjMqQI+U9NstMh1snVoPZsbMCjT3nf2
zC5ld1KP9aXi6+cwqj8MKhw2ZbkER77Ii90wrB+HNYCAXpVLlrLxu4GuJgvUqKV4Kjc4iCJgt351
TxbRnGrFXWpbMRwH1JNNmQ/lJqJ1fqRQpAvpVT7vx3La5IqmtWrjDVTXShKqjJLdousDmit7o+f1
MOQPaxhdiim49mK8I67ci6X4xJruYwlvMe1UgdSFG7HYdVhHSYhVdNyOounT1lQqNZh0Xpp1jU8V
tj6F1y/XnWrRQMCKCoAnCaZPYub7K9Q1TUqMoJ0MbTCcNroqQtlxxu7mSYsqgSEM5y5nxUUbz1f5
rOjOhFrfzitejfQTpjuwlqbHsc77q1VFbrvMBmXa2min0VIIyaDsPQyDGMF8JbksQp7LXFO7hUgW
Lum9uRBFPe1GTIpbbXoiPRlExk2h56SIj6hu7AVvwO+QJK5cOnaV3UdMTzfYV1B0hBipk1XBbMLN
CpoVw2utcsh59QXa6Kz1arWpWxCHwsp9GSbr2qGjZhJ1Bvy/O4vauCqzEKzWzAexOh7DEjFZcRNt
2rqMtnWMe0i5oaEJqQK00V0srtAcgWCIwDR8X66LuQXBjg/gEJitF0EMwT3EW1SgQob5ekHqKRlj
pR96MB03M+3xHcRwkC10ynfNINZzNOIhm6O4BRo8eLOnWqATXNK8lnj2zUlbuvzMA/nIWNnoxJDW
bIdcVGlFQ3JQhXjfjvgoUJ35vA5FtcWlK6/CEZmrlVGUDLZfLioF6bRTMb+I4wB/KlkbXw5NEJwE
Ec4lPLK4f0qFn1RhyqthUo7Blw05+JoF0tYofh+tfX8dNXETp0Nf3UNiaU/LcZrfT3ip6rSKGrMh
rtOfpkU7mEPZ7MpCrMdtXxWnZC3cxehnc2RqS/e2GPrTiigjDQqKD5Ud8jMbFBoCCCzEiYvqoICw
fVBxRVfph7jdAuexNnNjiDKh5njnxmjsn1yG6gyMufGmCcGYm9Gijkw8drHkZuoucFdGYKesftlp
4GsH3vb8cSIucHKtdXVBYateOFEvupRoCoI9i0Afly2oyV3jwZSVuprajauF3pV6qj90nfK3rg4x
ySiGgwNp3IrjFMh5/X4gLE4DsZAsVMh3MlIKhI0oFD525VieIo51RpixuzH3o0SUWJCBpT+HMllv
PF1bClHiiqRcxHKDiNbvUYXaRLSCpc6uOYhD3Z820XwR5SKCzT82w87CFJC0wuov8GvIkylsgVo2
i4gmGSMHZx1zIdglKosqjXwNLCQPmjBxcdG9Jz0BvxJj4Hdw2d23Np+zcR2DMzIqD/IeCM9p7tF4
x8q8vtUMaZ/lhPVjYnQ4VZe0LPtt6yiQXbQugzuYsIPMUCyXMFGw0K2fEYgqRbdQ1JftHHG1ayjC
9EblefdlDOoWpDUYd/ooCBUPExAGbDrES8UDueYkWtJ2afyUApNG6Awz3osDWXg7ZTNjHwc1q51d
Bb1sVxrvKlS5RarR9EICw68NRDuzIgOdOZ31bnKQCtZ1mGXeVHG5UXq2aW9GILfRKmy2dH4JjsGl
znHCKwYHVcLUq2STQ/vZMXPS0Lh7X42sTiaEuZxcBDoNifnLauNVgQsbTkcrMuozI3bcdLaFErlA
hS0knkZ6rCK1fgh02H0pwQc6wStDDzB1dzvkU8ekyG1/BKUQ0gBgE+psGZTwp0wUy2lnuLBSDGu7
GdmIj8ENKyCfj6qd0pG2VepyY8+qMcanBrP6E0hLkIvR5MTnuvYNmNuQuD84eEu/yQSdDnVfCpNM
E9JOxhO3t52LTdraMP8IR0oQV2NbgdCrzJUec3Gce1Y0GyTo5zYAA2rqyiTsQzg8AT9zW4/rUdNM
Iyw2WGBSr6i4rJaovZ6Hud9QbIuDLQU5a1iDwPjwg4/kMOpus+i13y/KBZlFle8zFRj/gdZ83NVQ
vm6Kpsh7yPAlr2EmpDvya93cGaBL2TSZfgehWhycGMi57WrEJVRALeQcoBwl/dznOpnnJe9SFpVQ
JedxPakJAWEAavhzwJzYg7taHIJxfuzI+Og79B6DBJBtXZE9JdGcCkPDTThBCjVMDzfeFsWRiG18
XIdF9ThGqqjkaqrlFJwtqAwKiLUUKIgG6UICNqivumSdLXrs4im3Es7WvnQBm7r7py60DPnUx5dz
GZYs48GIG7mOFUh7DseZi8R0CaUlI03CHCZnlhwk+HrDvB/hPHCdPlfI6iYZxdyfzXl0PpY9O+kh
BzOYVp5W/dyBo9PQ4TD2bt37KewlRMcthqdwGSAWpiBMmi3vl7l9ShFz6pf1kxjAhyu2sQpvIy+m
M+wi+rGDqR8JKMMS/MV+D2dcJgN3id5AdUpCVLpV1vnCThGZpwS4TC2nthGpI+tJqZU7xNyPSd47
+7C0M9htakDb3ILWRXNtE+qmPk9yvUSJEQPEASJs3wGlLaSFYjXJfoaS3DfBvOV+RVuDuzZVnptO
FkNgT7sA6Q0OfbQ3UVBgCZmOXFnh+T1YGXWcTrWYcYLqeb+S7lLlvjwnAfiCMepa0IADPcnzIelr
2IcLX0yRCGGWHSDeT8kahHDoKibYsWV8MGP8cUI0uilXzo+axdukESsBa1bNKYPaezTUnJ6IceCp
ALrycSS8PiimVALkwGbBPE5JNToj4b206WSeRBOCl4CWLKYlnNZp0FcX0QKqOByn8eCjuLov/AoF
uM19QhmcYjVVod8rzprrohjWS4SK6AbO6w1IoipXuQwHRzNRYJO0vCY0DXUvbgSqWvBg2+CqX3QM
erbKE5BAdk/WrttYeLUk8ZOvk841o05CDVslDmdVbSfgklso0zWWVYSnBDUsL9O4DAugW8v4CdKo
60H+sjrexGYCap+vVb+HU2ixJkvnrNp0VTRc9kTgXQv03kA2FW4C2RVUhYzZhC6qdqlPnTH5kXCq
35bGt+k0MX48h9rtpobojXBrnbKxAw3UtTz1eW3Pq9mcd4rS92TOpfbBp8rwu7iNmWSGz5UExucy
Xq6qS7XnSb+0J3zI2a4oSnxpDaOJ01QcqWVqT6quudZlHEjSjuUXRwJyFfkwvB4ak+8roCAZcuNV
HkwNJGk+XU5qwruhZc3pDJUU3rzQWVfUw2WO1uKKr0pt4e+t+CZQ4DKDoUtPJh0OW8Ztvxk6oyUc
htwOwuMDLlq0nXO1H1sfbYcQtlFd9l96UCsPy4oTatGcDMvgk5mtkRzh4KmprNrjwLSZ87rZRmUH
3lAe9QZ2OC2yla7ldT8MmxWOQ6nTgDEc2WZ46e7DTq2HYpromRh6z6RvQmwlgkyqwX/ahjkeNqbB
yEnbByIL2JljDqRY39gx8awbNvUS2VL2cLRsM+zag/DwtohFWVzr07FCw62K2cMgULEd0Ez2i+7h
btHyiwH7xHT8OFj7HbKg70xfhAfvyjPwfg2cHaitKesLgxj+XNp1gtQEcjiY1Ax2/rgcwAB738Qh
2Ao4SuDgIQmqCsy+cbB76qtDoesQtMTcPtA+r5KG+k/rWhzDO4ikkPCXYKaQJCiUhLP9AMoBYhvL
QAKtrNpHwdJZaWKnrOw1nGQB9YgODM1N4lcQyLxdImko05kgqgaTEuQE/N3O/EmLmB/U2IQpNRxE
+zBvCsi5KY6KZkzbin02SodX3BV6yIoyKL2cUMA34VL3u3ZZbAheiymPGKoavqWKsFs/ElTc5fAF
hKe3HHRvTK5pGFWgtUZw25plzBqIW5uAls5WIZZ48z/UnEmT5LaWpf9Qo4wESYDc1IKkT+HuMUdm
RG5omRkpDAQngCN+fR+X3tNTqbq6uxa9aJOZzKSMId2duLj3nO9cGBSQMqzanioSVy9DH025mrIu
O/CUnrIkKkU60LshoQo+/Lws23HmXn2veIVbkWs8UlaFnX4lymtYjmEks+9CVSjEyMTwIhgkqc5M
YT4pRM3C5SPLdP2UCZ5EJ7jJ2hTbBH8E/qi+mGT2ha/XtVgGCk2UjSqfBO5DFsBCQD3N2JDXVj3r
Za5fpjFGtUXdaA+R9tA0l6pNwIEoxj/61kzft44mnzWv69zG2dTkS4a+2WGuK2i3mr33Iy3SYQvH
o05w3ZsAHzWGwRnTYtWDLkmJfYdQbHeaLhYW5sjvOEug4ROex/GYoFqZexZ0K+bf4SHS9OSa/rsM
jMVfdHlIcL8DtXqIiDg7PZKXOFy2II9FK54SNCRXPHHyoxr0gIl4yBcnggvfwk+brFMpNtofzTwo
uEvbkDc6O8xN9m0W83MyrO9x5dYxx8HFiffRcFpr/K5UjIe4td19hjBSwSwe9EZBbBQJvUE24fSM
u7vFDVlDJdOmb3YYAzCpjiReRW783Pzyc2IKG0euQNtzalsZ5SOvMDPFcwDKhMGV6jO3vGRdO76J
qff5qiKI1CYZ7jX4gcDUVxeRaheuPCzDVEKkcF1VvWNeaIIdqLSh5HXkT3MXjd9UqF1TWLatZz+6
QBRzUms0vgq28DDi0m0mgZInixR6waZFdtyCcCoDjDoU9afp7gPTJi/DkoVotKCfqoDAHEn0hxMk
PGwzKi601fWqusSWtFr9+8YxtTUFrCwoGwwPywOzzfuyhNGT8GEl9m6Mtm99oOrjhO74Gmcje98G
H0L8gq2HlsgnRae3LLiuhgRDzjneBvBgRB8aJ6qHCNLQT8ymmEK8ru7VLFoIFXj/8E4SycNdlYTm
DSOcKp21h3qjxdKEwTnOCPwCN9dvzTgc7dQv+6RZvoyuGfAOijcYyIc+TPnRwEvaTd66Itg2K8vE
JtC4NXmIBCxF1BX1NnbcANjoMZnMeNBywwL7W+vVfT/wOo/VduDUlu1iuh2rF1zZEPILnyoo8LLf
SRrNpQPoMuUx7cU+2xqKGR8wCivjRP2gE016QI39cmwwf74HbQZtlcXDKdF0+Gxr6LHlSvGALMpW
Km+GbH4xSUjXYgjH+lhXNaYG7/mFy7R5oytz9jBBrMuKIBYefy8+5HPLxJMc6vuRT+gs5l7dwTmB
5UAbc1xtZprSBlM35HGz+Ge/qvYI8GxxJZUpPaZ1YAywoQl2wqb1u0ZV/OlDGxYt2JYX1lczdOK1
V+fExyhhCZ8fxxq22UwrDHIdJWejaI+Raejik6Vz3BYsWer7BX3M3bxVYoSF1sdw0+S6udybDod9
DGhcLiPe8oLQ6UvtvMT84dOdYrM9LGmo0dbRE+M9rsFFJofEoYPKMZTSKya4LpcWruJcDoN/avtP
pxX51dUrKSyfyKW+dbyLp+oZvF53H2XzVHSN0Y/ae3bEUYoeM8hBX2JJ+S7NSFKms28x7yVjTr2j
RVJ3axFrjbrV0voCzChGWzajd66G5YyKuxYzern9hCp9YFEN37+zN2dsqMKvBnLDXQUXqOzrTJat
itjz5DN1rcMu+RlmnFc5VD1cHrVeo3KKE5LLhejCyGkpoSFFZSDDKe9rMr5bJZOXEM/nk+xDPEoi
GqE7+O45ASmVd/ChCtw8rtQoshCo5vgUDEENNaXeVJnWSfOimr4+TI6NX4cKta4LIhj6SwuyLd8C
jVfckEnOhWlDOEuCj27HO/kTADT9SOZUPWzUDSXsRFJQgIp5p6OkSHk2FzQQDO+U6QrdRttZkhRX
juhmfDpLN6TfyUI+2nT7JWYeXZMsesQDBbUealLRmFE/ShI2Uzlpe5scYtms95mHdX3oMfVOhw7F
UxbSuvmIx3pA+xhBMl2aVJ5CrcQbHwK33S6iOSi7zGxrQfDOAhnw2aWdw+qY8Mb+pGLJI2juFY/G
h4E026kNVl7UNZltMS4a+IwcVfUkIBa94OlSX+u2D98XGpmScSd2giRiX3WVf2BtZ4qBT5gvq22G
7WzC4B3U5fhWewphKm0GyOE+TE/S0qEAtSV+ZcKnZV8F9S5jfnsZsqG/tE3b7HFbmB3j1t21a9Bj
Hg1mCvsl/H1Knoo1aocz0Zi+qDDmLtlEeCJjNrrbHRIV3qTb3sWzv4fQMp68rMn3Wgj2JXJotFsM
SUdHpIMOy+VhVVrtw5HtDF2nT5IN9KQWWoU5pwszhQzVpfLL+ogn0qClju1Hx2b9M8oMtHQp/Avn
dF7yDfNOX26wj0EwlFCNc/CN+HcNleR1E1U2FTA30rUI5tG9hGvj7uO6G5L7IG3nu3ELW7BLZJl2
CWat46AkHHRfB49bJFNMkqwJj1koza5nIxiVsIeql2n+Ws0RvZd9h0Yk5BBtDF1wnnH0euFgYqbe
vEnbACEhQKi8666kI2+8Jb8ioJ2vTU+G526Kqz3pVnXraru5iJX6EhA7P2yT4K/RWs/PZJu7Uuun
BVLrnsZ6eq875h6TMFrfSSXHnQaIco46lRYTr6Z3lJV3VpvoupFbf7A09X1Ux/TcGhccjJDNoxhV
XVTJXH/Oc+X2w0KDwjazwqgSoDoAsDpiNlSiGHo6ygL4R3Iy3A2H2ab+oxGD3fJx8/RnExH0Y64P
SG7QJ5+1SkTZxgy6bNw2pWPcF6KfaDHENzSinVKUJtGfmp5B92HjwUZ8uuuXqiskC8P3JDMdai3+
Vk0+qCZ8gtiqzrMfoz00W42fytd91wf1SUwmeuz54HZNloUlkW16nkJIGrr9bYFew1bcGaaa1gPa
6MzmWxQPeaVlUFROt8eBQTVmqfhIpfwEpfQrhdpaCLjYqgr3KweiNjimD/3Q/apZ3eUZI4dWWZM3
W43it8WlbOaLsOKy8O7LOqHsrJ6Xq4ExRMItgG8sdziyxRTG5ax4eDJz/7K58AhiqODBLI+bbk2R
LAoEAlyhMV9WGFnpBLmncUEuKDn6YLgzUXyc9HaJB6jfGzLqz5C64qNLV72PRwEeufdYcgF3X3/j
/Wb3hAt9TbmqXyj8r9ekxcTYeQUpvOnCw//wXYC+Edb9jtej+E6kjK8YgYO9T0V9aJ1yb78Tc//I
aDz+NWfws8MvUEL+YwHJn//5768dmMHm9zUZ//qft/0l//qvw6/ulhN2f/+i2+/586v+tWrjlr74
c+/G3xIdfyxB+S/iHv/bP/y/y4KAncqAGP6Jqf6nJMg/U7L/io/841v+iIGk/N9iZKTjOAUeGyGA
CAT0jxhIGiJDjX8SbCLIgEkxQNb/jIHQf0uAnWUIaQSQDZED+TMGEiLfCDGC4XvCDEx+kv13YiCc
3VjCv6KhLAUcmkYsiMBxB4je/0fWEDGQIY270e970w1QPZvEtDkU/OAquQW6zl22n4AF7TKAAc2O
mqa6hAz8Y2XW4VxrjeZ4DZoKkjTGUsxgGP0oRQMI2WTh9gDX317XUEmeZ9247kCOpujo1GLv2mwb
3sEHmHKCtnFSkZHHptawXZt53M1ukscBo/SDguI85oMY56xMohjKSFNT9DgdboIlp7G17YmmJj6r
VaEdnEBR7KopItcFMviQw9uH7tRkK/lVucnCQ4Ed/0NlwP+DYEmvGD3UXTdlgcyb2neXNInYV4f0
+7oLA+lwsfQ8gMGh7IxONZpEOetWf9Gj+Vh8oK7KqtfKel8kopnRTjP7nTEvzzEd5HNlR3a7y8w1
UJoegEW5XcAVogDwn07zRkiOKe00Emv2mDv9LsNbtwuFlgWoGbRnrVyebUtH5EFSsJarOVNU9EK4
+pOKPskn1qnnKk30CTEMgztt3r6B22UXmcCxxXVOUHgUq2eT6zSK7upOaV+4IPIY8qZergBrkvRM
RqH6HG9arHJjwhCC0LroJm8kT99C4YNHhpnsOZuNyU5pq6jLAy2GhzpaNxheDXXfOy6X4QTRYjoD
i6c2D4D4PHQpKhHGCdT5vLGa9+elD00EariXcU54PBnoSSJ7dLOgUcFGRHv27Ra3d251uqh609A8
qNJBlWJqlNqz2EUlZDl9LzJHMasR/Y3ME91XDqJCq3G/4iXN5nkQWfrWjy7ZJWO6XmrXzA9jyA0+
SriFWx6v6a3LXuz8koaQovJGRfTrlCzsS9eHdil6XMJPWZKxB0bjucHQVnXHKeHm2GRAH4plmrev
mB/EjyFR+skpeSNjpBh2Wm0bLgu8pHk/mbDbJZuxVdEypp4ln9LjyOvgyGqx7m9KsSmqeu6OQ8+7
q6Fm3Iv5hSKOggsDlAuRX7plWIsOUtA9BJXhFIKE/Vj5MD0maPaLJJZDntr2YVzD+2jbwrKeVv9U
D2gL9EDwlhHbFRDcBqASSdQcDMYLnGqEcg6LtdCItpaMOu8ttX43Zdr6gvRrAu4tWH5xXX2MIGMu
eoja6zJk60n0C/R+7flwnFwTXzogAHctyC+XpzSsHrRzxEJ4qtrzpAh4GPBgihc2UPypVcZ9CWsr
x2KVhl9dFtr3ld46iND2Y53ztGPnpMdtfkKmwE0n8MMMxtQcpds3gA8qenGQk0uXtN2nyZaOiSIc
GOsvKZ593P7hMKnwK1DEdT1JzZMwBwOUDjs4O3XwM2JVhb68G2rIy1uk8FF0dZYvE0+bO0Xw44sg
BIyKXjAsk2lsvmIGjps72SkA1EFd68KPCXIeakKZhmYeoafmyWS+KrUuhymzJMFIzL5MQ7Zcwmh0
92QJ2jdjgecXgjIM86lZg0/ONT+4tTJXe0N3Z0hu+3nUFUIom48eunDdfrSuCj8MJKeC21sCCacI
FRbjfarH/nVRNHQYPHyCmcPEQ/cp5rF78gAufmnitmPNJ/9pl3XetTTADw4rgMo7E/l4PawiStyr
ImGcQhJ0qQDe36XrMxR8Pu+4cyvb8wFfehI6CsuxtRU4ZnQx7FjRta7KBsSAubYN7+mpmaKp2d3k
xikPa+Ff9RTTJgfSPEZQ3VgsS5fGlh1o0oq5SF1WX9cE2IjlItr3oUQj5dHp5BQBm8OWdb4Isg4f
pREPxjXmYlMrCihe6wo+DKphhIsHkrrr7yamMY5P0O4AoqzNVaDfeQNwJi5jl0FQ9pBDvk0WL6ew
NY4E8KS1T0oOz+QsCEn9fuANptHG9MgE1qJdmqJSzfYzAPi95XO9ZT/kgAERRIRa2rzn0kPlHCCg
HNDxRtDZm23b0MsnMaAk2Zlnx7mjO0z5XJ4rFklVsmkSGW6wrlUPvAvseWnk0p207+PT0sNCvpq4
W47I0OMUONKcu82o41JlaZbDxAJei5EIhrIcn/k6jXtnbPB9GP1zPPM0grVdTS8BfIk2F8SRoBy1
vc227cwdZISafYc7H5iy7lf21U7JlBUx67U41qOf5W4aGHppBw3Uo2brERrVgmEZ2dG3JByXlzET
Y1128za+sCjIzgPOcL4SGj+Hboi/Epc1ZxTs+M4lBGaPtgJmznb1mYnhZDC55GlSX8BF39ERBxaY
s/GfjelijQsn3rab0sGSewXelhQNPkqRD0NjMVhamNUHCF3Rb2ictmnfE3DZTxG48bdERvPtpwfp
uQ4bJg4q6qI3vWrUOx6wsb8bumy0O9sM4wPhE+IsZKbZ195kzTGEeQBSOA6G6JgQEPtFRSrEGJhE
v5Y3ja2T0kEKikABad08uBVW6y6dnfkYqjp4sJoAOWqiCYiRnbcWPUQGriDgZvoYMFU/TNTfRtPK
R4UQiXtxUKy+p1gnAkVnclztJiFQaIIGdJI0dBgKauLmAa96uKskCdyR9cGyFrWc3C9nZBCVjVgA
V1VpFvNjt91sbztFHDIrGeA5y0CiYDMfElfosVmuHNO8B7ExIoonwCZ8hilN6oK3c3fn5BD1RbwM
P2E7m2M/eP5zwhAP+msFQgh+lySIzSWN3/XdoNE56EB8JJWwlyTQ81dYi77N4S/p6xx2b+kCpyE3
Tolwh5Qi1B/r9E43s54wOLWfWMRV4Sqr7Ltvu+5khxqfOfzSCVZan6lcBs2YVxDNUFN0p6F8pvW2
b+tpeNTKexz5aiRhbiINQ0UPw/SBpKadcoFsc7iHUL68b7KhyCrUoRY7ksbiTOJUvE0rk78mJFNx
pOebcNpNnQ8L5Vs8eqtohtKPSAagKk8OyRcHkoYjkpOVFdVNMYOh/jLDcQPrL+3BQvHL+8H0ULg3
v/ObPKAhPdZBzVxutW5h87C+SAPPxrxex+4uSuEFLnCEAN1ylEDV1A5xCOAYMWyjAvc+6gn0H3on
0qhCbtb0l24Wy+tQpUsBbrgpozBeP7KBGVM4Gww/hG3A6Hkpo59rA5ijmndV3fkPWbFfMxhoyBdI
4LqKzmGebswDR9vSJM8mxCAOVdXAyqiV9Idtk3TbkdEG72GM2+irHDrSQEiJksdoZunJKweiKLLG
DEcx9iaEETMBoZqytv7Ri2QdCo8CAbmsgyjAUklm2MMIziDrGhUj7oDTqkz/jHDZ8qUaV6jaCxST
g9PoMjHAn2fKJZLXQK+3I3FNuuZgrwBwtjRbXtPatDaHE9kdIl43P3iIJoGqGuAw7Dfyy8akQdeJ
OOCXak3tEypQQIspiKCe13XnHoN+yS4gtgQpKY+yx1q39gVrEpP6UEEu6fMbsPaNKUzOUDR0G5Zo
0LaPNF37n9BicDr42A7ZGQcPjSEiRt33jE3uNQGccZniiD42a+je0iit+13UTwA6I8E23LMAsoHI
kuwQw6864ulZAB3JYPqMxw1y0204P7MIHAlKLe9vbMySQkPfonYutQN3SAMqj8Y0MVAsx8X7LV1f
IIIOasdMBh/gCBdmBHJBwu9Z6qa7kC3iutCmM/mW3lqweRToBxpPLZqDqIpy9ISQu7PNXbYKOEU+
zBv4MU+rIDvINm5+oUjo73pZ+NWkgY7KbR3aHd4zIAUQXiExj6GsS+j1VVWGVfcFasl8xmGFn6kW
Usx9FN6FkVrzFOJTLpNp2aGqIsHBCQ2BCWYVTEamI1kIv4k3iJ3Zp8h6HG0rWf0Dioq+2D6BG89V
uoJ1djb8gYANGO5AikKRmu77DXPjErf9rqPr2SKNlw/ITNwwCgMfz7ePHWeaFjOBGJw5MJ553+nT
Yp0tEhRJgAIBxBHQJt9ULf2P1dwibT0w2+uGBN2PniJygqyFeJmasH6nVRO8qEVg/uO4Q+7nvq+W
Aw1bNxZY3jDWBQ5WQPdjkLTFqKw9w3ZJdmuzAEQLyBFB1Q3m28sGxo+CtPPbE7aspEUX93BqJp7x
8yZakHAApswXJyN5XD2aC/DbxsvCtk5+sgiCLPJ16W6AhnxowQsKGEytPIsxmx5ZWMmTwQfwmiWz
eUG9GC4iwstAZwRkf64llLsFF+7mt/mVLuQOvicmqtB8cI1qu2axeEE86Q8NCNIM9mn8QwL662qJ
v6cmWcaQDE84Q0wXax9ussZfA5pphDc26kd/qG2on/rFj/cxBL/StyG/U97wQ9iu8v+Qmvz72geE
gaFURkg+YF8BDf+eCkVOvvMVr9fDIoW5oMsYH0W1dGUUaPnaezvtMZKxk1uQSf2L2vO/eLn/KayJ
3wzZJIRbEfMsi/+24qJPkoWbxvkDYm8RWh0ez/naMXK2W1T73GRV+/n/RGS7/nO78N9Vtr+KbP/+
/5MUF8Z41v5rJe4/bA6+rTmhv3/DHzpcxrAGN6IQ2qKYYbnn7bH8hw6X/Rt4eHwpi9Hd0d//5J86
HFYfIYELJ4zhm28y2Z86HDa1hBTDP+IaUOqwhSD87+hwf+hs/9LhEDi/HZYkDDOaIdkchX/LGneS
L1iOgdxJJX23AAInMtxNWG6AWEw3TW2Rdt48pqqSiLvCdmiLWWwjR9RF900hRz6jC0kCbksPpH6P
xItP8qjBipDjSqZKHaCWkWMKmmKH7TLxLxAUeFoJ1lXcxQkuFnB1qSnibFYnZP12OmndY6xa+pS5
kN0LujEkNUl7WWmmTvDM1+tE45c07h3KYbIdAkgmZdfR8aod37u0hxG46F3CojtA0QXvp6n0dvEF
wtrYazH2QJtt2u35ViMCWE90FyXTVnRDdq3AAdxDKBOH2MtvbajUeaMGSXQys8IjwLQHyvXZZ1g4
sMzuZ9vU6aHukQOH1uOBmVXbCWbr+OQB3CEdg0UZ6KDgK27gSdtw/M5XksJ4DuxeQysslwy/M1Xs
VzXz8H4c1k8/Tck+WDf48ZrcswHXhvY/MoQyiIjKsam+rpgex8FcANOU4zbdNTGC1BJiXc4H8jPu
UoQ+1ujTmP7gYrS0NdsAj21dQZfoVWRyzm8y3C6pFQZpAYJlCPVXoMPrbuT8nengom0ICJGXi1ts
oaZ12GViSMt0IvMZlrnF6orwrmm67bCp+LASBCHR6T7WtgfD7VfXoMls6BEJnR/bQn6HJ4MnHzEK
swlTiLHx9K1xtEGwjs3iJ62Q0pB6xU+ACHhowyX+aS2YTTMN6UPTCH6OVrb9ZrMRAaoY/EjeOQRX
YHAvFyvrhyDs1W+xXbqbshfl6LyguSLLnSfKjJ99DTCcpOQ5HLK7GqpKgcR0DeWP2OiBVkhFbCZ9
rDsOA5b551R2TzUPEKhY+KNv1HLCBafOahhZBz23oo/Z3A2lSrafJtHrPiXmG6ax+eo4OxFqfAAo
wNXPsL4TBIcGfV4DSCcDS/eR7pddu0aYjeJ2O481fwhJnDyPwrnwAkccyeNAtuFQthuBGNTEdYP8
X2MmVRCzCLJDaAP2sp7xYm/0NM6dZlO2FGxSjdnFHo3DoVaa4QUTTZ9tmiLAq6PGzfCGEG4pDfNB
UEzzEEBzQ9pD7BxHG1J6L9VtAukqXlamgkMpdBhb9MstZNpW2FlcoM8243EKs34sJIWmmes6Vv1X
At0ceBxp09GXdZMifAXROi3oDNPzPpF63I5pW9vtXA3SLPt0TdDTi9ba9AUJ7KQ71Yj1d7/1tfIZ
fq/OcAKcNADAKNEs36qqjRGyyRAc3jLEJAsxB0l3kBHbYMUnWJ6yG2mgJMJOJHWfHQT6BrGVFIHZ
EIs6JMJ+WfINYun2tV1wYjJIXY9W2HQrdYXcJ5Y4rLKDtrSYIKczaQBv6BWzRdIZAb2mNnizeE1y
O8fQKDHd1TrACRlTHAUFaAPtavPitBh/LRUAkFJJ3PVFDey6fmSdbvTeT3Gb7poR2ZF7hGrw6ccQ
oQ9iXum4oxVs2iJgqUf7K0gPMmgC+XNigx3Nz8GSSe0zXg81sq5phfTUHPrvbcbhHa6TfM5aH+wS
w/ALp74uR6R68UJ7iL2nrVpBXg7zmpvO3zFC6beaKXlts3j8voB3QXRRrsN16pBLzmXq9alZmf+e
JqRIpIvzgLlXPfJXOa7vaavX0rWAutNkGfa+luYp0iHKnhJsL9p2fIk57/bYXJN+CDqA1ozG2H8L
sThqAQx7A3DaLxWxZZ+1JUHuHqr8PJ4Zfq7N2RgAAEQJxZ6GywjqPDpkGL5/LTM2IRRMLNB3DHrp
h82acEfkWk0HsQAdLTsO3W1H29YsZ1TtL/MYr3zP5DC+6Iab6Lkyw1ztDecpdjY4dnYIReh8s2Ow
PidGIa8GBRPWCmA0+WJ4KD8JM2GSwzJ1skxtrF4t1IwZIWQM7XcerJrfy1k50KpC5qGqoXcu649V
atDbDM8yJmDBQD6L3u8RvNOFXR2IoXFTDzFpwa1F63pNo+lpQ4bmVCFy8AQPb4K45pHC8QG/EKz6
+XBr0j/1JMA8AXk5e3XebE9bZRvzOGdd96ONkuQ4gc4/VXPDkXyZ0uY7g9L6BGHMgm0Ys4d1bJA4
GUOd/hA0nb4aADdDadtEsdxGUwWDfozS31Ljh0u/TctvWASxTIXKwIS9OjJw7AQjmy1oxLBOCgqi
Nr+p2/anQhMZ3NfzzJ67LmRfG9A7BzUryhEvRWTmErYD9JMWQVQC4uu1E0MvCgd+7BdS5N1vMyfL
OyiiCSmZWGYlSxrb5aEegSYqAI4PpFPRVRhoklfEl+NXAMdDc2n7NQUTFnYx2wlFZkxhgUzfeSeA
lWuXrQcNIZfesbCOPztiZ+T5aPoadK25tGpUyJiNFYcmHibf/IQbBNkRFEnebOKdzSR4omsIosMg
OnDtNsxLKeXQnZcsgjWWhGcp6HiaY1rPiBciQoaBMyCoEZ2t96nFuFZ4siEFTzLv3lYZkvuqRSoQ
mo8DGsOE8fbaEAXyyYumXVAlB7PlNshaiAh+MzuJLSh3blxhK/kocsmT1bN5ByuIh66DdDfvGnAL
8KGqjGND3G0yO6XVNFYngsSgPcL3xf03iJS1T3NCyfaQsErSJwLRbMN4oMd5jzVTEPFcxLe+7CVe
OlRTI2pQUPUC4TEN6+UgbJaIi2oJ24q5XeankALVuMPalCS4wITxDaLdpE+LHlF5LAzpOUJuZAOW
Pqik/1I1SbE2GFC1ge5CM2wVaWsceWQOsmIJ2XytMZMelnHIXhH1ZE8anQuWA1Wo+2wd1JHEPjpm
CYIiPVX0iPusecBA22DxjcPOtlgiDgtixZRAhPzFVTFyRC1Y0rOKwEBi3cnQL3ggZvtzBZPV5usG
pHmKgnu3Lcgy2uoZAiSwa6eq3cgCqPOmn9/TEKmy5sZWaTfA+USuCYm1nonXOBFSYNMAbgcPo+/k
txQgk+26tD5gz6L+n+yd2XacVtutr4hvwKI/pRrUWZ3lRj5hOLZF37NgwdXvp/zlTyRiWX8Y+2iP
fZbEDkVRrO5953ymf+aAn+Bnxa5u7pCAWMOtEIV+4/Wu+a7QEvODNVGNgiOjIYut6YsqaDGOk+8b
Cr3nmheZH2ZjxLVZz7MbH/xZyvfKzCZE9bOXX2Bljr+zzDFZRt1kq2CccHGcFamOfJbzx9fGKH2q
4Xpxu1j1bQuJJ+xpFXEObApKXIt9VXeNt6+kfdli1aRiNDzQ38qxbFfR5aTZy1cWjOx97IrieyMB
JLZ5a7RHLEn5uTF0URVwlGm/x0hUg7q2o/O40CdUxyULVKMSF5NR2tGV13uUMbjjgR7Q12zRMiq2
7e/sBE5Lj2+DnpdSy01uUR9ph7n+1vTzN1wIOeU7A+so+jwcU0dpcoLdG0VJw+XZ4ewXB2eED8+U
B/888ZwO1s8YcqaS1JeQBJxbdYGjhHYUkoBCyx7+/cdATfPhUDoIxOzV+XxcygotszaduwolDL3A
ONu1c2u5b3ydlxWI09c5/b7QokydEyH/+vLrGL4mBs+35fkiK/k1O63wzrBwIohnDwSl0vL0RzEu
SQlHrBTeG58uXpYh/vvxLgWQn7R+31l/TSpVOfQSczi3urQ5JqeNgPBKvAenzcE49cWd15rtMa+t
+TGfa5BN7CZG3X9Y2F1YP7cZRrwvThuPymHfv6hb2I71uWO2qrnQdYrAdHwHF/fIlBY3yKCZqmp3
QZKU4d8JbB+G/19n91+8Hv/8QpyEdZcju05rwrFXGLbFtBJ69bg9KEX3WdDigmqCsU4n6D7O6LPG
x4Vnnv/bDzV1pDWGgSbmJL5ZvZNdFMXWmPvQWNJ4uTJdk7308Kh38UXqzu3X33/Y6Uj/8sjPhxk6
kRYGV7KslfQm9k1RFV45nE9Lqh3sTnxXuXYsdTW88a3+OdLMk1IIgJlLkQNo4stXE5c4qLQ2rc5T
WYrhBsBMxMJZGbY8+/03Mv75oyFIsjhFsk08JQutfrQ4p1+Gx6Y4H0iOuEww0O1p5CfxFdUPU+5z
CId96C9UhFnypv4GhJVp3XqGje6QLZ/8ufvDARmDbJDRgmj8tD/sfu4Vf3+r/3gmaMZ5tXwKOzwW
ew0DjWkjQyLwUhAsie6eN54cblWtOCz9688hCutEdz1VkiBmvnz2Tpv0LbY9fBkRh4F9BwYFJUuE
lvbn5/zfVt79P1cUNHjXflsVfJa487dE78//609Ss/cf2xZYbCn9CeiwHhq5/5YGYTjrvmXrkPh0
neFz+vX+LA0axGdRGETZh6SFrqbJH/1JaiZxy6YG7UPFZClGq+f9m9LgqVz+9yzhWsx8HsuWQ9+R
K/EurV4gmuqNi+L6AMLzbIYZ60T5k+FhEqApz+Hsbqzzp9YCpvL7F5fC9PqTnZPS0ManCf6D77Ke
nxLbXJylkAcHUe2PyHJ1Kj8WBYnJHo34XOgLJ7iUb2DSttGWe9U3qkD6mixwHvrmCWUlwpR8pg2L
C8DzPtfeXF/imBfUu9LZKvf0xvFP6/3s3VpFq9BxoJU9mnYEtqwDDbU4o3uhxQMn2552EcoYNO+w
sCEAOd3NFGMMBZL+je50tcd/eswgQu9w7IC+aqv7uSzLYIj1A2duHZeMwseluuzeVOx8A6VG89qo
NeO2oBR17SJZwvGrMlTdXkaNzuPzoln1oTKd8m6260PeZFeZmfXvToLAQPmLsezQPs4K/0TK/zzN
KK1hWIyIjDTrw+CiYNv10ohvmO9onVfsxo10jgLhMBEHjcD9LAY7C8wiiz+mqBLvHXtUB1BmzT4G
+GHAYrmb69baR/WQfB702Ix3Oc3P47zkZr0zR827mbR+eIooy1Iiqn2OhHE2+N+HZkKDMk8OvJ8O
IYcCssg/Ct6xfdSYyX1ftxFuG2uGLlIIyGSIH+cp9HQvuSQnAG+JTbVXWPjiTM12rlVaWjd6ukBO
Efls37JRdHdo8fSrtFfQvRpV3SokCnK3oBlGztMikoeCWPkBnbMqrC2prsbMG44InTiQ4LU4Zumw
XFZqbD60ledKFOi9Fu9d064/CqUhthwoGQZuPjVaKD1O27dIBKmmJtTk6IbOnLf2Y9WWO6tv/IHN
gbTO0OKmzQ681PKxLATazyA60UqxFBmDwlTtzTf8valF+FcZP2zNtfVDDJoANOrg3ybOhLdWp4do
7yT4lZ0N+vBc9iO8NK+qM5jlo17TM9aFCWvSRfRRo8L8aM8YLA9LNjvR3hkrgDdq8NiiIISAF4JU
+zwqe8Q4cW0376RMhi9tJXiR8lb/HOt18iNiZ/WNJ5Pe93nl37i5XdHfnAt4Nqklk8/o406iUao8
R4HJxQpY18ZbcEh8yiISA35X7tMVLlzrCzXf/sJZMkftImtE+JKOGdS5xDTmA2xBccTOMb8X9WLe
V4aXt/vJEFQNs7IFM7X4o/oGURERTkZp526MDP9L79XJJ/aVhXewvK5GRljkgA/92PlIaxhSmJSG
Okg6wF/Leug/TLFP01Ngwv7aphnnvgbM+d4wOsfeOaBKdExlrfFD61PjfTI05Uf4GtGdo0z3cyUL
AWPOLCJa95MJZouKLKY2Y6TTLitsRLXTWod+lidhC2hRUOLUWvt9jwTNPKaJN2Q89wI2qKNcEcQJ
YtxDooOFRmaGdphWrBGMA+b02V3GMUzypLvHa0udxI/14nLJc2Wc2AvMIjl9+ilAp6HdzM2M7dHI
vfxjNmsUg3SkUjBDKrf+putdpVM7McuzpdUwjICbc2dmQuGeS7SyY+DIE/OpybzsViuL5BaBtC13
HO5hotIXne5SkEwf+UlB8DROicfRa5xDZDnd+xg41t5qrOlgm3Z5VxjQvpamd5yg4Yj+2exZTZjM
9PlxQnb4hcmcXxQ0jJYEvWvAXMMPpEHTHOMsD2LVsI9HRaXQ0OnTwFlPcacaFBKJfoHjkZf52o7e
PdPCGEV2vc+1ZbyeUAh8LPQO6TBa5qyHu+zjddWFLx7ToR/tXSxtG4e4oVV0VLBzvct8IW8122s+
eLPCLNzTXvEOEbb4zxOO6u9tvOD6L5OTjSmliIHhUoAzp2aQ0LkCozbH50YEWiPg2JNfo6rSk9ta
h792QEpvXtSjEydhX5iDfzFrso+DWRqMrq4uUzyPbaZ9RXKkoh2WoK7nnF1Fx77CpxpMqHGOlomw
aT81SwxE2qw0a8eL0+HjQ4eEagY1TA6iEM4PlJXZpjpt9/wVw8asrDpPXnU9bTeqz8uFn43NrhFe
9I43qfviQnx7p+Wd+xFDWXkxIli5XDBnaKxzTnHmJDMraF7J+VPpGUx6sZdO1wCzvepQ5szUS5U7
WFjypG05E1vu9xrZ8HvF1hkxmu7giMYSA5tNut3TLMfkrkMmkOxSGKsHznPTtUf3H2YVBn6TOv2n
qo5PEDuvTneZy7ITO6cik1Mtl6WosOu6sr90GXoHkzv/CobvWk5JFEhXt+dgYSP1RxzZxbUVyX46
SNw7eIRMhDM70diufhahLJwCmFbRVz2eMYFKZ8jnq9qZ6S94zph80k2F9rD0ijRDX6Y8gIsG301F
yfzZpCP1wPTb3CoMhGFM0+2xZn2+ckSskKOhhn4spfJpKPXQB5F8oWnajZmb6jshaSbBUcuBJjia
3n2ZpD3cwgscryNFi0h3ezB5NL92XpQuH2wG0jecPRHYACg3R1UXocBWi2SrhiAQdPDovi9Yf5ud
3fauTZcVx93pRxN3qdXK9xRY5bnURV5ctXgHH22ZJE9LHpXJzkha/AgGABQeXJYsHb5SkgWs80VZ
0PMQAnqfZ6NxvrK6pHeYnxJELtBQwDQL2S3Fvh4agKBI0GhH6RFL/g45nqUwYlWQhzSzs/Y9ws29
MoueQYD2RfVa9rUVfnRdj/UnyE34OzskjElm1Dtq5nNyZGPQLrimNXe8nBPr5EMwk4nix6lPUUZW
dkT+DycR5RDAj2juDrLRTHS1wvvWisG8rBLcIwGm8LjbRbXfn8FjcpA/GY+tE7UfcmVaf3i58Auw
2LxmB1/0NHIMwSYhsKQ7PHmOBmaqle4oDwhkvXvddOLoKEcUSTjaY0g9iZIZo9OUIg7gVHS8NJSy
KF95WY47DEBZfSlHy/pEkZI3qgSRxUYIsSQQPJa9rtBR6HgLva2ABd546nKII8zTRfw57SrQBJq0
1I2Twh/c63M5HpKUQIoAPpABQVmV80XaptofUdpJL0DDiyAsB2q8a+x8+GK2J6MArT/tS6w5tbMz
+zn7qiaTWcBHcTUFBtiw95XXwOiLR/RGLFTL9GHKJ53FmHZ+T/sHY3/AK0C9EdXySW5k6ua9XhWL
dywmZyoCRDFtt5NYLc8HR7jf4XBD/7AgQvh5se/axt+Zg+EcbQqunyZF8cjWFnZsXZQYQU6XNRj1
U3cALdy4I2xhwdFoaN9mI24edXtXDVSAJ0sTQeYvXhAPXnm0UhCKYMBp9iwNH9bE4kZmHugMx072
JXzLQLPnfZmq6iz2bUWrJvOsu6zRtMNUVt5R9F1BKzSyWHLH6HaObNy2Ll5mCvDlN38RxifeRPNp
Qkh46Gh8MsJo7966ssNKkKgJsnFWuPeLMaf1QR/85L02G+U7ISeeH4Pio7ImpqvCBGoden02f6K6
3D/05OhA2V1sNe+lE/dGYMyNfMJ3K79Z6MjhjHj9qfVoRvpJw2p4T6ZHAZp6cZI8WM1cs8T2wsK8
bc4BxXrgwbHgLUQYOVXJ3pDz9JRqMBqapS3fTwuTStBUUSP36D7BckRVjAw1GgYlzlACKm8/52q+
sHgR2fQW5cg5gJVWp66AGNrCVcoyVrXFdcluvtznS4bfx+6K7hAbTvq+yVvtvp4XMC4uOCCIigu+
pBa+/SRQgdZ+ZtJDb2lwBEXlgDEsIqw8ak6BvLmJ4z/U0YhOGWw2O0EWyqIFxj4W1r42WjqpMVAV
WIZNyw5Js2YerWvVH4yhLI/EVuTkuuSNfqkWlYyHoa/8HvBEX3yapef3YCxl8iN3Y5qIrRuxK6q0
ki0i5jSs9PEk6o865eGHCbPUd4GM4WyaZ9Wcg2SvPlecjGtYox3CQquO9SPHWPtmmvPZCEw8SX4A
t8m49OOR7aGPFQwYaIVCej9OEUJ6z8J2wTJct3cdyOtxN5S8hpiw4FxRnuSY01udfivctDUuC6+j
nzJ3lv7g0ooJ0Dv8qBbSjdDhehDrO8PF/TCWGpJ324mNC4fS/XU9jGwhExRy3kVaevpF1IH1YVq2
8/Mhs7vbHvcq5IXcgvBq4bEIRkVbOCXTCWdKDH5Sq7PvjtvrHc5uelqcku07kI2XhocAYWrr81KI
5VolOchIlP0Dhy9cKBPGS6sI0xp2hDBiEUzCuekZADcpaT/wqAbUpwWU29pl+9HVY58EszvkpL9Q
bQW2lO0TWchAjZMOY7tLw6o1qruJsvJtOXew5Q12jUhp5y7iY2aruKoR0Rw0oAqBO9O5mFXm3CDh
6484yc+AJhs7xDoHPGXTbeV0+ke9wtDFBIsfHi33pwpiHRpH4dwjDfYOfpPNR7tSNyh41bQXtnRg
hCr/HL6MFbE/EfHIDIU62KcNdWnQyIIPkHrLQe+K6hoKnX+xjNDJdnXkIwNi8v5BfyZsIdg9QWnN
b+MRx+4wVv5jrY3ehQvd4rNonfi7xwKKNLfhcFbU/BVL6jjVEEUBJx67XLtd0Na6uNYbuBVj0jcP
JRXEM4GiGs2vP4PWKRM4EVElg5HG2ZnrJOMHrMX5l4jOH51AfdaeRulW/Rcz5xjEBiAdxbGK0FOF
XQZElJlUqP1wgiZTT22K7xpdmasZCDQN4sRnAcsUvsHAaOZ8OhYju8k88/w7FGhedjS8Vh6lPeGG
S/QG3wlepRp1vMFOYZ+f1kywjinKrQYgdOBN5pTv2SP1F83PaWfg1h4HxwI4QfJBpO+V0ngpRl0s
9pldckwgBceEoyrqHjxI42LMCczKcL4M4PR+NHYqor0l/Hzee73nn/ujr/wzMO99vAPfySZ6Mgvn
hxdDHUip5Fz26I+uiXlaoALpCRtTaWRA1kqLlAgrblMgo1Z9NkjTvLcGfSwPsaczJUYeJCPsDzGR
B7Qm+yAt3dkOU4zmDc3IahSBMwr9SnYNxJxhZPc0eAmWj1pTwzfs5t4Q/v/66M9IvP9m2X2rZTV0
8/0P0FZ/RXKfNJA0pZ7V/f7hXn6RE/jX3/9TMun+h04I5RZ7LZn8b4KdgZjS9jHC6iYV0z/roqb9
H1s3KKvTA6PabZ/+6M+6qPMfZJT8R8qZSBwdOH7/pi76sjqJbhzXLwV1fdVn69nb1zDonLPE2Pv2
TT/+q5Ch/7mu8Fd11q2JeL++bXSoL8u42V85b0nXdt09Kjc9fvhfJLa97MD8ffsnVfazbioJdn/m
3iGL7Je7Uxsa/paZYX9EjFCKgAPvEB2fvSu/6NG99mVWbbL+r1g/BebDDNDcEulXz4735ffXP930
37Xvv7/MSgy7Sp0zECOyE9M5RF/N3lCpUHMXpqL/TUbcKx94+qLPnt7fAVtj4bvqoqYqIakqQho+
/P4bvazm//2NVqlFf2fPTXnvThfObFLjbvJeJFd2nmTinSFPEsm2b2FiBpxvaPkjJx27tzp0p+Hx
q0e6KuY37v/kpeE840hKFyR0iUlrcrOdqDTGKL4CObvaVT1RDj/gyK896BaxJ8o3GruvvTRMDM+f
8S+iwlyAGG98v9cuvpoVNkaDvXL1dQ/mV5FgFcg+ufv9y/Ha5VdzQ70tBey1q69mhr+z+oZaW9iD
KYhDe6epa3fj7a9mA/FXupiiyJ/tZsdRVtC2DKX9tuezmg4EBdeq7mkCVPXsOrdgS5LhYzkM2tO2
65+e3LPR33u6xGxpe6T/GOVhji3c6yrNEcb8/vovG/5/DX5vNfj9OrcKKeYoJAZnKY9gBZrxUEyz
AcM5TSx/48eshrhp4RSiVeKGwOgFhE+nrnSYvUahDk06TGrbUDt1S58/rRZ4dmSq0gsbkS8PSIqT
mwoz0MO2Z7UayBMnNmNi20GYkEoPRd+55lVsURH7lNse4aO//5RXxoS7WuwTj5Od5zZe2BUW5e9y
0W/82ID4s+3y6wEdpTN1wsUJpdtyjNUzZT06CzTgbZdfjWg5urVLnd8Jx4JfYChixP5SQ5qz7fKr
8SwRqdN4yrzQgmzIbzB7SqPjNZOStu0DVuM5p7AKRoKn78OkqM4bg3CHA2yQZbrd9gGrAe2K2ewN
TREh0yfpR9fr+1uVxnDif3/504P4xVrqrsZz6Y+TnWETDcuib6N7/C2t/Gi2i69f0Hz23TvSmk3n
/Pcf9tqrKl4ON3fuTFQItguNzhrAVSym8oMkP+GIt33AajyrdG6xNsMizvsYHkFf4hkIADh0b63N
p7f+V49rNaSJKo71EiJ3CASTcJIs5oh+W9JWci5iTIv5QWEvqj4XpWd+kVU8VW88OeP0Ab/44LUT
sVBx5JIQwrxbeEVzgb0qIr9lgYWYHjyYe1CFqiFbxl2aOGCrc7XE7t6B/l6/H/XBeUsd9coviBzk
xYSJ51ZzvVyLQuThcm+mE+QvJPFvvIwYzn79LVezgT0OKm1F64emvnRA2o0IehJ5aAvOfh918U3c
lxg7NGsqzyxqLfa1IrC8eocA3Ms+U7+37Tdu5bUvupo48CbYTT1hR2rcqIfls/g/GqVwYWx6Uf+R
NduZjkHpyg0Jd0IaPeBcp8Doxd+3Xf70rZ7tAiTdaS/LYiuMUbc/2iyl172uldvmbGc1Z7QmwGpN
c/3QLjjJQIrz0KPLtJv7N4bxK6PslBz//PbpvMy2oDUZDvMUiXNwK53+h2oMRhwkagBWFdUqQiEW
p4m/NeUJLrrtua3mD3NCxJgL4C6OF5XAQluBK2mWlrZxuXBW88fyV+KrbG3j8L8Ne33lpYWn9uK5
oW3Sq6xVS9hLUMxLRcCL0zXZG3PQa1dfjX3kn9RIWRrCTKSknmAB2dPeE9teKns19Dn11J6R1kSE
cm4M6Id9qmLrrV3ra7e+Gs2G01QWdvgljN15eCfnirS3ok2MbNt7Y692AUkmh8YkfyLUotI/F6PK
95HpWeGmt3KteTWb0YYmxdWHSFi7yUR805fGW2HErz2b1Wj2KrF4o8vPqg3Ea5G4gcQDcua2edRe
DeUMJqg+RSdLuZEWx94/mZVsazn+/smcnu8vVkV7NV6ryE6WxdCmELPBD8KnCVxDftBU4TDRYf/9
Z7z2fFZD1gStW2U5wAQQOd29P9TZwbDq/I2k7leubq2G7FCxFZoWiE+1ZTvnJ9H9njinjdONtRqy
9MaKCBMezrb+xBQsSvcdusaNt74asSzUZHxCBQtJu4sMIhbos7iJItlx04O3VoMWRk+PYIcciKZK
1UU+xMOVjGgDbbv6asg6faGNhsyGYyfjqX9vTrpX3NidB2dr2wecfvFna3BukJQSj5AXySJednlj
P86g/9948V97bVaD1s40oqc9kDltQd/c7CXMHx9t2bZbXw1as8nAHGXeyJPXHjvB/q7yVbTxZ12N
2RyChab1zp+3DllSQIknsXHbra9Hq411zUuM8eBPFI3F6er95gdjrkZrro8kN/ZcXWV+spNejgPP
IYxn072vdfyJZXsYlXSubokfbWqB0UzjjZUtczVakYcUXhpzcR+XYlig4uXk5ahte4MTXOL5y64G
041IOhvhU0Ykthk0xXBmDNuWV3M1VsukEVVNYN0BEUwFuT79ITOUj9ue+mqc9ks3NHWCQ73MoXg6
lv2ojSC0tl18NU71yO4IZNCGgwtlb9+rlMBmGH/bLi5ePvQWcyopgFIC0vbJHclA2ckOkeG2q6/G
KeGfGn5YxPquL4136L/NW+THf3o9XiXsvDKBmatxqoAqIqvwZUgqAj3VpfIce68hku63vTNiNVRF
q/xSNvEYIs4HwKWZjR02kxi+bXo6Yr2ypuiaalWyskZ9gW6yN6DskU647eqrwSo7dO3Qt2Q4+OYX
IxN3vWXebbv0eqSi+gLyqA0wPrRrpsfHWRDWse3aq3Hqp7TGjcodwmxKvL1M7Ic6R8G27eKrcVrl
uBrww8pQw3W9g0h55YpW33jnq3FKW3hqiBwh/LVQ39PZ+CTs8nLbfa9GKZJY4g4wMiNfMfoBhXtP
gNSMIGfb1CtW45Tsd7JLrG4Ifdx5n62BeSDo08XYttMQq4EqW5wHRVTLsKy7ZV8r948kbaJtj91Y
DVJCYFt3RK4Y2nM3QxFEd9Lnb3VeX5lijNUQ9YnMThuNTLa6G6Di9LGBazpqPm36WU/GrecrnhjE
0A2AjUMtiQBTlNNnFwfetmuvxihuaz+LklyGnT0iF/bUY9F6t9uuvRqj1mSpKTW5Njb3B0vO72yr
f7ft0qsRCiKbXBozJs890jTy3KKrdCEpeNvFVyPUMJrGXTShHRzdv0G9+Iiqvtg2tazdYXCuR2Zz
nkmRVHd1XAN+STbe9mp0Ws00m4oC/qFexrNuEpeWvU3k8bNS/Ox80cw2BKGGs51TxlderWDqRf/K
8PlXk09fDUsoRyrBBqMdmvLDgl4ucz9u+hH11ZAs4HE3S86PaCX5H53y77zF2TZP6avxKNsR6epE
NAcoV+NhmQcRksXe77fd+GpEmlWkqiz1h5C8XJBfVX7mR/7nbddejci8SHvbNXRs09BcA013vlrQ
LbbNsPpqTPJit2hnWZLhMakA44e2932AyttufTUoESO7g2WP2qF13qPW9Khib7vwatFM4qS12mQe
Tl45bCI4g2ChOw/bLr4akxP9rnmuov6A0PFsIgVg35rZsPFNWa2XnZR6rhVc3CvsW1M231ILPfCW
G8eV+3LNQaI26y1q5kNXmrc211Zy3Hrt1dA0SBYzcatQNhYmYkZi7S9aSzmbngoQwpd3DpNhLNjP
8qLYi0OSQ/ahcJJNGyz0ei+vrXxpTbnPyFfmPGQ73Yqceg9Hy0g3TS2GvxqgzVRaYEwYQ7HVEMA1
fqL58GHbL7oanuSd6XieeC5Q1UlJl7CKcHW7m/YRhr8anl0yutSjFTeu1K2s9QsFHGjju7gaoZCw
dMtNzD70cmg0ZK8Q5uiKjU98NUJl3KG5lOMAirG4swiRz7pk0yYF1/vLt6XDCjyjKO9DIWAHEn3Y
7Qwre9r0c67FVTMdhR4KRo+awXmMewVqw36/7dKr8Qk9Iso9eExkKRUT+DW3JbI72ybDIMbx5VOp
7anyR7RCIS0kEhCX+trFH7TtVfFWA1Q28AsTY+pC7HBwigmu0S41bD73257ManiSaM2saEl+0XH+
3rODU733x7ZLr4bnwMKTNCR1h7kT36umOdfLctt7uBZSEUufO1lhdeEytslhnGKx14rq27b7Xg3O
dCGftVM5fJKEjG9rvoai+Ma28/RU/9lyAS7z8k2ZNOrBY0MaUlKOtgw6QNXvWqdRwZQJoKfb7n81
SO28UlVe2x1sK/NLkRDM0OQPmy69lkspvSaD2406xv/Yn53o3IGBJy/cdvXVKMV9ZaedKbhxy/hU
jhoEK635uO3aqzEKV7HJO1KcQsJJsLgsppytoALIlG9bpN3VOLWSOPYg5/JKKnLNS/GQttvO4kCl
Xr415Em3HJi5dDT7d4Oe3kSms6kNZfxEfzw7B0FBABYO1DE0o1KEmieGOyOe0k1KXxwEL29cuKBB
x5Q3MQKmhw2pDU1rozrNcFfDtFSRRuY2gQzV2ECFG10iDeNt1WHDXQ3UobOktHweOdPj5TiLy8JW
G8fQanj60EpID4270I1AG7oEKPpEqgabXvO10snnLdGVyLvQqMdb02ivOn3Ydt9r9VKX0p1wJq0N
e8f7lBrdXZG3mw5xxBm+fE8icpXyuMm60OHJBD4idJAXpbdtPnRWI3Mwyb7KSHmnb5O0u07kd1Lz
t21B11IknYT0ubL1NoxTk4j4iULFQeqas/HBWC8fDPRdVGnZzLghx3nnSce5hzC4bPxFV8NzzGBR
orVrw8XvxM7orWtW0m3dc/AAL29dQiCubVXzutSw8nPm2jnHwAgHOH9jMT09hF8sps5qjKIF1v1Y
VTz7OJncXUXxjGgTq93WR8DM+vIbQIOVWJijJvS0Pm9349SUT9J3p42HxrXgyCiFbk14D8MumXvo
3w548D6xj5tmgjU2z3UhLOijTkBz4Ygd6GD4PZx+t80za8HRUKDA683qRDWHqoP7XeRf81lV8cbr
r8asSjusuTAJQvL46iAdyg+qMLateWu9USHqqYR2wXPHr38293p/JBMoOdv23FdDdjRhGjTF1IRZ
ZC+f9DqKzyzXwz+87fKrMWsyT9pi5mfF3t/2R4z2MIDsCBbOxg8QL996mnF5XTUjT97sp3Ow4B+S
tthWmwcp9vLibg5i3CFqKXSt4X0a93dTPrzf9mBWozWOZhyrRdyGbuV/qerJgA5lvaWtfWWqWQuN
WkrmHqHHTYiN3fsCKldBei7Hba/MWmg06Joi6Q+IOiOVxF6kL4E2a+5h04M5RWc877V0BEKT28TV
7XGWgU0SfF69pWJyT0/3F3PwWmbUpgp5nSfqcCTEMgroFpO8Q66pyslV9uP8rGzmiSCdvjg3wQE7
4ZAkrf2Axc1tby2c59173y2ds5y+ZH2W5cRIB24BD/g6JuQQoAxoubb7AJlakzt9bqv8a50kMIIA
pKVib9jU2gH7SyX3hUGVbOfQpVbnstW8LBSuSgB619k07wwyJ+3PGsre+WjAbnP3JvEPcjcVsMeO
cesnBJkWYpFHvPpq2fdjaVZflGtZ0e1ggS/5ozfstg09ktXHsFN83z3ZNvYh00fyHCvwfzmRFm4s
z2Kjjv0rBxIJt9wuAv4q2TujcLrzJu27JdRrn7R0UhNHUqI7i7Sg0QXLATY+Ga0d6V8l4Qaj7887
r0tNNyjrtDMuSW/O/PPCNAYrXHja08428/F8WbTyGsCJbu0tfRyXIIu6aHlfGFntbtuFWKvzR6ks
6ZAGUYcgQcgaK8mmikGZbHs9V/OlaUUzG0nyMRKnhC2Yv4/cdON9r+bKkU6MKgDFhbaMwt4vLiLb
2FYcXCNb7RFlikEFKcQ/rIJI8/PAJ9914zNZTZMdfD8np2kXxgJUg8rbJyfrHrY979U8mY2uP1au
Xodyls01bjCyyMyh3DaVrTVeiZMSKyCcHmB5bl3B4c5Q/svhcdO9rzVeXQkPYmzGOsy9WH7svHah
mE/SxbbHvlZ5EWdJBuzi1yGIWlgrIrtKFhLUtt37akejM4Rty2tINa0bAv1qfcpC1erpxlPOWuZl
VCkIIkJNQicuiY8RfSWXwNVsIHDbvsBqoA7AISItGeqQRtUTaMELW+u3OTr+kdrVyKkb29klRkT3
0ZENvUvUreln4mnbva82NaPdLibR0E1YtCfykVu3Jj12T4htWgzjBDt4vshOTVUYuorZIOik10qX
xKM0TTduENZ6r8adomyJWcLp0XQ7FGXOrtEmfVvZbS32mnRSAe20qnHVQiN2TACYAWknQC83Pfy1
2qvPqhghU800XEn3IqlM/Qtn2nlbKVistjeuKtuFSB1OaeDyz+HOyNDVB3fbS/+Ttv6sPibMQvrp
aXXK0hLU0NTGAaFF5bYJR6wWVqMzlFSck0NtrswfCWrzH0spy23KT0OsRqwtzCpLsrwJbQek33nu
VyBNo2my3+gdvuKrM8RqgcXbGkVO4VXhUhhm90Bm0EiuoFuJZj8R+fSA4exaIzwl27OLy4kQ8jmM
wn0FEbbx118NbEzBJLVk7D+nuU08ElmzGB5EUjXFtmP0WiDm6ObCmeU0M0WDEV2WaYzvbG7nQd84
Olbr8aLLDnutqELTJLsmUFM2Wacsp3HjBmstE3P6pewqwQfMUiBbXuQn1PvfNg3ttUqsGMqZAEq4
bA05lTuixJ/IRN9646uRHbeL0cNBLEP2tsdC5BdC9NtKAD/x9c+Gdalp8EMhiIQDsV27XCMwGyPJ
/baHshrVQ1J0sTGNVRjJzjvIBKBhSRD5tvfFWA3qyYX7U/GLhmmntD/KbDK/dRrLzbZ7X43oPrMq
4tCMMmSvde2Oy2XRxm+wXE43+Iuj4lonFiv6jA7RTWGvRHJhFB0EwrSeti1iP02xz37RiSQtj5iq
/8PZuS3LiSvd+omIEAcJdAtU1ax5tj19vCFstxuBJBBIIMTT71Fr3yzX370cUbfuaCYldMhMjRyf
PqVwOIVlcVFM9/DZH8SNw361TDO+jSkbiD7ldAA3hBd3MovDbefAtWRshqdX2/BuOPFM+EcLVy14
m/Xru//9TS/z7h8G/lo3xr0Mq49xvqs9mxDyE9vygyLxOB4YsrrhthjrWkMGyjTMvuA0e4IXILyF
BXX9ZWkRPt52Fl8zOcBpstPKO8xNmnxYHHnfxs1t055cLVk4WcAHesa7o7pGgSNCKX9f4uHGz3u1
ZAdMxkhCFXiIc4CO1hCZD4Ogt3UzAT/7e+ipuiGGGa1Vlz24eGd0Sk8OFqs3DvrVAWtQXSCNHhQu
w1GVGKfiHYAZ3Y0DcxU1L6DXhyV0CgqBMBnQws30dVccaKj/PfP/Zcu5tgiDIU3TGDer0z7nP1A7
etK5+HzLo8Fu+X3UMzjtYYZrhabVsQGVxi7rL59Ot1lvkGuXsA7p2yCay7CbokHB0RZnzehy03QH
b/b3lx+Tftl2gOtOTStQdooTAxNekNxvG5qrTJezHRZ/FvW32Ls41EMHPULVD0O/3lR8IdeSsgLO
oAaRLcyKBYN/YUvI64h+vve3vf7Vag2sQ4XLT1Hdxu023vckJs8JPK6XP7z9fzLy/7sfg3fz++gD
zJNsjC2YOmyh+mWK42G56+Q6zUckYiDNAT/CbD1RtY2PUUBW8GjyftJfgbvOjgtL9nOeRYGWfG8W
uCuESMoXPdAtqfQ0he4CXmj2H2MTuuU4GJy5Fbjq289UZ9nDanp3H2DVe0ybxeMR8MAQJdFdtr+J
GP0t7+TFp+Jt6ApjQSfLsx3/dfaVIFB+PvdGRDvcgDPbPaVJM64/bxv0q20GusYJvuxUHNom7p9X
Lvlj0oERetNGQPjVRjNGko6ojspTspFfLJlgwtm+3vbmV4EBcs2gI+aBnduhs1Xw+obl5p+MNC5L
5h+myrUkblki3e52k6fJwKvjPIM56WseoHqoPTKE9gwGuxI3VddIUfw+L2GiTlm2UnmKTMQOmfTq
uBvVfrxpnK5FciI0C3LEVJ7WMRPg1eyfXZ/8aZwu5/Q/jdPVlhOTtlvkvMgTg0f3B6iqsxf4/W7f
tz6O/lDZ/Lc/cfn3/wowCQCPbQL75IPdUslq4aZ5gtHrjGL7ufPoaPtDUv1vn/xq+4E8ATb4sOYH
T9NJCYtY2C37PlKHTu9FUkHRfVtViVyL6FpQS3QzKwzakEQQurHP2IhuPMCKqwUdwXAEhYBBnmJc
x4EwfnRp/IcN+t++xNVizkE4KXb04NayBVvmzJWlx7HguPdn7arITeoCUlyta4pnwyw+j2DTYfMv
6HVvv/AJHJGbVsO1kM4GPnVdmPtTnlN3hOa6KOHhfluyQq7pa2uHUmS6xOLUZUV2NGvQYLR0N+Vx
JL8KHggzsVK5Agty7e5Jk8Kcm9025tcaOvjhKzs6PHrfs0PDp6PukpvyQ5jS/r58A1zXOstlU8su
echp9DCBoHHbt7xasZAVYpAYAO6m99N9b607RTT9cNvDr4KFhuZiDWmEyR639mDMnJWBq+x429Ov
Vinhcm4oibpT3lnzANXr56kNt5nDkmsNXcvyNlqTpTupkKjjwt1wRyZ1mxSV/OdG+r/24yhsuE/R
MD3veiCUjSgeoxx4l5vG5VpGt/VkWmw68trprNuOSeI/mlnK24qKYIn/PhnFyMGwyAZeD+v0LAH4
6ufxtkP8WkoXxLa1ukUgpdzSlQPQqtWu6B923n/Op2As+Pt7r1Dn7+jwwyKy6whC1FyBUXTjlngt
pdth0mNXZzp0LelQDS1IlUDrDvw2QRphV8uU64CeC0k5Gq3GPSkL1cwP4ya72/ogybWx18KGZsin
FE75HoBp+Q4qgD9sMP+p7f1DeHOtpcvYjlYM+L6f4hCl6wPpNEWDUQvj0Dc4JY2njnKgH/Jp1fTA
UF0D28VJusKO07BwnBZOJqCigBj4rnOarKemALjnpgo8OKa/z4ktmmL4brhLujS79tylpFgOwko7
1LetxauDeOg6Bz6hyOttFgwbVOiXoRKUxeltuce1Dm92ctlXcD0OyyjMQReZrw3Pbqo0gx35+/Ag
ZKOpSfVyiC++X55O6NTO8pv01fB+/P3hJl8z2zg8fF3g3axsNpWjSm7T+BF6tdozsaAbHgzjQ9LH
pkpl3IN5on7c9FWvRXgjMJCEpA1QVQlIyEUUoYFry8ht59q16VcLrSnJotQdRihrylHO7bPKU/fp
tne/OpMzb0was8kdIo5bj0yC2dIFeuPAJL9/02728YiLWHeAR2XyOuhN/mBkz28Lg64FeDsVfnLL
CtDSwFQF52o4wmTNba4n5Jo9rbgDx6ug9tCBsX2kjYO/eCRvu2Mn1yK81CcgzktnD6kHagtOGW9o
r97+sMf+y9F2rcEDCBKWWXmwh5CDky3Bi6xyeWOsci3Bo3Jh0QUhddg17Fq8C3+TWdzWSwi03+8T
JtqNBsEzXQ4tumdq7oWosB/fdnlPrrVfO9ogmm5FYJWb5IfV6Qctktvaq0l2dSILjZLyaLLl0JEZ
HFWTNIemgYzuf6/Sf0kTs6tVqmI5JXJMiyNrFF1fxaI7fQwsUfMxmw1Owf/9Z/5t4lyt12ZNmyzu
8SNoUkT1mtC2GrblNiUYgOS/f1wjmtwB84KP2wIXXUAGVvEx/HXbq1+drLLHdgA943wwmwlgxU19
bXVz28F3rQTjJiNOUzofVrmsRy2KpISB8X7byXetBAs6Bc1z9vPBiV0dYys/7nFPb/uk1zqwXehs
H1HrOZhC5JVWW19Bknqb7B+gu98/6ZCD4ZQXjTlEOpqrfjcDID/hNucmci0DazKAekHmMYfOTaLa
qVZVAZv8+qYZc2Fd/3cRbIlBnlrmFoDlftjfdmK2Tz0Z/uRb/y9LKb1asU3qfbxArHygc4x+lEvA
YcClvm2HT68WKgg3KFcHzo9ZhNL5Gv0c1fB227BcrVIJenYDfkZ+hM8XYMrrDnUiMNP2y22Pv1qn
sRrTcSczP1KjBwhw+42JRxarobhtrV4rwIwtFkTxhh85MHrgtd4rcmMkdi3+ghHX5EKCR+sMx99F
DzHcJkgk18ovwCDA+8onftwv1kfSx1mVicLfNl2ulV89UcLtYQQ/TzZ3w2xeCbvNTZBcy74QNyFM
0jqrGeQP/RA9ZkP37qap8n8kX7ARAjAd6N0EpOH4lBmFvmvh9fLxtudfLdHBxKDlLmN+zMZ4g4V6
ZrP7S6ven/wEL5nLP2S6ydUi7SJpssI37KhNZO9cs6762eakbQ/oU82bc6t3L57c3vw5uf7/xKh/
+qNXyzcPSTOs/aSQtm4ezLRYdSoxBymx6tRRNJtU5TRqjyNsSCec7Vsf5iE/j8owAX5iDKIyAJW7
XMNZNCFqvqfAtZnTQCBplWXah917sI1nMz1KFhfmabWNj9l5izIQ50qAX9sIIOmUdyA/ziCAIxAa
GT5dSfk0tt/NLIBCBYEw7/Q53SXsnuuAhD5v6zCtfq5kSPvtAyzk/NqVFCRQCZvv0G1AosZ8iVhW
8gBreHkXG8lgfa9Rs3S6RF+BWvCCNh+HjybRSGT6vC/+1kbjn+dlytaaQe4LOChGSFbr6pPutIdl
A3VJktQO30cUbXMwCOeYxMAjFmAxfx26TPKful2AWUUj5z7OuoTbVx++XER6d2bXYCgOMI2ylQcW
NJZ1jsbJ5rDjyiY5RMCX2qopMNN4BTJjoLpO1p0S4BRXxo8dXXaNvrBpDHegBAxVzszKnnqydEVN
utSnlcjZhCis0EVdaBjgltvUsmmAfrMfRQv+IvL9vEKFZAP02c3TMOdlkTBAuqe1OzVZjrARewnT
yz2+1iiALC0Q2ZU8jpSuFz0k3yanGfjW+5b/XLo9pEczj1Q+73NSsE9iSvL8OXUgvj7ujSiWtlY7
elSyI/dLDEeEneWLekKHRoHvZTpgOYeqJTtvlyOBqzGiMU3GXd4Flm7+x1TobmyrcUUx+JyjA4m/
xVu+2VCpIRtyoPaiiw2kWtQAmipRoMi2cNDJF9B2A77lOJ4TikJacmZyKEQpmeRHJsVQjWzzGih0
CkQtiLFjWO0DWaw8+Bl71DMb26V/A8C4HQpMhzFZjn1K7QaQscgSuMSKoGrkNaL4Wrh0GB84AKLz
UVCygC7pjUMxv+QFzRNEUM6laVpxmqb9O+DTZ3aEwYrcHobEx6hqEwdvtR3XzG5t0btFgmUOSk4G
kzWilh+JitAzM695Zj7kVMdFLRpL+x/IfQqFRQP64Frbno72WS6kZW+QZ0362IPUmtR8JCO932mU
yMdYeLn/1Q1qXNAxM0dj9jxh0YrDYERIzmAx99NnEYEDmmB7k8DglrnOuHkmzsn4R9Y3TRHKpuW6
PXngG+k9mbts/NJ7oMEreN4TdKO3Po05rJ0pUz8b51sJ9uMkix80ZZP5jO7yXVS4XcLZhT6PMTxB
1WcL/M9jlP0cQR/fQQw1IbwBaR3HlRFYST/7DNP8rpUgiTpO2iNJpqJ/KeYlZ4Akd0a8n6TY9leP
Bo8kwk00fAMAYIQTMTtb74bhb4mbG/HQsykNp3HsVXMCNzqeH5aJ5wnIn2mWfC1YkvG/Yi+bZ7SQ
R/e4Rtp/orVFl72nbd3CICiqt24v/D0YEut+B/Og9IviXcZro9Dp+C4PAnDPuG26+OzHbgmHaBL9
dgeyK2EnEMYl+UxYI5v3YuKAbJvgIngi9oRbNNFoBpDfuls6P1myO3JODTPqI8AdzfiyUJ6LIxFy
zGu39Sv2Tk+LGYTrMMTz08RX9lPBE2CoGpQM/YvYyIytRIybPzA6urmtCW6r1gfZw+D42LSLQXsN
sNjtmygsz87aGMNK10Qz+yEE703VDla6viyGuCEAHYHze7ZKW1c7n5CoBio3AQ5X7d58BYAeb1BT
0sawM9zwFl3U2hkY0MgOh+FiyQMkMLbv58mjMe1Azey/gTPqGfBqLRiPFVAQ7AnhUvurwRLOAcgU
ia6Y9nT8HCbwGWFwpDUsz8pU7nt39g5dsm8BfLq5KcXk8g37/W78OJa9wzHtS1S8V/vTL2tKPwHB
MeNAkHCr4e8VnnL5kMYt84FyhpvOw+ATTUv0fg70pHjM5WFdAQANZRuDb//gN9uiarEBY8XvACdH
jIhONiHOdgxjVAJ23kUfGJVzUgMyvkS1JWvM6zzse/9pJnva361u9/y06DFq6sknTXhMAct5JbHt
uw+oHCVBlp1Sjh/hGt+6ey6RwTwHlMSKYyY7nHeuaegEnXcmtkfdkl5W4z7HrsrMnEfoW5jBsvbo
nttt/N4RqdGMMWTOvXYbyZO7EVfG/fMIpzvwydeQAaADX/Fy8jOPz3HKrXuhdoqG70m3FeqRqdRi
jg1CK/FXqoodM0HDss0exrboQBre960/UC0z+5HJVTT3tu369IwmWqaeljkB4OuA7UixGlymtPm1
wyoZnuZW9PTOjl3bQtuMDizMkQI+Sveid8HcmV6n0Awn0BCTgzWgHparC0PyAX+z+LTGwm3fFEzj
0ZPOEzFm1QT7xbaKsD811daY7UOfMJfeFdyg14UOA8Sqep2LqApmcRnO6tFvaCBZ87jChUIhXvG6
lL5sPrTdXTQkGW6OukZGy5vW+zjcQ7ordkRFw779xKlhgVi3HSHxu8tNTUqqVEz5/rQTnmmLnXgP
zbno8elhNMtAN3v02JCnF9Av7HwmTnB3tznGwSLHZiDgCdBiGK0tHccqBy85bfelraYOEOl3Kd9A
iAY1rWDHPNPY30qZ+n5+IQ4E3e/7bE3WlwDHbvQcspRszxlmv/jS2w0IGvzIdGxeJMph/n0hMYj3
e9LPWw3MPHV3OP8j02JwE+Dg/Z7nvkXw5MYdH3Nu1+PqZaQ/5nEAUHnFmK33Uw9Z6Eu/dqKrsl6M
9stm8oR+1UkeCg0SM4yqDUYqVe1fAzxTyStc6zP+fcwYl98mNckLex2GiGml+6TP73TuLIjtUpCC
jeUULYBXlwpg+Uu0B8tYFtE1ry1MGkawsGUe/YCrfMgqgkO9P+/LJN/yBfP7IIlXrOq2HTVXnQ/Z
Z5pAF1GloWj6Crlolh9CGPPllKicsrVMN6KnZyMmgZbjGPadR8N7NT6l2oCaXTJ0YH3vx8ltRxp3
2foSD2SG/y7uWflbVgxeHFcFUs7rlIj0S2FBealt1qAUUHSRY89hME1+JHPvkxfcP6XDeyVzuz/E
/TCN2DAzrA3I4iFUK04SJqrzU6MVB6y5yLL2NUD5ElUb6/T63u5+QkM0+l4TX8HGsJFVzuPOvEiL
GlMpdKumQxrQV6uOaFGLD0WTDkM9kybBl+iEip+yxQgFj297CX4KSCtFW/FipUmtl4nEIL7vW/jc
FwquSQCvo2vxzaC5Lf3UWjY+AgaOiKsSbR9VcQ9XuFBhd1/L3LPUfU4W2B7ctcwbnPf5RhCmp2jg
Na4MaRa5c4dXIO+WcXB5lVA21TKIZTjJDUv9KyWzX49JLlUMMskMy7M469KiThXkwaVN4/3IcRh5
V8606e3zAukUHyrNdK4epW3CSxEuANR93tMHWxSSHAoQbDYcowg56nnPsO17tUbtWbKBurdFNfH6
fpiXuMIdyZR8C6rxa9V4kd0hXKOHINFFM6LSXs5bL+6EMzDWyNBXjcM2BaHbcVOOgCGx2s0kuWsR
D3z2Ok8fWlgp6ZLxfrKViBPWwrPVJOU4Zj27L3wb/srQ/dM/JVg6+rT3dudPU5TMr8TD4hUpUOoe
W1YkO2KnOJtf18hAtuu2vGJoI3/CfQ6atQEvTeFGjjbkpzAXycfRR+1BJj2Tpdabe1il4i+th4N+
LTGNK7otIHmLprvLsow/LqwN9228qW+hXfsPPFVz1RH2TtFZf6Q94PNlS4yF7GRRUk7lRjrubdki
2g3HAFRduAOsuv3E4s3cuz4UvMZ0ZpXel307DnNP7wPki9lHHxX5h1b5FLbsiRvy6K7R+epV2WDm
FmiTD4L81bkmuI+UMhbKtdNbASlnvPpQdxc/gLMK2w7blGKOgwFZd5psgjymS8e+btkaR/drnKEb
G22lntzPIm74s402644r+vzJp52phFU8ZKt7WDJD22+IXPV0oC6JkjvTmS577LdVAfbaDqsqfWzm
4lO6KENepnRJzQE2DWGAJYFl4gz6OldfIwGWcF/R0NGuJrYXrlxoh1CUuyXvqlkhRvFlk0ZpqspA
w9L93AqaTo/rNq77D0CpPMIh4QqK2a2wtqgpezQM9Qe46DTJaS5U17/bYuT+h3HIUn10OfadGhlN
m5+ni/zuMOU6SV/QVNPTB+hn07iO+Ub5OUbb1PZ3BzG2flmsKwypAm9XcW8nmxJWwlCkwPXo3icq
vENqnCfIgiHZ3B+sVRb7ghhyHz8ZjSX5QSJZ9V8llfycgbeNBFn7/GtsUxl907hgRZq8jRTERRSh
RYXZgWCpbJYVu7udl61edTsXnxl6+t2nwmNv/2LtxJO+pvkU4bxqBhqtH5jfe0DhoyTJ09K5ZtYV
b1KVPNu92MLfGdr91V9zh262Q9EDW/g+KLFxGA7QcX4tFrzedhhWuLueeBcl4yvDKsOOSNJ5KrA9
iS1HsVAMaGu+61Mi/F0qhSS6zvYZIUCpGGMtbOBH5B+I+PqpCqu5xCLAuDj/rnfz3PoTl62cPykb
jSuI8pHjZ2v5QvHFdu7nekrUtn6TnKIXiQnJ7Tfn5bQeTUt0VHG5xA/d1DasmnAR7h5D32ctPkne
oRnQospezWadEJRODHYyn5Y94wUapKfmcWyT6eSbrXg/pUlwiA7ovpuXoJQqZ7BBgbrP2iUFX6zo
x2PwBQ1VC5zqct5TiwRN8CUvrfNjZEq3OG/f5bHPxd8r0CbFYZeA2NfMX87VsrVgTNztTNMfAaC8
ri/TMeLNPXDMGcsqq/Y+QjwaSHTadszgE078OL932Oz773zvRI0zPmtexsTOhy6a9gV3qlETnRHf
pq4iqCPaMirc1FSwV0o/pquD/mz1ojVnLi4nBkbLxXB3Hceuwolk9CeKEj459kIMrjYR7fxh3dDI
gKQvQn/dnou4ey56T5Awd0E+Qwe+nFXTsQErslnuR4JCxxNPWpecl8apbwWCFf88SG/v3ZQPStRF
CFtFKTYOlGLa5htsL/qubjX2zq6f5ZNzBAHcDh8Sf1Z5ISqzB3BJ0P1B7rp8TtXT5FKrnuZmsQ+L
MWP/PZm3Qh7GQs5vSDrTg45S9IzgfVhxDnsOIJnaMv+Jwozk15wwAi457Dc6TGLEGaXyuT6moE4v
1YTwfqwKXGyuQOMVG6q72DdtNU3zVqkFGSMCG8O3Ch0voS1jgck7BZmoykAoA4ku/EWSp5EPDuUV
F+1c3+d+peLL5tdpf9yzLfQfYfMxJo+adUtnK5eupnsYC8hoYKG2bTVh/biUzZq9JEAY1uuYbz36
xhugegec8/m7WKRIXhuL1KhkQN/d730TbZAXTmqvJa4caVs2Dk1EP5sBaI5zIhE6lw1684tfo0MR
AmcWYn6g+TaCG+fdYXt7igo+ug+4nEjmR4+2b/UyeyAjn7MFbjxVUczGv2jcHf3I9iGCzU1Lnfgs
xha9RdIZoyCb0tmbTrjrStBaReklkBLImIHOw963ms+iQ46Iipw9SruEuMQesTVduaNyR2uZMyHU
Q/A50swS7TjxNwTYQ1qNSETXl2Da3b8jZoryL76ZhuVlWTve3ReCt7o76KWR3XltxRYL7LcJ/Vt6
RJPfZGg9AuydG5gKy3HaP6LOqqEVWpGQ663ccJbPd1tvPVZ2Mn1KUpEeURKPH9CLjoOkoHCELgfP
lvwj1oNXBy6cgFFKEQ/boy+WQX71GglsOc+osT3FUcKGX6bnXNZybObkLUp2vT4HgqzkuRkBxHpX
oACV/CftXp6NTdPhbzpYnt9tcatIlWXwFX7EQdbisG43mvi6YflWmApIIagkqz2GVuDDChMYcs9g
aEMeMLFyeb+wNDMgnJFteOIG5aiSmdTDFtqI+RehaSeek70ZIL9oiBzu4M8dJa9oD8vZWAF2s3uU
uYdgjsDU+fkIQY/RFYrHdPkxeG0jcOB2V5wjhazxC1F6QujOEN/V8cxNj547xJn6eUGZRFaQkTu7
lLCciJMHwhKKGJq6aLjrcJ28/vBJ4Ba/ijXu5Nuu8PVMjZEHlabFVCcAbzjQ4GcdxBFBr+IPTQaX
KWjM1IWCBCjUWPei49t946A/riCHbzmt0XBOLOyjG41rO9z4jO09W7d0x9bsTHaHfXLEpeSEI6xE
uSmWJfri9r6e9LCoY7Yt8fQr76hUEUKkOHMpsJ7wagCcXiu0rUhcBDhbrRrHYVZFauYnlpgkbGcZ
F2nxCda42j1e5txm8MO7rM+qPt7S8YXmndo+R/g1PCpF7NJxOV5MexF3r8W+Zs/LJVF4aKJRbjhj
IAuEj05o2vYl6NgiJpuXlJEVORlS87xCSZkiKCdW8+FnF7BlQ8IUck1+zW6NpuMCD0/EhVjmKJsD
yjHO95aPS/FCRb+2OBGLfv9LChRdv/W9H+Uxa7Mh8hhdkw5AzrK5e5chqsHRkPA8o0eDrX36JUxG
fVG6mMOU1ufZUrzFKEN0oFygzOl+cLhWyk8mWsbodWxR1363XuJxNGaHQiVVvk6wb0V3kJnVWWiU
9zFJMpMe5xzxHTsAF7dMD2h0aqmvdpTKRwT03Zx3eQ1xmCsevEHB/BFBRMEe5ZJl9sOgejnf523q
x3O0gD/9DbcuDanYsDH0Low6WkqVJz56HAlMeN5Fi126L9EO/FrFEQAMh7DoYn7urIOeX1OSr2+7
gnKrKohFLbtL1QAnjbmN3M+CWdO8pd6KKhlg496v+320g1I8I18ahTp706ahRJjRo1iRb265C+PA
07sZxUR/UpLt5BOKJ5TedxIXHpUhGvecB7RNkrm4nOE7UvhL4SA6TnOSLFXKdB+VWHNPzNiQ4UqF
wgXgSGIoSKdjF8Uoa7MBlexQKpCkijJMm6H1LHKa3blt4fudybaIDHCuSvzCUbpogYQaFx73jzSe
rf1ELcyjf+VttuhHghJgflRULPyD96hA16ot+hZNWNDdvHbDoNhD06pBfvAFBuYhJIW092QBOeRp
xbsmADeHnb72S67b+62fufyIeLZr1oosLHRT3Y+FRnUugxVVR6oFi9lEFSwOWDA1rjvygh8lVE8X
p9b8K4zaiI0rzuHzpw8aFW+7nHPtZwysy3szv24zBg1XQ5gJYDcnOQ8fUgw7ekg4FXL/iCJxsx1X
rOQj3/f8EbkCix6SqOG42WIEJl3J5baiSE6kZ8ycZJ9P9HFXIxpM4ySM7qvvFo7efLnAIeHowOMN
oow9ozmuchJoS8hki7ViyN/sN71mRfI6orvcJseLo2WM1G2jYFgX887XvuLae1kHPV/AWc6yZzo3
2XDO0LDo76bBLGndrsEMj4mFHQcqQQTXSmOY8+XYoVYZl5GN4+iIqxjX1apoOaJrM1mTlyzVXfp9
ywHLfmj2tt/eo/M8cygximbe/0oHmrY/jByJOpMUHV1nguLW9ITm6Nm9KTjvio/jQLPtMc4iG/4O
E+3NYwhtZFHH2JKiQgSD4jjKaAtKyJ210DRNLntaiLa+cgF8xPOMV+jrZU8SWUECzHA1mGUXFeFa
HDkEnM9qBQD1I/GytU+z2+PhPgfdC3EBfmEDSTd3AQBsm2f9D1QzorTuaREZC09KBGKVHTDb9QG1
d4niADbSSzbjL/EIj+Y1rUIUxTMWSzHNUIUbehlBbpCVtyWZKX+x+aoidFV3effXcjkf/8oXdImj
ZZa252nkCEUI9jv1IZ3nxGHttVRPrjSFRfMoMmnwcHJBOlKnCY2gIkjbqXlORO78EdsoLN9WNXTr
L9dvZnsc91zTzwgGWLaV/dQv9yHk+/a5yLVZX3Bqt+mdRbhSanh6TCWYJ+2lJmi2FWcu7mleERzz
/N4KCKqfUQ/W6OuFy/uODH6SSM4p+HwZdd/RnzcVJfonEn/YmJEoTsyTeI/b4Lit1xXs2fc9BFw4
F4ESgEUdX4uGf8oNGhRNNRCU7dfT0MzT6MoObU1ZORa4Lk0rXPHNyy/kyy1qVMhLifuOpGzvopI5
XBj3JcUu61AqUSNE7SW8uI1vjxu64MBAGbaMia9oJA3LXC4erI7ppP8fe2fWG7e1rum/EuSir5o+
a3Em+mRfkKxJVaV5sHxDyLbEeZ756/uh4+TE3jvJSdBodAMbCRw4qipJVeRa63tHRo448caamOTx
gnl4MqTfaBGM9d9TBn3fdGXOepGXRZtthPM+0e/N4e8peb9PLzEybQAb5nW1+NZm9ImNv6nX/z67
pCQazgliy9qyWQkmVmcQ55Y18896uH8nHUd8X3LF3K12yF84fivcBXVUxt0xH5WSwLW2qZhu1SEh
g9xyavV6asGJPLpDFeGVysTo8cd6jVVU9i+kDd8HnYTgwVOsNNa2pDox8+m3n84olWqPUxNcB8C/
/Se25t9RbsjvDFZN3c6trmnmFvdxbd11cxn0fhVy2sSqykDmCbzmGWfDaS7+xJL5O3qx76NQEsQo
rOmqsTVtCgA6Mi42NcDWn/xCv/fq30ldKurDWityDGjq/GPayMfRrgLvjz+W33vt72QuHJbrvAoD
YzvTMeBGzXyI+0z7my/+nZylk7Iryt40tgBeG1ib2A0kMMff+8m/06IF0xB3hhOb21AoLTvrEDB+
swf/rVf/PghFTSsNKQLvCwMbQaCdQ6XdUt798Yv/zhX6fQ6K2ch8rKaEyyWyHPVzW8T56AlzVikx
sdW8cqse6eceR4VR/a0uMHyA3+olIzscLQIijC3di8aTXjftZSIBaf74F/pyb/2Lu/v7RBQrmTVz
mEN9m9tOBNzlFPMIkss/r7PszEed8y//p9BlYe7iKrlPlvhecqUZ+6CN+4iJIYw2VMF9ngaNnli3
szgY/fzT/cc3LaXtP/6Tv38qq7mJw6j77q//uC9z/v3P9Tm/PubbZ/xj91pevuSv7fcP+uY5vO7X
7+u/dC/f/GXD6bibb/rXZr59bfus+/L64Wu5PvK/+8UfXr+8yv1cvf7048vnPC58Ro8m/tT9+PVL
h88//SiFBJPVufT/47ff5Osj1t/ipx/91yyK//WTXl/a7qcfLeudpjmGNEybE/b63x9/GF+/fMV8
B9ur0SQmHZXCorUlpKBmMfrpR9V+BxigwcdLBxSBqf3HH9qy//olXag8C+eZJAXGUH/85Ye7/vla
+flD4R35+vcfij6/LuOia3/68UuGxn9dUvxytmqpjq5LEAsD1PW7+zwuDJQwDhhs3ER0N9TYRu77
IRzfR0M3XKFKuu+VRrkttI6DKexadYRNhz5FDJdyMEyy5zxthhfONvEhSB3ahzPTgECiZpvBvtvG
qFNuJlNMt7x8xBFsrK7DOM9emQQ+jn2LuGpxaLxKuhSZpF5eV84Y3NcqZAwTWfuklXr+Utqk8Crq
zIxNm/r1XBq3aZkNR9Lo0HVo5vioJabYiGQBxgER9h3Y3buydN5PCtiAHJF/FWk9bUxFGXeiQLQ0
qWrst23F0Wmu70SuRasqsESi3Tm31aSkft939Z2ek9fbhpyI6T/HTNh0xh7KvN6Bmo5PbK7w+2qQ
vTkklZwGLYw+2mZeAxK03ce+sNv7pFdzIsIDqFjdxDSoD5oV+0k+KRIwPJAf0iQizVgn82VtLTuN
EnreI5+45CwOXPqBuoGYvAnH0GMXnZ54LqXluCKoRtQqePFKtxmMs9GR8u/OVmo/2krWHqNa5pwz
7KUa8G+WJIB8ucj/T9/s5/gTirTyrfv+bv9mgfj/bklYtfy/vyRcvoQv2Uvx+Z9XhfV5P68KjvFO
Vbm9uQEtVTWN1er586rgaKwXqqmzJJB4Y4k1YvSXVcF856jrTeogzmINWI00v6wKxjsQb9NBtgXZ
yEtaf2VVYAH45hxp2RgYAQBN21Ed2zYJtf52Q1vsVhUDJciHOdbmTWG9hFA5bkxi1mWkz3SWZr3h
F6gmSoSmPsYnMEsxZS+TbljnxEZeTr/UjuKJwo2q8ZrlI3L1wn4I9dzxAfSsCcAfLhEe2hsJQbwZ
GoMKQ1Uj8KTqs7s2QhiQOE2ztyP9OSG8T23N89wunWsb8Say6O/thoCGj8k1i1zbiDRoUOAGDxNS
A/SDZoaczzjl2my+WLHMdkPqbNpSNd3UdpZzli+5141oY7NsTtwhafe9Yo/bkYRRV03sLdCVDJFa
5hqo5aoek5ZP45ril854U0Oj8wl+HlUL9WN+QrS7mVv1Fr/usWyq0MMN7yGjfENTMV3QfZssQN72
slOj5g6CQ70q47zcDgvFB5MVP6C7cU1lPPUGb6bTVdopQaHp0UB7qRfdrlYAJYqqPmtGDzsgynwX
T90nENHlMnhsobLcts6cbVT3F7qMskuaqx9NY/azut9kOtrhXK85+xRvnT4svmMmRKNLf7JNxMPJ
Peq8Q1Tlqt8gjPEHMBv8SaGvLMlemfsbRTWGTdi20wMCWOOgWfmm6tXJj9Nyg9CIt8aqw30OeX5H
XuFtpA0fA2O2oNv0bDsBSXpJmetXBpH6INMLQH9QVR6gR7KzOz3wMsM2DqqzzPewSLdaWutgP5re
s0hG8x21ygvbRttVu05JwqvJPDu58aCJBLQ9MYvrsaFGtxuGMxKFK/SHfpqaT2E2X2YJ8tqun3SK
tptT2LQHZQGkWMKnMRyb4xRvoK5jPqr2smm6t7S4I7Wg8snN1vaGBccy53Oyga/TJ4C1tROwdkgT
DqDrsavUl/MgTqkxDqy6hWvb9ras58PUiocgf1Qzur6qKEd5Z67fOznUAtoC0v1BjRsEgPNguNA2
arstEFp5uT3KXR0IkEf5gvIyPuIEf8sS54wA0NUFvFZQX2ud7Q1FglNBvW2WSD4PqF+EG5fxRu8d
+84xi20RBDWvO1togvJGuVoizbiW48JO7BAUUiC++1TpdX/smjTuvHY2zOus1qoLLWjnY6I39osB
tkH4cBEeFenYBxSXcI5JkD0lwJoD7TRtfIrUSBwiQlj3s9WE96iIQBY5gRy0UszPc9qW3lyP5XUE
tXOwICJhhwLrbtHjxctESoR+VZjHyCydY7VOGdAbRMdIGR56ZZnOYHz5/dLF0z2YVE82F12SeTO3
23pY9URN5TQvmAYsv5bRgBTMMc5skNUpHezxRvaFdmnIpb/oRCOfJUaGjRWW03YqHfNYZ2Z6aJj3
rpamjF412AjdbfO5+VzlaY6JeOBdX/oxPiccRU5GkHXHDJW6RJc9iGvbnsTtqJHnIANVnvK0jB5m
PixEqUZz4lKxThqRzSd0ypywqyaWHn0S1k6i0710+AVJFOJ4i+JT/Nl4TMT0N6u2rduOgzLVYheA
xeNYqX27aqcpueZau4QHOwyzy0pvyuGQtEN7Wa9SqT4Qk19JLAqzKnsf7e/ij2Q9bCD1w43e9Q/m
0CrbTJtr7oKkZYVtZekbYSwYpRz0PnocPndBH0xcc6FxTU5mcuxEfmkFOA9QOS/XlUmaoo5U+zyH
q1y7jh6MgGNVQwfEvp2G3Btka6DGNO6bJorcvh/zK7MH/0Zk3wf31Tiqys4x5nrxWmupCz8qeGFX
HSOn8kyrmnfFEgW91wJ3TzuBsizZDIFePisyqmNE6mG5MQA9HzQLtXqrokLIKH5QVPu2t5Qd0e+F
xzTlV8Wq4u4sBgNkm7s4L06KFkJd5RK1S69xBuxOUdXcBQ20V1WKzkV7eKFkMaxgEcQbmGocFUq/
eISA0zsR5cd20Ydj0JQnK+b2J/cHTKENIaBiVNd9M29yA568Hs3wUzQY40UxjPpWQW8GOGQal+Wc
QMU5MttaUZrcVgvYbtWHEH3LaO0cuDavX9AR0gxrCmhjwzrNfdKeYkNxzr0hoodIhOoJKIawEcMR
t6U0xXWUairofow+iM96OhEUF59BGp0zIwHXO7qV9rOFNkh3NUuLXvMMymRqAPSb9U6Z13vGXu8e
db2P+vWOQkfTX2CX0S5TpZhuqjquT7oo2J+jdrisRrbKAoHuC4ahlhxtR4eEXu9gcOL+Qqx3dWCl
xf2w3umGZPepBoKj6nUdiNcVASbUPFZ6iRGlLtbroLbv7HUNidfVZFnXlWVdYfR1rTHWVQdFdOUv
60oUr2sSZUvikNoyPhWhyZKFpCJ/auylPwDZOocKpf6R3JTIG4iceEkydT5WgVJdCDO1rhE/sTA6
PPrIAcT8BF0S7abERHFVxeY1j1auenwmHoJ+nfR300KCBAgL+xM09gSQ4XBCSZnr2q3tIPmDqrKS
cWvF9OP6BLyZuSdDrZn3qB+gqwsrsT1hEAOI3sNpF19dhU57OTpBclEsbVg9QQ5irVGNtOoIWNTS
bl+GzRCe1EyEk1u2sc4Y09nYQODRAAJILHMKV4QKGfV2FM0hWXJYYzb5Yizs14axCK/RzZxqkyIh
6B+Fx5VGhs/Zhki5QSgvt5mj0aCc6BJhZmOknrYEudjVZpRlG6WR9ugFSekQuVAFH7XBrEeSpzLK
iRprIWqyz8ln8wZUtBl05CDeL+jQ0RVGhWRtQR3kcInJWp4arVNv067mfSnqGyuYF2+BKt2IdiYn
VC32rWGjj7G6h244mYtWExwozhBY1VlHcOkSSBJ4nFExuzRxQCNNn7uS+kS3ojLMz8tqdDWdaAgx
JB+q1IFESMZPEncXlSuQj86sXgeiHi/LjnuU7qyPsfUxqxXnAq9YzHozq/7QsQ1oZU1atyV2VlTe
6I68xdPj+FNmX8tgDPZRbpkU4TRig5fKOnbmZO4zJGpeHGsXga3cIrxlz4uldlLY/zdiqT4RgYWJ
J1QIMV6Vf000XrOd42+u4jdDH5HbE1fi0li1HJO0G0kML7tHaYvZT2Q9vzml5Brsw7LSvLbp0Oth
zrC+RtH8e877M+hHQwjzR0Pe/qWZX4qXb2a8n5/zK+zDDrwmghkS9Rhy5l8GPEt/x6SP6knyLb6g
O78OeJp4x8RlEuZoWZbGTv4b2Md6BzxA/iweY6JE+cpfQH2ML7lzv4V9pFQdjZJuvouwHet7k3Qq
1eiLUGmXDIp9ZQlrtLb5UuTbgtvvfWh2/bNhV9mB9BASZ5w6UF1j0tcxqx72zaA6B4hhFEw6Yqf1
sOA8InvQ3qtjYV0ui9AfYiNoz1hntAMe/uRjGSvaJY7y6VDw5x4NHqumjfJs9mrZ6Z/TaVF7ppi+
uzQzod7rDHi1Gyt58TbPlXqGFsvu1Uyuy4xQL4pIk9dtrYHSzEPhd1j4DmFlh8hwguSRHt/2olHs
4FFUUXJOknwbE+Tv2gp7QYGaZoOYwnaTpBM+LsnVDEDiopZoEqunHXhGaEAEFrjiLp1YI4G9jUtf
xx3q4wpNN5o95Xdxh5dwQN192Uv0wU6ABTFC5zrH7M2okKuzRn/VxZSRaW/k6yFVHXQohjS9GzrR
ncsuXDBhmsVlrertIcxaubHIvb7NiqhDMeUI3BACyXpvoPprskuznoZdjdjgGRcdS6lSDBehper4
KOv0Ksu0Zm9gI/NWOS9za7e8OLmeucgcq22JCc5n9pzdbrGyTQCKddGAMDwEafVWFB1ihgIZSexN
eTo+i24KH3Hnje9nvHf3Dge+V7noi4XWZsWT4i/YEqUQVnyA3c/bLeuveM6/QFT6F7jKXqzpA32W
nG/SQI+vC3sAM+D4cXSUaNpAJ9sz+tTFjn1UEo4/oynWsVFpCt0OegaLAUZfnNjR8je5gmzBIFXK
X0tpIPMoi5O24nLBZNR32cznote54Ehovc1TUtwstNdcKJOpndMsDP1cKbonNvBw09pO/2QNSfyI
tj30YXxvVTOpjgl+1zdlitEyiUSFSu5X928SztMNasnPUWR/MAwrOFfN0vChW8FRBVv3+7FA/Ncl
JcNB0GlYaS2rMs7D0Ce3UWlLP17a+WKqF+sqxzZAOi3oRIFobrTC4TSQhPvSsMjvZ1Uf92izolMz
V+nBSLKNGk7BvlRaoFY85OYNYtbyauxG9OmmOZEJFhnPkYbWeZMug/IeMVX8GFZZekD6OX7IHVO8
jByQ3SgCwCixDBxh4FsfnbufmsZNPMn6FsYVJXKfDS8JTOGjMWnRril77bkaqvCw4CWjy1cLLIl/
ONbOeo6szeeh1WXYAm25+AjDoxaVg8fJq7oypri9Jk24egocw2xxbIh+r1LoluBiqdItEyQ6SzEn
XpBzrAgVyHMMzbl2pWrGhI4G+x5+0ByYdVDl+Ggi9bvoUS371qKUZ/j1Glo8Ua8wJbYomcFcuqhD
cTVY1FPbVmKwYWPrO6dRGA8b5jb5GsDnvdrm3L3Ck9VnFbkQABNNMtIjHy3bDAWwil+0q9ZvNMX4
AApO0ag0bYHG0qC9jpMT3jaQAM42gYYYvdacOvL7AtBVLax+U2aa2PYM3YVfWp0w/Aqci6K4hIyx
TrOGeLtYin3Z2bIGBGIpfrZ0dYGrm8y58FMkLYs7LyFGuSEbDRwgsWlzd2J/P3FSLt9rNE4jDkzC
noPZUHxu8Q5OXlCE6ge9MSYDYKiNnqdy7YdkQVRmpJ6JNRATpvbWM8Idjg6RotkPkoCCy7SW4/ta
qEtxgahPM1146vnAwGrQkUFHLCMGIvOPnPdVHNNGRSJqZOT2xslsLBxVb5+1cl4X7THANIDGNIsx
pBXTtldpHdzZqpgAMVRHeTYjiHc3LScQulm203Q2TZRz+zhWKypKhVJfjllCq/s0ddq0CVUyR7yW
hotmNxc24iQI3/IuNocCKYy9cFaag6b9KND4JAxophkdY6w93V0VCeVoNUu+ZdDumo3VR+RJk6MN
eBSmVeLpato/oy2Dl8jjsaC9tx91TujtHHkAl9iPRWsEqRvQpYcQUTMGV81SeTEnmXmQskMb02rx
9NYoZvHUg3fvSrudM09FpYffd6qzW4RmwVM/Ou05c/S3mirGFyN2bnU0v+QnGqFuuVNWmluEPM5F
b/TTh9ke8Eyj0DQ/6L3AFBzm6XwQZmgFaESYSEM5WLdrAq59Ta0SHemIeGTtplYzovNx+AUaK+p2
OGGw+nFQNUcvY/F9UBJtOmIZCh+FHhe122d6y9QvBIwhLtJXTpC9qznj1HEejcQmikbjrOAetdxO
l/g2yJkzDoqScd833AjvKyMz7+fOTI8YgDAc55CMOMMjvZx3SxCQMihD+YDgLzqnuQHAgdwpQext
Fsl7wxr4ma3Mzi9MIiQKAl9jVMgtaMIFJVT1E0lHuX6IYTjRWCM6A7XCrtN6jWi1U0qz4rOiZUAK
imj5AY0hzD7XyoDJa8Kid1koA3dMF0iwqSLrj6yh8kXIbn4aib0+4JqfsXBbS8LaW2g63quMgZSL
u392eP5NS6gT1lDmgp1lGMpznbFDqbMtHvKiY9Nj4t8FceE8hpS9P4jKyW4wBoetP6I3A8jR8jMD
F8Az6uPxlUW3u0pIiRpcB8/M4zDoc+cvWHk+KGmJB0BFB849Wml3RgyX7rIqKh8LclMWF+6wIRrL
KRTdUwObo4LTd9lLHFVLtVOGIWk2GMloH0zisql3iZqL9x3SzruyEOgKI93On+QYIBJqUHXfJloS
hVtrJG6oWacwNN5leu1EEiyVdm+VNDvEn0cyBbEcJUl0M3YRdtoWIZ/fjLEvkyX7yGdFItKCHPpx
bDt2gQG1OUzicps2EXaLVCvzxg1ruYrHqqK8Uax09bPWinisklTrvaUnAnGIsFy4U2BZ4b6LEeWd
CNgGDEmxaXV+QLvClahTvvtoqS14bBoF7wNzyg65Mw0IzDPeVaak6rFvJ/OmG2MIhIqScjehi+ha
guSfl0mwogpbb2+RllW3I/Irfmch1C1qAJs7HsrxEEezeUocwfCns8NxZQBT75Wkl1tZyp7owyGN
N8kiOk60EnCqTZrkypQG6HtoF+rLIq3yUakd9LLSbMWl2Uy8Iw61lichJt6hSq/ivZxC+4W4Ue0T
LA0/Vugk3aMDrcf7G82Rb9Gk/AnSJdsTYu48xiKmdGqpFRa/Tr1MsU+fsxnQzFeMbAG7xkLMTlul
u9yUeezmiZitXZm0zilwJvs4IZ92vEWlSMaP46j9MGZphOunaLW3rHLo2uwT7cIIlPDj0qkz7hkA
ipMKeBPZmsCvAd73b3Lwv6cXgPNhzPt9ZvD42sAMfjMz/vyUX2dGzWFacCSrE6zbKoL7KhXQ0QNo
RGVytcH7fRkMv5KCUn1nCRvOV7c028JODej7lRS037EFCbnOjLyWxWD5V4ZGjDnfwMtcl45jImAQ
qiB9EInXShr+JooZW6eCnUUyAZHnaVL1N7o98TWxF/EDnYoEm2UgehU7x1LuodS7AwtESjBZDlwD
odc96aMO1YU9N3lvkopgeEIUJYYmiSnawathIZ/rim2ImvcKPxWitcE0x/jUGHX5SV+M/tiio2su
emH2DQxbTORcqKNx8UjaMNNNp5Cfi2m9ggdK0FX4OPpxaFcG2TL2YJuab2tJM+L9wcvuzsM0FcdR
Sa0HjqVJuuFsPp0Ax4Lj0tZNj+FFmE/1MqpPZHTa9/jHxqty6aqI6K8WkWYhwotB2mbvxmnUIkDm
hr6gIHi5bAsChtxMETG4sV7ow4XaBOy2YxM0yoWJrPZOFGNvbNPUiclWmZcaZjKUnG1G1PGFz2A9
BVeRxXywMShzI8Ml1yE123rMxitzyK32BIuMTUIN9AZDVJlyyIiwQWClssJGeHGSV2/1SLeI2lOp
tBHk0J/AmIWxL6OW3dAkaAJWFvT6blxUdoIgxbW77bop6zyA8sTxqa3n3IBMOP2UKhh9DzOqIjKJ
WsLQ2UI4HYi4Ta5SpN57Phn9frXe7OcgmPHfzM61Sj0amlcnaaZN24ryQdU0QgcW9A/BzqQ79qJq
kLOyHjcTw3pq3aS1MD8JTLLxpjd7OOG8n3hr7NBe4IcTM9v0Rqs+1X3cP9mhoQ90uuscn2zBuOHp
llUfk7wv7oBWkRUn+GkJl+ukMh70qUNpEeTggpHNd/CNTgz5Bqxfu+UQUu6pAohv2lzvSncgWu+T
FBGea4zzMxlCjjpeJtkQHR2SMvyQas5XvYg4TQSL0YReMDgTb0Gw4CQdlGT2ayNWA5+CUMnjpPmh
tnqtd3MkQqmH4iWfiPvQK307chY39vOkIF3BSBsIHzHzMvhk+iDNJwu6cdHttxetvUypr1c21vXa
Zv9zRdX0b6ZcJkLAFqMIsDhX7AQcKuAkVbvut4HU7WQriCG4yXF0uETNpOM2nfjFXPgUpqYZExI7
lNo1p5UX+9zH2P4Odo46lZaWvvHNLCkLpgQC1/Cx0R985zjEL7X00SNPxlaMy9ht9SZ5rBaH7F1S
LwB4RosztelUR6HC3RBcs89mWJK9aEXySA6Q2OnFvGwsymhO2A2wOETo/utJDWqyakdrPM94+uSN
bOLysRk1BNWttpfGMPaeQ+lYcqE7eXG3cj9d1s4DAhvZkqXTcKUgmzbOorcxuHZ2IUa+gUbVrIBU
rT5i8F1O6iAHx2MygI0ghCqdHynsZf+tZyhd5u159bQMpHk0yLxhA9c9N40/BsTb3I59YX5Ms7Gu
fDxKdXQYZ+IyrmJgfjggbpl+6xiVKfwRKJ1ZzCEq1z6YDs7xK42grOWsKEry2M2dBdejdUa/haGe
0fIYEfPaXulmlnk3IGpJcUPsK1tbqeuXcqqOBVVLJKim/oRx1kUeonmV0dMgZxj8tu7/NCpnFn3V
15s0n6rrVh26ncTqtf2yY/0bEf4zRNhg8vijzf3iJc/7H/7HS179rx+OL22Ux803O/3Pz/+605vv
0NhoOuO+1HWDTItfd3rtnWVqKkjEL8qg/0KHOQTwHF2A/zqOLteQ2K87vaa+Uy1TxZCEoJC8fr70
F+DhL8eJf5aRC2s9S/x2hy/UPpR93y47CmOEqyik1wHJUA0V9THMnp6a5cZBYYBvRxmjxe1bPd0w
ytfHeRqCQxmG9XbGFnWJ1j7yxTxZfhb10z5jVNgoXQCSUSmhLLe9gf84aAk+GAOtdXFGzERh4Y/P
OCM/TXS97KyO/bKtRbTnFFFfyV5Nn0K2T1DTMtrllI55I/kNLMiOcyiWUQPrXA1MRdRc5DF0pkoy
zYsNhXckGwzRXQChT3ZYCXJnJzo2JPh+XEtYT6GJAKzGUEvuyrrAjmjZ0j6RTgN2BSrVvYYW/hQP
M7963xVKedvNdTwfa1LkjmtAxalSJ2Ub2GWwmyP9s54siwdFP/Uu0GMCSaam8GVqpRNnZwafMiMd
1uoT9VgnQ+WT3rc8M4EnG1T8LHNBamCBjOb7PoVhOLZhS4yMk3HI2oC2YkGUwOfnAhOgG6lZ75bK
GByNxMItDBgIaV8plKUp0ku6mqWzFc1rmRTpk2XM1VMYO/1e6JX6HpKZ1A1hREBByKTo9mXk9CpG
tE9sVcGaCGaquwhbsnCdqDUOozKAZuAeV+4VJbem86JD2O3g+Jy3WS7LPgPEDxnYlOZoirB6Uao4
NVxVZ7XFsNmxeGXCD5aEVyHGDJlUrzU4l5pJ2ReLpm4YFKW/ZHS9ResjNXONiaLxSb01VYDgGos0
ptNGqx7TGDjepQuoCh9abUSXng8q+NpitoQdZSJnMNUpj7/KTYuYpryOrg01J2u24hTGx03yCW9b
UwJk9dF8HYRIGtoG3FXnJdXrhh/xpU/wqW4MBZKgwKnVuOROsbspY7kNQNHJiOS7HCJdmUk9lsHb
XBF5hpLEMcAVJQZUT3KpRJtgrNVby2yDF0f0KUFNgcIfk1Q3Sx4biR85s2NutVoWpyDuWl9YZXNj
2OA7MZW+qDdXO3W/AGSp4Ia3sZ6Fb5pI1Zu0I1bSN/i9B0+DaHCwYNrZ0TSbGtKREJzXMsaH70En
Z8FDy4w5eWFahN22K6CsXJy+5qk2zQ417B9bs6N25fGrdvyMHlZNN7TNj/25I3+BmCYjiBNAcF3f
czKAYiDsUJ29Pli0jxZ+q4KLZ3VxR0U0nmnmwX3Xkh30Oihyuett6Sxs+aFigi6t1m4k7ATaYFvb
U3UZE9rEwEBGEni45pMRPH0kZQDqv+rZbP1SN4O7xqpL8IbVBS7ayCJfYSLpQlOa+i1o17OyoS33
cRhn464jMcVvececXc6wBWRQq1JzYzVWVdagHgbkZ8N4SGbGRBzaXAA9aW2oER2kKYCXdTHMG0ut
nCtyJJtTjx3zpigtHe9aaYcf7Hpsb4mOGanQxABTcfhSnE9LZRSfOpx878MQyZlbWWJeHpwxEbec
OFKAIBQPXrGk10WaL8CfpUNuZoDdnBAOzX4TpdmQT73UMMtVoz3QVD0da7rIDuUkCfPpeixjJ5jg
EYdxECQk25WceXek+Q2Xqj7ZdzNk+6mHSx5AamwUaeWAjEr2IHVeEvXygbyd8cOUk6mzkWI2rkOr
paoqHkbrJp8065Q1i+lnGNdPQ6PokFGRpbp6IoOLMEyAOKlZBt+K420YLdqhU4YQVk2i/7aUJLs1
rDZHKUHz1Zos9atDnt7hFwXMmdAPmCs8ouQyecCX0ylCxuHRUAToC6pzwrA7PBPHwmFW55QPnmTs
Bicnc3VlTSpCzEiLklIvLupUqy4XZuuKG6dWX7WhLAA6uHGBe0vHE/ayuHVvt5+CxS4J0SvU7UAJ
5MWC3uM1t7mZS9kOd03IAuZiyabvzwrti7AOU8LiHIQWBXEbVyFJXqDyWRNva8PQvJAggUOPV5p1
pLL6I+d+eRxyMfpMUP2u0pJ4h7PYjFzs7DFpUWF6Iv5kIhQgMnfdIpILLFo172ZXPwRj0VDxWKmk
Es7BPp3K9nY0GlRMdmDdt4lDyv0wavsln1npcTocbcW8jIQsDu2g6GwjLUOWlZjWiTDQ8OP/3QPg
etL81Rzy/4bRQ8f384ds//klemk403XNN+jN1+f9fKazxTuoZ0cw2KBJIQyB49lX9EZ9B24CxP7P
jL+qvhMqQAToDp4OS19rdb6e6aTxDrTHAHPhOIjXw9b/yplOCowhv/UG8tqrCgFR4CrsFlL/vnVN
7UkK6VRl2sxdpQ57c013moYW/mOJ9LcwpeHd63Lkr/7kDBCddoj8ypWhkLC2lhJv4NhsNy1ao3yf
4wJxLhmS1kcUrfpJq00pIDy1gzXpnFHwGk+SDSlsIjdgDahuDHIjnxTdiMM7MZPedwP/mUFJJvQf
epSRM7U2hRlgW8/GpiF1onLIQFhMqCB0ibAGTq6iV3PUHNwJXjK1vNIowuuiC+WbTEqdsKb/zd55
LFeubEn2V/oHcA0agekBjqLWTHICo8gMaB0B8fW1QLv9+tm1KiurcfUsJ5lMkjiBHdvdl/t2GHWF
Cs9dsWm7RWrYN4qhqIrBwbrI85mFWL7Fma8w+0It9kpz4Bvop4sR7U7Evdfo5Cap4CywpuK2BU7Q
/gWCYLGOk2Ey0XWBvSVsE2AAM4wzoGxz7+ZX5DqsISLxkVassGfZx40eXBrEZZ4C0oOkdsBlnJox
MbRgjSZE6PwWYpVJ/+NsP/sdeodhOos8rETdy5NBpKy46OdWYQ2XMLTQeFwTf8HAbAyYWrj39mgV
S9SazIEGm5x4zDFAAEewbwO8RVdWL1IgW7J9Gyzjy+Odmu+oGMUJUOCg3vsgz8Yd+UGxC90ye+Vf
I+ynZX+XeIZozl7ZEoNeQZ7SrGFK96GgW09e1xK/U8TmGqYmvFNnOHOTN+bD1PgNwCvf9NZrdwxY
csnAav3InFbXOJEMzzcD3qSOijykvk76eQkjL8sGOxYofXf1PFtTBDRtQPY3R452SGRjjejQWidv
BDmJVzkD1GWyGWsvi7nCfslCT+m9x67tZM9iHGPLaexmL1ebP4/o1wvKXZolh6UoNJn8pRmWPf4+
2yJB0Pq8wUANsNYjsHrKZ8f9bMnbP1dpA9lC9v13MyTWfMFTh25jVslCyUXPeiz2LKxvaW+qzbcx
ElRag7WPTEPoCgBU4l/kuel8tqHF1Se1oGfuU1QjHcMG4ze29LK5gBazWSlom7sa+yy977PgLqgL
/3kYFEl4pgXjzJYpvRDTFJi7AVjaq6hz68FQ7PjXcPEvQ6846cZGFgeaJ2ycqqCPKIbKRvsJuTPw
dxZv1C5SZrs8ZrWzflPEsl7rjUYIXalJrdteyQD+HReUaW/XmDtOvMmra/TFHngnDswuNnNdvcFW
6m5D/G9dDIEGikRCpWATGZ7jPnVLutHI7AqFXPA6h1FZ1N6VO9J9HiOzZAEGNy59l8rhTNgNkIuu
+9aCyjylzYJDJa+yd5ig9rwHVMDTbkkDsEcL9iJuupSRUJjJi7GCMV7RtaNqbupvgBYQR/qUgSNx
59dQ87HrhlxgtAZm87aUks9Nu3FeZeP1ketWzWVtlvppkH6e7sql5Cwowdpkruvc9XDNuDCEkGuV
5qYKkwhgXm5quzp1Zuc+W1UxXA7LJN+9wk7D/TrSXnlfzBnWQkyzOjnCXZ8QwQmAza3RoT9ThEL0
yrQUj0fZPWVs/s4zcCwktLJGzU59bqxUMvnld+txZXX6NXRIF4j1RVmy/up0o0Pgm+iNR9zqoo2r
IpBRUE5672LOuQGMbpwT1yYCh+m5nB5bJsIfxjcbQdDMBEh6bj7WhW8n7YWGrqyO88IqAoeq2eZx
4bh+Ea0Jz2rkmd3wqoFo39babqIwyIx3yM5B/SzywWCbNfNB2YVFyP3NaDwvxvnmi6/KWLixc+gf
Ia/weKavDKLm56hK8Jx2k+/drOhRMtMuZj3uGxzhmx3FyviStMt3hGgGj88o+w6O/Q0EzA4urJ8Q
aNlPW2677rXbJQ/MOeaTBPyld749BXpPTAJUWunm+b2pkgA4iWmjFYrAc41LF/brh69pAcFUw5Xr
2nWSNRKSIwdMkEN8xc4gBa6qV3cJd48nS3DMxVoyTG9Kf9jElrelUEDXgrKYZDg9hyzoV84rK0tQ
8Qg77tfW9e/LGbZJVC6YyiIq1No29hfNf8T20vYh+/G+cDbAQkqxDndRijxhnzNhY8wKq8zf15xm
IRCbbL4sxsw88TCvxlnV5CDmuWmx0DIfDCcb02hyGDtswZB4sm9/DrtX9qxIrmiyiKtdtn4VLqMl
ty8PgP2cK9HEfIkRw73K17NVu0WBmZY7/mZM39rp/NXGHQyA4i5h77MDGFLld0OxLgwIveN8iG7l
RSdwyDwtGB6uG7OdqLIo5mLgbs3RGuL4C3c6wKE++0324IhUv0xM2ReQwEIHHIKxslk3qeqQhEb0
dbGFfPRqCjw4ecHrCORg155mX4nfweRiiHakdQOk1OP6xD2bxcxaTN2uBqfXoN8EYkeeKk1u3SWf
l5OrWOjcLcLXemfA/Ls2nD58873Fu89til+ZuWey5dWDwtENkXYd0ziprYwGb1PGidTGKUdd3gk1
f+ZtCRSl5cy0zaFw3rHliDKS9ipex0w5f4aWAHzqzs1HYaz09zadLs7mvHkjtxeAmcn8cXFzBcJE
gfJZ+iqP9GxnD0ZXBxdWF5j2UTts0ivpp3FZ5v2OBK3Mog4k/U6tMsQMgtQQBZ1XkKhKYB51K84C
HP3+g1saVfGeWqO88jWrJL9J19OM4LH5nKl1J2KHc6fkP33MZQM6Slj2eBxTOV0a6STBCPvTSIov
W4K9lWfBje6M/kuXrvx2JyAi6bA84RUveHBz6WZYtvvmkM2tGwPmN1dGjwB+cs9Z1DN5rbY+k/Xx
PzsjbU2Kn3HEX+g8P1vu4h3RucQ9DqcKV2VmPZW+0757FsurGyfv9B8fI//EbFDY5D7GtC/jNJ8M
/+DZawGsgrjP3rSmxjo1bjF/SluSsoMRp18abkXZ0W+s5rvzHLO/nxI7CPZ0FgbhhVuxjb8i4cSP
UcpQLTuXpsdvR5a6Y7yxU31OzNIFwM44hz3SavDh1LWjHztuhJAQAUA/Yt9pHK7UfrU+wNZ8gLZS
NBekofSyGWaWe1bz1Kw6a3ptQds4Zd4ymFE69+MRP8QajeVYtVEAsbyJ7C7hY8IgDpF87dNzhYB1
UedGdkrCybk1XTedoNJMzX6cZxUlTQvtziwl73JmkG8cnvOzVwfpHgXJjgMomUzRjXgxjDpZoMub
YjwLotb1x1LD6j1y0IZPS5a73wqAb7uTbl/fqnDoXtQMLzp3YKtfOMVSXg12E5QR2Hnr1Sbn9+Iz
q90MoyePYaklNThV71dHr/JdGC/YBHasMdqOWsjW/eIFWca8skQRGcJwXsdk+LD7LkkjCLMlnBob
P2lbdN2rlXmtsbOgFUDnxb86RUa21C+dVPIJEJpomd1Eikhkeo9TV86e4Enu7F/rRFIx7NZy+hrd
iiiR4XIaE7eZmck/rHnF8r6kj3lhW2fDdjj5x5nF+0XnEJo9maul16vCKgt2ciU855us0Q69EJMR
5DvDVU52stvBXw/8qQo48wJNi55VC3nIOtUeiJrgnlKrGJ8GcKVelNnSfsxywj6x7fIqT2EwPRBE
kw88++tp1Su1AIXgNR/Xq1L4HzM3gqSF9FUOzsE2mAqy0v3t+j6mm7buHeZGkXvnIcd+9solP6WP
w27ZSlYtjNTdSurrusVnfOdOWEAqaH+zUtme5MV8gXus2bP/h403QGMlpAaDbljBwadl0Ic7J/W8
m24Ox4fJSNajJOP+q+Vne66JvJPh8OuiOWVGaPgxxHyInKafokeiWBpvqO3KuMiNFjqycqrgmZAb
OlZNBASIea+bL7MUxHYTXrQ30t0uZ02w9c8MYTg/ZsuclIcGpZdfobe+YRWl84D/hR/ngHEtcOFV
QETQaYej6/TzOwl/HNmZVbi3WeqYTwy4nLA5hS0HeEbpReI08+8q6ZaDvwTlubeSNTvpsHGvuTSI
BEI7PYU54Ye4tLjOxAwZaxABq8UXsBbz/D7b5Ex3NsRWm99isq9KmDERjTBEiIPCKfI9H2bMaRN1
Pp98fP2roSghVaWWydsdzV6eEiCZBELTEpW2Q5tYEq+6tQH501LUmZl1MYQpFUbciE2QYpmRc6vi
euNHXHLXI954+90beYFF66i4vyKtuhKRF6GVi1LoL889WFEXzc8J80MGrvxbd7131izk3qq5RmZN
vf5UtBzzK8loGn8Wn7MGtsG+r+ElVJ6Q+Q6oPa0yy6zYw1W2P7y7RpfcykB7R9/q05c+E6WIQQan
xSHB0ni/9mMzXHSNjdg8hImf0HJS+3tRzZuzcpI5A6UtmWuQBuZb0cIcieSYhd9Z6IhHtqHPaRj2
5Q52LQGgGjdU1a7BAa6BeUQsEBfLQJUBUJr6DGe4vYNHaMZtz156z7uZ/NCSqeGh37Qlp1cBIOw6
G75yTPzjgTz62J+CsaZ/B4bfdzuu+nbusVjzvZloph4aEy/peTE/cLaaccnv4Y9buOsDPjNC5mXm
X7kq9e/zVrr0yiTTNUzqSxmEOMYA0pIJ7ip9Klz/a1AMPAWOSxbA9XQ5kTbO7M48Djniw6R953Vd
028et5mfMYK78rPvEoL3GT2misuM/WGVMyHPln/jVsTHKm/gP6Sb9g6cHy9QsKfvzBRk/jj8/Ee3
+MCC69Ehm3gM+rUTkxCsoYg23rmozfYxaUfzSAMRnJowjZtmcI5WVgffqjSsU2L27tlpi9NaC1QW
XxV5TJ9jfcir3nnsLWu5DFZhgnpx60vw5dOH6tskdpOiqgB3LyYqXNFggueQnL5WzBUAYwqri4bE
ExdjAZV4R6tNXkZ6MroPkuhi2a8+oL4FmeYERsvaF74THPO8nU5tsnDd121xB1t5ufE9F4HEm0pK
IEDMhKQKx/X3kg+YBAomyMhzK/FE1ti/WmyUDBD9LnfiUkRYS8zYZpL/XRpzf+zR1LeXya8uHBTb
4sZT14PPITrC6c2jFstKcqyaECuhtRy7UhTHmtaDneVs6Y/Cb8dnxt2OBcUytNH8c+eYWxl3g1f8
EU4anr2+WR+mJV/frFL6D3VDy9XOTHOow7a7wJ81geZnHsclm5uj18CbtGV7BBvq3yrKhviGZio2
bA+S39GmoOTgqCaJZDB6V7rkfqoCt/tFr9IlhRI0aJhe4D3gCh5PXdXP9+RBWByZaSUi7K2/Otzj
vxL88XGp+v5mcig2wBthH1oUIsTQiYSeS3xTsZOHP+vvIZxmFy3Lcsp91MmZgxvBmBe5XeBeLp5t
MUiFRAg9knK1PXrckTX2qUEae83L+OCHJuOdL6srDqocxW0Ur7XRbSaQHlpY7QCfty35tJS0Cx0z
U89PKCEDXIQGW0wHEfxWIIb6O5n71BmVxrTnxEX0cerysIyyu1jhjtqXs5W3455t2nlJ0uHNyIX5
5PndaHBXWYfnVUOutWXhvHZzTqiuKkx+q6t5alEWoD3LkTBMmcuLbgYDbE7pFGvP85hz1iL4nOvy
w8daFc0NYQp/XKvfegmSI+dD84Bda2IcSoyb0unE3k2m1zHnxaoAosQSgE1zxDWv6dyZCWmUwU3r
kazdjVwHRqQqrje7ZPKyS5qB63Ng9uK3OTp3RsLYPeDSYSBLljvfXfz9jFkjsgYgttvihPYffJwE
gs7+vLKbWprVf/HtynvzQFmgTPEmkSq7DDpQBgv3jT39HnV2Q4hl+Vyxiz4XxWz+mXplcB8IvTtE
nWPue+t40xr4dq5Tje+Mfys9VWv51XmWPezRpuYTo/fyJxV5dVegbZ06rbt9b1akzIFiYDFf6oMW
ABB3yzKkTFL40W3G4cCAC5tnKE+CS8u96SAC0yKD8fXvxuL/bxn5bywjkJW2NuL/2g/68JHDiEo/
6n83ivz9t/42iuDhDHzMnSD1vJ/Y39+agh/+5QoHT6fHKv9ns///fCLmX1u87z/FxDh/cbVgZ0D7
GqZRkzr2/4FPBLjMPyQFwohYELizAbFy+Nj/gx7FSmA2oJ4PB5OukvJo0OiXXNulh/wECNk/M1iz
uSb3P/jHMM9Z3Hc+2ZO4Mgr6HvuQ8GtlS3Fp68I5UBDiXPldWGRRtcAuJljft+SBJ6/uolxVtrrC
N3dQQe4gY3YBvG0WFfgTtWZRhLRqTBEGtuSa6wYCApF+/0zQoO3x+FVVe/TJ17/haZ8n9sQzQ5yA
fUy/YVOxKjPrRF7NQvufZKGoYQ7IBMw6FCTN4QJ3XHf2TDkFJzHYk5YYIDJv231pysG4gs1l9Qyp
xP+sirH+ZSsp+2ixVc5o5DFF4lEd5Lc2g/yVKAQLWxI4AEDaKSjEMdDV/DiYqISMA719ZQadeiP0
mMSQ+Oc3R7gz3njmg5tsGXozrmorZw9WE+WLChsOR1yOhkOFUC5hlGhsSclO95spX4I6va2QfjmN
LIKDbWM58sOsBa/urFmMYk+Hw7afdHn14CnyaPejuGc3TinsG5cwwgX6c4mDtdJqjQ1eCc6l0MtQ
H4e6aUhLopxELHrVq1JjXpLGHge+gaJ0YcjMfXXo8jr/dEZVXK04bu5oV3a/U8uan3mRIGaoJQFk
Os1dfdGyD9roWwjQSTm1L9VQw+xBo6V2xcPQCqmmYyFkrsp7SZUcX7qupfqmW0O4RN3qNg+WL/Nu
z/9gftHTWN6R7ErvCxrH+gMFLOEpxVxxdMxZ/srlTGqXJV0WCIZPhbVABGp9Vazk+wsfrp4REfgx
rIMy6Ao8Ga7OP7yBMOKOTjTpXFoBN7md15tEoBZLk4kxTa4w3RbTSIibtTuSHp3GlDuMyQ5LH5eS
cBHDiyIDtUaqnOY3gALiKs+wLeyykHKFvR6TquWBJXkeDYU/wXzv2dofp2pLfCRTvnW1dBT+xCYY
76OL1/AKt6p9r4ZJPBc5WI2wSPmqRj1UBPt0td4l+eiUD7MkUMkywMG/4Dt3Fm/9y1mbaX8suePi
JwIN9MYOsLgMAvosYqsBe8AsGsRWjSR+AIo+XmTJQkmGOQMb6lFc9mHd+G+hzC1BIghZLWoUIY24
1SqcAJza5cHv7P4snHnMD02fKkrkTAxG02o4S9RMo3xgUcs6ktLA8JfJVfaVLl7x6WvhIp9rtB/T
4B/Pp4UbaiNe6SBgJdc4k7tbRsv9CDx26rfSlY3P5W6CNkKHmLqFGAHHvUCLv+i1i8thBYicH5y+
Vb88jM+fUGvgf5cUeZXHnnMgP9jFqpxTsdgAfyUhHuobTI1bNwEHkV7iMcKo3mQBA3OKfx+cBNZW
plQA6uY+K/CU7rha4lnFimvFdmv3Gz7C2oxGJHmAnZjjgm6KYsLSjweWljAjY4/YGsnJDtPye+mI
oOQYi69qPuHrLmBa+OK+1NxsedLjbJrrC1Q7n9EscdyvnnsLhVCB716yD8n6G6ka/W6skJjz2h0i
LrDhlbBy+cwTxaxdhTyVdb82B14my1uhlvKmk8KcSFlBK8AxK+2jB0w0ZLrUX3nvzsdADvTEpAta
SDoXc6xySw2XYJS1fyVLf33ksPGqpyIUyYfIyTeyqKv5AkFHIFO2xa8MhVbtxCgC1ixlZbyCB1M3
hQ7NPwrnIEjRnIjvrhu7MsAhLEnQ2M336MBY4mzPbK6SFqfjC1z1HCALaQLjoPRA9MWlgKnfo+aa
1HlsvrHrPljGUwB+80kQBaMpaGIBWCk+KS7gqHo/UJJy6XjZuxyt6uSUGQBMu1Uf5azaRzVpIlfD
YuLJ8oxHl+OsithCBRow2cqNk9Wsvce5qz+8LTF5ymanvgsLqjtIASya1fronYOyW3+N+J9phWAB
u7dap6lPfTK62aPpVsQ09ZpkLx27J3OnUlEeQl7352K2Ky4U7tpyHE2m9a2SNrhtIHe+G4au7uwF
r6RD6vullLPI7qp0rDhQbOn5Owei/HtOYg1NwJ+dSE0tyoDyERuyvhFg/juaUzSp0uBJGkr/gTRm
V7FXVR3rbTfAH03uNYXjQROLa1TNSK1cQvhRNiC+WJwikXl6EXRJrckdCOvVxLHN2jwWQPwLVnOW
/zrgReXFTXW2udITaVdhGblhQrVSGBClo/PoJJVOn5pq0+MsofdtQrw1KUb1Bkh4gtdISSQpBAjl
JSYr5RikKIL6ytO9czt2/oMqgxkrYPfaSM0HU27SWU4XSwNh4DJjgVCDmnO/5zQ3zzINBTcz1pWj
bgmYL9l7gT1ml3TBb+LJn6N0Da7UJBg2K6qKIFlxn/Pk7L6OFLqIfYM/EFelN4TDzm7cyTm7vldA
PXfZN50nN2Fr6xmUnUUO7WSa+8RCmkwGpVoPcy96Sk5S8d00XcMq3Rqtl7QVxrprzTHzTlNRivlm
5fH5po+DTqSJvBn1w2U1xiYLciTTfIFob+anAijQ3tb4bFUK51LNo4gxnAQDHqwsPzdjSXAzz4OH
wgMX5OmEtSxXqq9KZPYfkSXjWymcIZ7XZfg0OqeJitV3s3iiLoiqEC/xb2gigf4WTjW3ejR+9O0e
9ZnipsYwnt00K4k7TzqjnadQUJjsLtPrTSdAGe0rHhhS9S3gSmgso2OhigN2aDfEQ8cCljrI2QHD
RKYOIsTGMjqHqzP8FhtFovoBSrgbW6KqEP4iTgTN8mg2xe36k0Vb6z68ntY2vDJ/8mqjBcC2agdC
bH1vcDvT6fjZ2iNoQVTj5d38ib4tPzE4ZQjWe0pi0DzWP3G50SSidJY+UbrqJ1VX8FO+xhthU3Zd
OJvgM/sXRdUnUWs3SFUNi9oXhiiSezB87K+hW/pfioqPi5J9WxrXtuCOzEtpvpH9FgUsw940ouAn
JkiVX36rfsKDYBqpdPKNdI2tYuz9K71lEL2fOKLisDtME1nIzTrQlbxWtwCjvWUZvZKPaTSDZWS/
x7ZuCtfmxWHxEkSYQpuzMIKAEuJO5SfualR/sOhCHJM2kUr1E6/MmmDJbtmYymvKdnoY+6x1Pjw/
7O7ttvIfkqHHHpfYm/FT6hW1oFI2zwlaI9+zUyrzoIc87rcwqP7JhRoMpvdQMaZLlWx7bIx8BEk5
xr2XYmIq5shIl5Z1AZDVvfgJo0ovb37bfYUEVvwEVyWWF7zbP4HWZMu2Migk+B/nRV4BDRjMXfOT
hOXGISsiDBlUvaXLoTFwQJOjTbZILTAJ0rW4TMZb1SzJZa00/g+r7H8TWrYepkKnQ2xtOd10S+yy
zQtf7C3Fa+sw/K0cbT5ThDpdii3tu5AJ6aJkCwJPTa7eOH8ZF9xutN2oEkN+rH7ywxMK5tms5fLa
ZAsih9rixj5enBHJ2mVPKUvqaY8QhIhu4yEgvSzJqJRMymbhnk2jZIoZMmLCJxaxBKF/MtGNTp0z
7he/PHRmgRPLT3m77dw07ZZj4oAwuFi3zLWn3KU7K3dLZmc5aKJYhfitda2rr6EXotsUx9reD9yl
Xtx8SSmcTifgSkcTEP0WaulT94IakR6TsJG3+cFjQaKpksFlanw0/RCcFsryNrl4Lb38nNYIpTDO
NNedGOdaI36xhLHEg9cwlxxDnjTsHoSIPHwdifrwyLkNC66Kw0S/M3JMSVG57TaUqOEyPjt8nngw
V0NUVyx4af5E2tfOzdoCkdg5mIXJ7XpPWDO69aJIFlwVITPBXanwZrLRW0OQZih3RnJMK/z+e5Q0
tYcrY/oOhEOtN0pn7fXYauu067rrdG0Yj1qigeSirLZyb8acBNSFh60zvRVToPxbH8PodIJwN2KA
8+p7wjidcSU8ZhI2XySyjmG3eM5hmNc0O3tIpvmvjDqd6kSVyLIc2gLA7zsFuOZHiDjk79qFOrZ3
dsl1sgtmaQUMSaOTSH7vk83iXg8DY2aPTh9ReIIRln28bb47vh7GqB97ck1d0tpxgqYYXvH67qZT
ISx14cKj6/e2NyCImnZxHCV6F2OgPz9SkVVtfFY/Nw9p35IaqlGo8usG3lUQrZXVjPuxgDCJTKtp
sJaTf4S2QeGd02OwOLQ5rXhRWCdBclF3UJDtHc4hc9nxZqjweBt+ObzNBeN2281LdV1iUwwiQlAe
2i56smgvyJ4v4SlBIIAs41VB+sJLyh+2qF3NmGNO2IUnR5BKz7JBV88p9RH5J8EW3dxLNS5x7beb
fN0lGVe7wdd3eReGb1Q8eluQfWypxOXbQZTss2U9WVIE+jI13LWk/dUL3N1qBFiMkSCxc4jeuMyq
4i3MjYSJ3Gol7DuCi5WbtO+GM4eIA+ZKB7J8yFEkVNxnBbb2Mpzw8q+Ozo/F7LdpnCW0I9ljhbZf
p0byh2WeYZ+tgNq3mBUD7o6xTJevRWKSOA8TKDdme42g0mn1SLMVCqUvAZLZ3lKdtdMZLvG58kHJ
gbOJQqPiUs58YplaEqp6EsFWPCLfrj+HQIBLs0yBOQXHN/rkwlW4PGUD7IpoAAD/ghNd8vsQK7Bn
3PHW7eJTJHlN6FXLmL+Npd2tNX3lHXA2zHMUKVvR2JvzcZYICR1HPwtA1vzPCE/cmAooTh8VXIuz
wR6TGueA+pW2HDYj6Gr5u1J6KPRr5Tm3Ximdhy5r3A0wX51zezHXT8fix+FPfn/Jczk+8ZMPT+DB
8WiPTWA1lC0P5xbe9occTPmyLNlIv7kc86OVW/YFlskAswuElYggQPkmCx20UYH1woyCxqLCctJe
iwbZ5QbwTKUIMKyOqMKDwTeGmFyEl9SlLBhgii2MXAuyFnHLZT8e+oQO3hHOAgZN7EY6npRIOLG7
0N//r/dDw5/2QY/914vLp48qK//Pzce3+vfN5d9/7V92aIctI2EPzGmhcB3xLzu0/xcMMzv0fXaQ
fy81/2+Y3fnLBXLGtsSBgWZTBP8vO7T4izyazd/Cw0wwLaQE4X+wuiRJ/28Bty3K7tgE7SkR4qvZ
5j/51iRkhALSR4+nbEH44QQujO69ch0Z9UyQxlhcuJz+JzVgivm3n9R/gtzHuv2PL765w30vZDlM
uIHv6B9tESyWzHziY7a3SmM9JaO/lbqTTe7nYd6NivDsWub2FUdmil3WzK5GPgxfHLVyH7Zzipt0
dClRpGtrvtGewA68zt4lN/yZ1QzAwa7ns5/1Q3jtZIOI0Wd0c0pw7y6oiHg3+za4Z+z2CmpwBRYk
339y2GxEcDn4B4O1ITzBK//WbSyUUPI214yuBV3xxYjlGprqZuoZ8U4Pzk2AYe3JMmmF2bX07N73
C+9rWwzGU7C6hJxFE95uTe+7DXh3LYttZWYYyzN4N3ffBTChrJyy97T01ZEjxbsM2REcN9H1vIJR
c+BEGgajcZAaxckNOvsq8DqfviwjU9PZQLV0LjvmOKQhmpWOxNvYT2E7wFKeLuJdJG7usCZt7QdW
NxR5ks9CJR4NfmqDs5wWyN9Xo+wNbmddWt3jQNPYDhbzjU3KwK3IM+olMhlF8A7Y0/RrkjKlzlBM
1WPtDK90m3nwZykZDu3xUtTuZYjceZJ5P5x0L1BwOuPdV2ZIJNmdidCQZofONijQSEWOHOSTdxlJ
cszzjWI5xC+rKC41hLljCdDgaOMbUlHeieaqRjg4p+XMBkOn05OkIRooLMTurOf2OQxsqFfFr3uw
CvOjrOlD8EFDJZg5q/lYGOFthUX1iu26PBRYTUhIMbTaARXNHtI36bZBnKxxyPchnxwvnkdlXS3Z
lLYsYKuArqopaQ+tUfLrh1mFq7N1z0iBJJUMG6Mqlq8YbODw6ktLvMK5M6+pquSZlt6lsDpnN2zP
+UgOK2Iqd6+dpQ+fNL5BQGFqjBEYB6wt88CCImzZw3WouvwGh6fAJpm481BkH4UcQgslkLQFfOnQ
GFKKPzsLcCBz1nsuqIk+tJSLm/yIzZoO9gG5fp9ak0cwat2qZpzJBhlQZdl6I+rA+azdZHwgIc8U
EuRjuaGnoCEAPfu9cqN6DKYhfN6W2sAiUmW855k9X2WK7lWnIGMRz83cBTcuBCEWZbNueq7hXjId
LMPojn7o5SQF8AZKXlCdbM5jIafPdpkzBXHetq/y3uqtdwFNCmszxcbUiAj8aquffw5zX95NBM9j
PFPl05DZ3qluujNtNh73iOnPuk3bKMoE+mvH+cPSpv3O5iE/LdLLrglBpGeMHgXmqZYdu+wcfeOH
OOdNL+OVqmZrfPYnO/zKEyc5G43Pft9jBKiHacLuMVTeqTC7vIszaxiuV4wk+8Wp+1cnKbt9qSbr
xmxW7yNZdX1QU5P9sX3L2k9Y8R+gMonHZgqtDyrw/DtLreqYpAk/wlkMz9zjmmOpB/MKzGD1K829
7qXJHecZqKt7Tgf23i2v8IRSgc3qqFQxHVuKwWgHrMsZKH6SWf0XOzz45KnTywETRincZ7vJmgmD
yZj86tfkmHAV+pMkjh+c3MUEomHhKl1PWJJWPGNZvuwJLBzEkiJ6hky0Is5VP5uRNIEusApcfDz3
RtjHc66zD560eSGSly4cSEFIPZ2RcRrjqYH9kFI+mx+CdoLnBt4CpETQBeHV2C7VxerAPjt0bsE1
RQChPiedsN49yp3ZqK0aLDzgsMHBNBnnhp4MiuanDLJhovnY6MxIPpiZ2ZAmQGgv5eJNLyqvx+D8
H+ydyW7kWJqlX6XQewbIy3nRG5snmUxyuVzyDSG55BwveTldDk9fHxVRjehAI7tr06hFJRKJXLi7
TGY08r/nP+c7EaeKiCkvnx+sOuPIaeFC30ZkSd5KqvGuXZO04oTLINxqAyD7YJRiM8W8MZTAG9/K
3lafWE/1kdqlZDv4Anaw2dNYspr0BI7Xm2T5wsU/L9Bg2BFrBI/Q3udRx+6od2vk0nrQMMck++x2
3Xc1NbLOoKzXUWlqlLskt4jFmvRGen3dvRrl0DpbHxPhD7AX5ktNIHNt1rP4lfYd7E1nhqHZzc0O
D2R7P6Cwf7RQZK4mbrZsb4PqIGfkzfi4izmq9lPMuW3NH0vPKMhIabHy7acIcgOyhMOXflVRy8jB
tuEFyHzO2TMmM2rjYGV4vOI8kwaFh7lS3DMd7heU06TFvspxU6Ixuj0hHig24y5A3zAgL1WBAdiK
505gu9Uzj54Iky8CXL+uRq2+g9Kfz3mThbSFRuV6yIJu5+TFeKlVxAMPbZzKltrvTpj6aUEvEtvo
1rKS5Y2RvMcdw9dBwaFZk+hxb9DbkmQbSt++z7T2rozqzTomLnUBU494gfhylmE97JMcxWfFXjYr
1wGkIVzlyk4eDUqF6NUxF0aNowdz+aJjvJi7RmxjMww+MsoxSV9PIAAJp4ft7wZDKfIbRK+12RFl
Z1pnEgpRvV6ko50NnRPdAxCzvQ3a+JYMVviIMzt+tjqXePsCSIEXwHpMJQINpJTuOgHTc2mTOKER
suVrKzzD+V5gm/6lifHwnUnhpwoTxCa9YniMAbjYJqxmt7kL5uSCNWKLZMEDua9xDJqVYoIQyZMe
s+GqZ8VfTpw6v4rKsFgrFvbVwYYFLpmc2uPYYS1EEDTPSYSHSUq50hUnMM7BKyg21pqZbJeacblh
gP2F+9HdcIS5x7VuEsXFNehkip/HX/R2OpJUwFdDtZ9zT0BXUcnOoet5WWCUwY0IC6Y5ryVWsMmF
AzSx8lR1xuEKGid0Bk5yXFTMQQxCvyUWtSu+JNhmJKBnUu2ZhwppU2CMyMULOopEkjAVuYM1su2b
T9YOQben4rj71QdJg6uVpgvoQ41SB5/d8yUn54EXKCjwNmbSx39dIGi0q9CS0XAsU4/qEtzzTGv5
FxUHMYkcSzf3a9zfYHP82OV5qBaaTrdwdYbaLChLWGA7y6hCkvgLwmMGAcDBbGHzzAulx8G992zN
jJRrGAj5KQ5sMNQdAVli6wvnp45lS5T4C/8jpzC81a2ar7nZQA9eOEFfJ0UTuCpUFChCY5sDFBq/
4EJ54I3qGI2pk/OiPV4JqW3obMsehgokN28+wy9QEd5boEX2wi9y/0QZtSPSHZUmII7MsWouvQG4
YDvFVXVJFhpS9wVGYmcJJInPhd0XoBWMBtYXSIm0s9temi/AUvkFW6KPGPASOUE9b53YmLBVAg4q
N9kXqElNM29Q9gVwyhmI3Z27cJ30F+KJVArbwUwLoU+hV1POai1cqKAqAEBqiIgLH3VkAvZo8LAm
BxJSlNGxEC6gKTUP4gc1qB46Y5jpk+U09lkucKr5i1OlF2QVDgFdnmHVQLKiZ7YeEOXwfWwC1smM
rHgDz8RajDcAMulIbGdGUPVNxqjtIMoFtMfJQe8602M5zWcCVSsB3PSjKHT2TFUctrH5i8DlQss/
FlXTozLVxqdpZRFC3ULsMnmqHKeRQ/q6WpBerGYhCyGXdD/4tCG0WzN2wnkBgZHB5wjSFuI8O3gj
QjfqLrLKYIfRNs7RnV99O/EieparznhV2i0g5SUxhfAZ41G/wR3uPnWmYBv7fzmPWf/EmnHKDE0L
EAQ1bRSyOZx8/wE9IbCU0qEbWWbBbiV+L9PyGwLSix3Kb8ItebD6CZpCm/5siYI+/Ovz4D+qlpzl
x3smMXamO+Lr5j+oannUCqjLBm65qK1XxkyRGG9+cf7XP+XrRPt34vfyY5aaORvXD/8N/3HonNoZ
T+js4DOIWSb1Gv/f2l+AywcnmQFo5FpJsRIhLmTo2obYiIGE7Mpif/hijZN7nIyyv3hKdo956lM4
wVtGb5kprsagpheMKAqQAwrouue52N0QaKvov9lD/49gQXrt8Wz+SzPZ0yelY/E/mfTe//qbf8ky
1h9fcfKQxSU9Y+YiTvyVUvf/EDaiKYINxYc0kvE9+A9ZJvyDiQGTFzZeARgjICzf/llHSEqdkSeE
RwSy0DZd7z8ny4TLl+3vl6kHLcHyROBb9JzZjliEm78xBtM8SFs7o+W4NbtHD+X9ILtRrKmbgaxl
yOEzCyaYHF4YHqjIm9b+WLQ7nXj2gSeFvQsh3ZhbzXVJ2RTnvocWpXpnzVF57BqWdUnB3s6PYu/O
xsd6RK+sdh1a8kcjomo3F2Pm80+q7p1+GbO9y0jImKtmTL0XzpzJc6fK9q6uGg56vejIAja9GZz9
cQ6O6TB0rH9jNyRLnJkEeWiZ4vjiGKTMy+FXRA6IW1xwZqTULxhD9Ro3uphXvB3pzDPOdw6NF8CT
4BZAyrVxmiOH4ux7KX2HFunaG2Y2hGPYEGQJjHJdsie7z0fHqdaZYymacgxqkPooSEssI777vWxM
/RqSb8Jw7KfdUYVZ9MQmesSoRQXTBMjdS65T3kAroUfNA2We2Ol9xxPguSndNN/SqWGeWU2WKz1M
Vwur04Hj4PCrArCDpE6H9qot2va+y0cj2QwlGbqpsNznyBzsS2fbxlOS++aLUZWoaKww9XGq9fCg
yRtsGzuOP4Kp4A2PvXF54YXNYoXX3idIElWA57wX1cUkz8zhfCzKd8IVBGcSkxGJaUnwIqk2WJk2
B8rczKx73AcM37k/TZuoyuKCE5fdrfFKpHvB/MU+0WqODv1wG90OJ9Ir5lb08MlX8ZA89iO120MW
a6rratjz0nAzmHp077xRdJydBgh2d1xQfRatvIBDgSe1s40L398kTbihvbra5CZUq3BuvINvyPRZ
YZresIesz5bB/GkYvmSxONb3NDjF+0qCHzI60mBJmJvbgszAweuleeYTjY7CaGsaGXLzZz3P8ylx
4uiGyTq7mzIu1KYa/Pcuh7tt2mN7zCuBK7gMnup6WA9hU2Hq6JMbhuKBWbdR33GjRLu4D5y31Oqn
c0qWgCUlIT8PpKTtN+0P01SvMkmnleUzHPExPbehxhtY9sCCtqQn0m9yHA7NmN2UQK9P3JOndrE/
M3aUBSDQEVMVEar+4NInoNbMdrm/Um2cPvE98O/I93iPYe565YETRnYqWK28tJBNn9jHV/mmsi07
2POHUvg4oy3hSDXF9I0Nbn0ArudeSZP6KJ0dhjr0qRQ6sE3CTFae81xmgXOFUm4frGaxE02yItPi
D+lvUxdq1wzQnBEfIujhhWT66PsgfPJLutkzQrd8/B6J+BXXyXSj4ip54GDhbdj3mJhy5iC+Kbpz
OD2jXT2OQQCpepgQYVGw9auiXuGaps5wmswSvHpscyAjOTXzLxU1YZDeeqRd1T8Ec00sIlKufgpC
gA+99IeDN4zTe1ik8mnqRNUcKCNw3rm+09+Jp23QzK5Vs9abRPJmRYWDcoZDFRNM4vv3Gfma7WRK
0r4k6O16l1dZvR/iGvvaYjrdqz4v7zFf2E8aj+0palzxLZdgJhoDY96KN8W7JSm2+I3wamtrNrhj
9r3Zx/fzkFkUMsYe9OG0u3SJkr8yLmE+1cgWzyh13aXIW5uBaa4Pgc0pnJK14FqWEltA0RCHJhUf
mWcvAt7AQTU+u5bOLhZYd85NrmtNaLSW9WS43tBuicAbdLda/tXPO/kQwN55dMQoKGqmoio5MQ37
3+NCmnic1NT8GuZqplIA+5dPjr1eA4ddEyE+Zexs+c5n+AiwAmpMb0aV7yl/rtttDifoZJtFchjC
8mpmDUkEy3CNjbLHbJWEnXUYA0s+eFk3rF2+uNvWlOkeGz2ou2Euv4EKZ8fZpigtaXgPvSO+g0ER
/MrtML0b4ijfWaKakd47fY49KcgwueZ7Ptf5ndbuSG1T1LHBdv2Fzc5nKGIPfnOdowiTGuZeVJ7L
iVQKAns/bH0p30kWVNvCMpqD7ZTeDyOpd17Q/wCBShViXiZHK/e2SS2SjZHl+sOp0s8M9tDWa42J
PKBFeLxCOScFcUoNp967vetQ5pfeiy9sWOQZD5ZRsv2f4/IYG9HJjBtsZZU3mlA1jellUossCt29
eYAxaxNxiw21bRyx4VzxNEt/3EmXg02VqJfCnMSxADq18Zr0fZGyihPHYUJzCsf0hgwyuh4y3Ljr
Ikc/WtrJ7kZtKAQW1V0bIc5+4P7sR3VAPaB7hVDjCtmgxwk+WpyaxMVyuhnXF+hW8sgNQY3VQBqQ
zoU+OwubyoUVZ44JMDyNfXvA9vzfnu7gPTHwU5MDwV6D+66nzZwwgm+soGNtiGKokOmLNzkVGDPY
QbzahWpDDC4T/X9Tp/dlYtXAUG2jfqy7otnP9RAU1NkFzAl67M8yiaEICvSUTTvNNlQBw/6UpEnS
LY94N986qksYZowYRu8ARXFtqJbnQCpa6i4m0dL+yLbH+1VWbX/ve90ATDShObAktOcPPMRCwj9r
lu93VQUUeWIrwK2K2k67NWuAESEh4jUlVONzFCUfIZf76+x6G8aeOzcJ+l3e1tkbN8T6MfU4P1fs
6e2vTRO/1MIRzWLxgMQJgTCugdH4xXjKyNEPuDbJUZkDGRc7bAY6t3L3vRV59JNdbg0bDaZWENIg
IaXh74DyNd8rX5cHrFbbAs3nxAa7v6ksip9zF/e9xMcPt84vXvDzqB1odDYPQVHK9FCwgDkMZQif
R7OZIArMDnvlOk554xkw7KE86ivujPkkGMieU1yZp7E1qEFhPUInT20elXQ7Hki+e0GQrsQaj1Zw
TBreKxdZ8ZeApXYIYuh6NmbGXSvpCdxIy93nibufu/z75NGzybp447vkNRU1tKJdKBewboIRd8Qq
kJTfDc2n7QzMcxWXIm4BfCgcg7kRb4hyyw0ulQ1ulwfDBsDHqdY55mqiL1pG1ZvL/WwNEIh2oVay
hAdNu1NdCk9xFgvKPggevNmwLnFE2A23W3RXolWuyAqSBStKwkOwPVjuiWus+7MQ02/LIs3DHoFW
RwREzyUm2G5hZE/5imC0vgJocXZlPNTnbo6TvTFzYG8HniphY+mnjhKg75OD4WBMRyDK1ng1F9iw
H7YgCBMvY5MBu68FirmlfsJDT1PhzuZWlqxte3zlL+kLmd75HawPnv3MzHY0lZQXKM72D95vIt6O
15f5WqnU3xE+dbZubEJ6TJ2ENlPff1A43lcRC07aqqP8npY8mmujOXowMaRfJGYyugOMXIA3yN0b
31DUSuS35sI5BOpeLNzPGTs/AYSopKlcWFe3F96pbwr3k2BueOdRirpig5V+I85fn13Tc1Aa6jJ9
NSzZ3XHbLI41Ouamrf1f2FTDA9UpwJ3hOFw7xwpeMQODTchKKIAwSwiRTXam7hR9ukz+qZ3CN49b
mm5cNXH3wGhKT0S5A77UH8LG946G60+PAFYo9cvBieMhjyhNDsuTPUIdHuy2vB9l8lJhu7jR6J1j
QQvqg+2rdDPl9p7Ib456ldV0B3rWlmUPonNiVdeGsptipaJ4q5iboIhwc+5DDw6jzN0fJkcZ3uZA
3tc9Nzzmx+olYW30MyyL/ARbhgu4aR0s4hhsVnPc9wqfUpw8xIIFkOw9/FVqHn9FU7F01vHci0ic
bkiPaQLyPMdH34/PlV9/92iJ+hFAiV1D/1k2xfq1aagOiikrCDt1tCSN0EjeN56o9MIAga02pttT
F4FFxTThCHHMotFZDb/SdOixkyt5gs8+cVlrfbRdyzr5I6Yv0ZISpZwqOgxJsA5Nwi2qLjJs1x+D
NsOPOFD2Mav4pxhh6YkaiubXRHbjXGjgWSsnLfKdGPCkRXIwt+ykK4rOBt4+gPT3hhuwf0vy5oaT
rlxTSquomalryGEW/amCAp1UZKSErZZxog6NQ4fh/E6GJiGAOJ2+RRF4ddDWxVsOzpJfhdW+pKb0
F4cxcdR4PjeYhxyIVsD9gKIMj7mesWDWpW29ln5l/IS61u/q1FQHNk9fiRCqG6jekBx6aA66NaSG
YIy3oDOJK+GZDfNdoCZ09xDw1sxJTqdr1fJ5uVizXwgkDVxZGL7oPcEXE/VsezEG1jxSKlewkvGq
NXGK3yEDv+7Cy1iG/Pu0S466pCAaAyrjqXnKPRoNpS8/62E8wMF5ClCh156l0xvJFDYotE0e2sCP
d5PT1Jidqu7I+r57rc1Kv80a61pIN+yzgTYFer6KfhnMTDRA9yUCdOOGez4eh02H9u/suVAXD+jD
qx9EPbOR6x4rk5EWS7jBUxBEOn4JyD2HcF5oTaVlsF4pS27xdSrDvQB+sEqGCs/0RBvSLmqy4JcJ
JwvQaevSZFVE/s/QMzyfMpkgf1aMSFuQ2eG1G2byxqOG0JhE6YGG9fHNKxPJsyMv2S70E1Elp5wf
Yjz5p9ydxwejbdkAuPhN1yTjxBYY3XycUSoeQ9IWb5Ar073XDOpF8XzjFt+CxZscufXygf0GLjuM
v53ytn0HNA/qefXQuR18JIIc0DHnWD8ZpTf4q1Y77Z3nknAh0mBXKzIqwSu2i3rvt+J3mpegT5IE
nyHWKvsWxJa5HnCIk/nHqtGYdPJslEGEevRncWoiIXbGNMkXesaZXIHY3kq+7qukK6rrQg+7gjzH
hj+387SpknKQK0eK9pb7nbpnuIZFga97OjQZCLxVzUP0Ma4wm6zSxC2OypPBnrBc8y1TzLBQpnJ5
kFTPb0JOMRcRU/dVU0vy3TMN1iSLoZkegcW0ik0iaiIMjOGss+NQepQNtsN8AvSnTjWB3hdcyvop
ZAp96OE/7dSc2c9SjOkp1Fb2Hvs9z6JomK/u7FKlmSszvgDls+7KFv5LQmERsILCPZpKY7+A5ATj
qso89007YDyITdnmG+0qOYFYfx5/ODkmGFA4YYvw0DkmpaNh1Z+NmY4+u2L5vsJxMu8m1pl3PMfV
K1UN6lmD7lmoUBwMgq5dTQCw7gnvBd89P/dPQeOy6eo1qyZDyCsbVEasrGvzGuNBql8sv/M2rpkl
9/DMxL5prZn92JB7r7MVwVAhILjqFHhfI3eZOlMg2Cujd+qtX0cZpkYv5qMN3tSAApJkxn5GtNqZ
E2dwfg82XmwqtLDXXhRwd0VuzoEVLtoDZDN5sDpsFY1BiNEuzPpU5S1YvRL/8bsBO4cYQca4FOYe
CSRSw7JDs1IRDROIvfzWjLcGftQUuMRd6ri8WAHBbqmLTP+U6v+/BYn/C6JHbYfw7t+k/M1b9/Zv
f4rC1zf5+T//B/aSt+bfbs3bx2eb/G9uuz//5l+y7sKGtwRrBMjE6Px/q47x/4AXDxoZzJEdiGBB
zf8l61I3SqgTsZXDm8DpYyO2/iXrCvuPwGEZ8Rdp3iT5+59w2y27hb+LulYoXICjgOkJY0BU5iX8
XdTtQBR5Te/qvcq68NuAIe2+5PtH41KYNu9GOOfnwYS8vf7bG/V/cNqxpvunnGyRnMZ4ErgYj9H4
Fj/h339y33o59n+t957TR7u0sV31JgX8JNjGliNXvbLyZJ1iwH4psCvNW6CHqK+BX1BfRebf9PZm
oSyxbhu7eI0wKqMkWVjeHWuKu6VEmDNSC75nnUs2+YdBLJFY8nzABKyh4xugqmB6t4d6ZXdTU/KY
sv1XSSLsbapE+EzfpEzgLGn9MBFuU5u8Q01JkalTxqIIVAbFl/1L6fjpzqUAYxNIeXbSKkXp2U0D
OKR2Lt8xma2TzgYqDx5r00YVbK/GurTNkD1w/PZ/YCmq9zYc1ksjlcUdggMD+MbYi77TppZmWwoI
QTUEYqT3Y/pkSMj3RO52ETalYyforcYVdAuS3t/pkcJChhYQUFb5nKbo2IPieWwNrD4Jp5BmFY+T
BEnDLXdZnlbwNULbuS8V5a0j0Slhg1+Lh56/2NTujkLyAh0UgweVQBlHU/GGywzLUuhgVmLkoXKa
Wr5mX0IYIhGuufsSlkFO24OUadetOxf8oYohNGqH+6HpqePqVXcEn9ZQ6tf2u67qJR5yp19zmGdB
Fbe4oofU3+YBk3M7Is0AwOqPwmytnZPa7tHBwbkyYMpvrabvT+wCwMYN8Nlm3Irr3i3FIUdj3UUq
lthscuLtQNY3DTaS/Tw00DaIQGD/t2I6dCl1+1CWjg+9w9zrG55x5Y5aHi2GlUcKuNp8UzqFs4nB
NmerYIwSToQQRDMSP4mMN4gNTrhhL47FZ7Cd9o3sJ/RNRR22sU7hHr3GvRPckfqx3rEDyA/mU2R1
pBXXXolk6HlM5xcTQEWxGRozvWYirI8dVgCIRMZJ2kqdkllWPyQmEt7rrEFZNaHpzBA8hpRaxjDh
BGjCIfe46XvVTRYa07wZUfe3ghJKPgwd8upAD1y2+HZxKVpp7UdLFRLrYRJ8ky48dnBWjrmpvXIW
cPUtTBozLLE7s7GJ1bX1pB8ESI2dEydTDAlbMYog//qvbRdwqI2I6V5r34amWBNTfpyGwDwu64yS
wRagycwX6phTggfDyQxifOiF81Q1DYdMWGN0VrrBEsi3J2cg/QIO896WlX4OCbJCjgx9MoveKOxz
bDjNsA1cpNTTNFAiWtUKM58trefcTup+30nL+c14FoU7xxZTs7JpIjbJEEyu8Rig4OyIWmEHoq+F
o7hLYQHbG0LxK7uABdwLEucM7Ma5USZ2Rf5j0zic+o89igh15ROFusVsMAdMH16cv7cyuaCe7pVp
OLt+IrcmtSgOOgnte8/J0k3t9BcYyuBwUTEuYZfmq9laPLMckzZyNrpDpupr6c3trc7MD5xZ3ooN
lqSztogPJsURd6Xvc0CK+Y38SSLrSz+9JZHR7UH8BvDQRrHtaJJ6n71G7yYCA1cKs+KUXtRouERt
Pv6WMiKZQNolPYegTxMu4IAg+1ziPSbK4VrvPmLyqRB9cQ6Rr0dcqax5WquzNxYEae+zriarYMCo
JgfqpCH5XhovnYy3JTnVNWk+93ueTP6uLXX/ELLmZrJL2eWg2ugT/TqfUNO4fxAYcXAqgE8I8SXd
aUCiLr0YyB6jEW8HGXNq7xJ5M0yLtiHX7u21WQ3Ro184OVK5MTd0F005B5kYs1JnyP7aDtjAtwmp
TpDP3XQfNFDjpq4C/YZ71+fKotSLu0X8HmAn3hilGxwoieYXc2m5LlAgVtkoxPegIIdMoIG1xYjJ
EjskkdUhv+qI1DYa8qEvhFxX0j2RMPHvlPCSU++5v3k6pVfiWmpfNPCkOb7NbnvM7Hxcq4j09rah
cpt1Xhtb5caY6uYjNQhyLnhN80LFdMvKBBJAu00aIxsR4DXJwEQ/plOcg7fEEVL4NpybxOr3nCNG
UkF8YfYurhV9UIqlxFZrHVzx+Mlnn88JtKXVHDhRlR89u9ZbO9bR+1QUlvOtrSW32W6mxXpTdRh6
2eN4DagqpgMmVsTkLe7jGUf5bAP1MN8VvkwasumcKYSlqWoJN2NTvhhksyVwxVaM2Hhz299gN7Qt
5PyerSM9WAHLmTrtngZsV4tKnTlXv/XBR0xeI1aFHmrQoOVDZLO9pL2m2bRKGreic6LraBATybFG
p4GzM4nEwDlYkvt1TKA1PkqyPtshcJpzRjTTcBu9snFN8yskd6E2P2p//DVxf2c96zMqmGI6pjOM
NINgzYHOHG+VxmSFhCguDOwjDsPG3QeaYTmK6QSblz7fKhmdc+bGz7GNj7TuBi6AaOD2THRwNWDv
p9HEmJNHmpxwqmbpjo6XbcoZZddNvbgkY1puCoPKSdPw048xFhzfe93dFW1An4UB5Lcax5wDFqku
+mOavfJRW/iEhi2zoL1urdJkZzl/jwoWniDV1VZ6vLFFXUZ3VaCrfdSq74ObGE9hVTaHLnT7ZdQg
8+fBu6y8wNpzBwrOsasAqeSNt6X5L9+4ZP4OeNodQtrhjU0EX18pnHuA6GCcgGWvRaNHZ2/kHg28
ox/DO2MTbdsNBrqW08OZcaF9XRC55MLQAHZktNubl6pwm+FOJ6JdRsMrUJri0ac24WxSv/m7HV3E
Nh45R0uHww/gSh77+bFC13TNCkQJgatN7JvRb5MqvYPnTgGrv0KoDY/ZaG/owEUZT63kFhshT848
1uYJZYLYlMjst5C14kWbYrxH1cqH1cJITHm/ERvjUGLeo59VnmLRp9/i0HLPZqCtJ7Kr0WdBI5xG
zg7knrVWmnNjsqJj1pnuKeatNpF4snAb20bKcmpsKSSJJ81qGIFiL0mtPNtOEK5Iw+kOZ+IYrin8
iT9Y7JmasFboV3wIJdynIDCe4AhlhzRpp3M2ZvO+NCf94ridPCMCljCqGB+uU1m2O9H2SJCdaeYA
HxJ7fsqzafrsM0/yNWVF99gAenkMk0pxHk7B1TLa9vjYhU+Hd94+B1NlXqOkLE8Jjqn9RE4dzYD1
OHmyxotfUqcGHCvN4uyOxvikB+kcNAjXB4PuNqZJL7rZbRXckYu1zl0Z+C9GMeSQ8uul7To6trS8
r7wuvjZB5pElAQe+rQ1XgyjMAb2iNrD6445nAYOe04tj2jMGh6ZB7MJDQ6FUOq79mpPFisZYs8AH
4nEx0VMjr1HoJ/uwoBZZ6HJRLSdMJsDNj7i3c+j9pfWdTKbOV1XT4SeOBnh5swFj9sYjgucbuHT6
X3L2khtJi826wP3Awr8Md55dkonwnEU1BPvvF+Fblipra1AHyX2mnPZCZ94Oak3ywdAC/ctD/l/H
cwHMrx8p05bu0BxVrdtXvrTzoxG2TJvuWO7zhh8SGKag+SrIt66sYqAednyrxkZchxZI21tli7F+
IFlQF98Mb4j9TYdIEnESoUpszQ4vo/SybMaINmxNStDvicDgY9DG3lVV9iidIX4alZX+nlHcoZl7
BPiBscb7HhnpARi79dpXofPUj4NAwGtE+LJQi+dtlmKWi6WRfIyDl50Mz7HfakcARfbrNOXjoBbp
0WRA/WxsFqRU4yD0yHSsH6fG4l4x42tmYGst7mpuV8f7esy5ZTet3eN+lOZbDt/7u+uZXvMU4Mrs
aJasHXs7Z9gYt1aLwz2WJMvZz2ZgRt0Ys2AoY/AW7Lan9KgsLsINVV5RxtzeNttOTh5ovZxvLxzp
wNpUPA/PlZVRaZ/bS7t94ye4WQxWbrWhqMHmf4AG00QQHykJsl8Lytn3pRWqZxWK/o2AOfB5R9WP
jes8pAZYCExJG9UGwbmbYvamXIfkTD3zLfPBosZlmB2X9o1ncKfGi6UqN9h64eS8emBUT7obph3k
qepezLb3EGO8oqonHqODQ0FVPan8yESdXPC6DoeaftBDz1v4pv1YExQzvJuTqGbHUm5vEcK8X7q1
Tx3dcYvnL3ssIereUUrYf23GALPC/sMfFNRonH5BpL5qqP5wXD+6i5PgZx8nH4BIxgfWNBGkjbqR
3K1FC0Te0+HvPlBAV3uZ7hzhxRs9iOS5CcL+x5DxzSloP/uRFTGw7dGz70rQWSdguPKBzdTv2EnM
tVBd+Fgzzt4w2VJEgHT+SdkxgnY8iEMJBulpRk8+zTFFGdbcDc+5Be++NfLkCrcyu1VzY4Mrh9W7
lZbqLmPkDChZsTrCOEweNALAxlYpiTbyS+rWcyZ9ryfhPCR4QnYTuFhKr6vmXqPlHllp/OjNMa02
YwA9dp1Ku9+OFUwRVhJil/fdTByjwCMz9uY6L8BiTl0mXnRSCbb8qBigXcOXFEnuZ8T+ZQ8yoT3y
WNWPeJCnnymz2JW6knk7t1F31xOS+tYx5bHKBgu5myECnej/U3dRyyWvW+73vqr6n2nalNto7tK3
iXCTi1mWI7VVIpojvUMS1xPfrpSnyiZB1F/N1DfANlsYhxNnLJpSdrQuZXfgrqPnInDbk4vX+Bmc
NAfUxJOcBHW5YZ0AUTaxrZtPYvIU+XrYGJro0TgpcZcYsvwNkRivMZQHAWgn666m5JlHh2hkfwRx
zgmrb2RzNuMWSzy9AvHB4EJDMi20AWCxy8GE1XkXbyrDUT+6UdVwQsPR+pZTTPfkN6J9ywyQs+B5
F+QIjPvyheBP9DZ0JjiSMOb+cm5hU91m7n7P8xewJPuCl0Cfc5pdlkMjiruB85Xbp/a79krvuRJy
Rtb1qzcijQqx3fR/VB4ijSu76hIzqUHz4N7BC8rw8JegeVLtO4+hwd3b8hq4La5uwWkAsAcV3L31
stdna2GztCKItm2VFgcQqZBbFoYL2xBrVcWpeml8k3aKXBqPbpHTayXNCHPVuuMWX63Bp5UfFaa+
8Qq4IXEPhoeTyiULPS0IXuuZrBcMGUXFxG9tOsEOyMi0nTISLjTODjFsKewiP3LOkJsYasCh9VMw
OvzyMTPBF6dGJK0jkYB1c5lMnbyKMLWe/KzkAkqtmddgtNXjBNl/RAiKy2dH1r/bLwpO7U/l2wzp
4HfFDHpMXIPbEIr3hk7dauNCi9570HTyGGHLoqkFhi8sJXfadDya10PX2ethwfH8O3tn0ty4kmXp
v5LW60Ya4IA7gEUtmgTBQaJIiZpCG5iGEOZ5xq/vj5lm1ZGRr152ldWiF73IZ/lemAIUCLhfv/ec
71CMPTN+Lw9z0170YBRbAJjaTZiA73FDQD6gLKSnqfI27Svw+r3z0MWtdcKRlt8SOYNpxfwbF2gK
0r3siuIGFLzaE6zG4wAbTB6WvOlLIibN6zaVI4HCuuTaGXMUt+VN05abidSjYxySu07To9kabqB/
RDw+HxVib9LrwBfz81l9oyJdHgdOUL7KzO6BLIzzvETGlr2ZeV2gMQPuDBPxmCbHbaa5MDBoSp2k
0E/XntAPXQVQ7/JqNEwv1YrkRGWHik1nvToSoqjodrUyAlKGlA+JNAdPRI2LRf9t6TxzirJnPbMz
tXLHRt1TGmTWOo3S4ETeIp3/0W53nRVBcme84yH9ILYgmHkvs8CFR4Dbw+/QMWD77cvmxmroJa6t
XgQvdUiybttU7Y9kNvUj/B8kWIpcpFVrDfLejPv6WHO1dVnXwTkydPOoVxp0O5Sx9k3PdGtnlmly
EMAHb2DCVTexFTsocxHWFSPBQJ4oeE+ZDXcnmmttt5FmS0njwHTd1IM2j6vFqpJNaM2fLpMXD3iV
ucZcqX9pzIn3AwP/i2JlImSgx71RVwvzycVJ/TDpQ7+R+nJCkhBvI2EjVzGS3DlOaVfdEzpEemgP
h3sbaWaxU+W4MGzO7EMlq+RJyZpVcCrbmn4jMc4VzStjxUuNu0zq4llFxLExgx6ouVDemi2bWUc8
XmjjSDJTkC2N0J6cbsCAMCOQNeYcG6deRRMxU9l0bwcCOd7saPsuU9VBK3UcqVpRvxGz3XtaWMZe
mydEXRPfwXGdwVhen8jP7PwmBalFbDMbKf8q950FGiWb7NE3M7ZTr4gSINUztIKNZUa84yWWn7Vy
5mDbp3VjsPGI4c7I3PYZipTx7IwkJjKkJNaGzhWOnEEl8cbOYPHgyIurxxQcoO7Hsp1QPzG/L3wt
o5d3M0SRoCVblSjtcpofgK8IYnyB+N4eHIjI9J4povFqRcnwgLSqiRn6q/gS2QvQzcxFkLlCaiRH
L6nj/juxyS5c+lG9pWJRD87kloZv40CpN0mCztSXZsm6ldSR26yyjEjPNfoM86El1JZMbIbOmPAd
t3rpLTP5GDR9XsDojbq1n640h8NCq/+RxOjitTaDcaslRX0iJ4aMyFDW7T14DDRjggHpuRppxJmD
hQAi7X4QFYPn3WlTOIeu+6aVZuTjwcWoYtrmoXVE/py0V1dggTTX71UkkGkbGY2Ubs9dWJjsV9Od
isFzIPxxy0vXDZOnB/PySPtSHpxa2GdzBsQH6t6pbkNgNyQaQhj4omugJCF+gpG+3jA60KZJswBp
js2OHjKJMk1YTq+xo9ggaKHOxy637E0f3ceV3fdeWCj3MUXeckvwLaErqklhZdvTMRDsBDvEtRUi
Nmw6H9hvSMWMoMCjkQVoOqzoOst7ZBEmohlCql0vtmdwR51Jp9YbSqdIMauWic82Is6Z5Xb35iyW
Fxrn472GcAdbrIGQDhv8tmsr88lETXzC5WRtYkcbdb+Mxey1EINObZ/NnMtHR711VRohDVLZTacZ
w7nRBAlSkEQi66Z2YLbzFWT8M3IQ9M4xVda6s7XhdWbUSPuf4tqP5JSALoqnE0p3hN62lbpourkR
92XSLBpOTxF+BUaE9TK2DONCZA6+x5hc3EsSM4qftIADtKsWyXbayjWmZw5SU27Ku4Zoxwd82PqD
GM3iNGuySGCsxPWPBbjenVoSwuKH2lFHndAj2jhFmxS7uKuNJxW54gbtBxb2HJ1GtGqJeWFEg+fu
QLpV8BmT3Pleubw8GwRHnD0Hvb7ys5aowExrcoxbmiF74WkbhnWRxewEdD2nU6ubweeoddcFjpcI
nWz2Ytum2JtGtxx1QXoMA359G9Z5e8PazgbUuvpXaxGS4LklOx8GVe1JkW5+D8/CPkzohW6tsRv2
ixn1321vIUXgsSXpwHFraI8EjvxUSZB7TdZ7nCGyZN2prtgV1mIfJOu2N9hldrFw2B40AVRySef+
q0iIFVkvAHy2VaYXu8SyJ2q0MK/fjQpe5Sbs7fKBIxLdb0wST+lgOvdYJDMMg7Z9WUTDPxrWoTYc
6ldAjEiAUcIy7ojtVoM/r4+bnnt4wSjcfbID5c4qsUf3UVsMM1gXeSPiTdlGZ4TT7QPmPcn0gLWF
iJDegrqgd905N+3spjL4ISOAK4D53D6rqaCboM95/7bQVrtuyIM4EkfU+oHNqQRI7pg94KFLiXp2
EwGFPyiXe4AyfCMUN3ApY3XPcKvYZ7oRPbRCVteAP7kGs81RwyqbTdOAIV+iMTjlw6wO/Fh44u3W
PibIZGv+9TUKhnRjxCUgHHdx7np7Wc7zlH/VhiTWq0cYEZWQCxN3PiqEqZd4NMdtU9pYOyL3MsMJ
g72fXZU7tC73XatjuzXHCUsmCsRH3KjUFcrm5ZmvVDLSthME1u3oDxxfmdD0dDg0ZIj7jrL9zY5K
dQ503UDeYU7Ng0VBz0kgkzhVHNDFq2GaqkM8SDNfwRxp4fJMzS3T1c+yIcl6VXWtPEWhsI+jKq37
iXbGW2E7llylMOc6jruMb6Kep2nUwx2rKs6FuHCw1tNTQAcnvqsiAJqLjBR3pVG2Wrym7Y5KKpXj
nK8lJcJNr9nFixmyZZHXR8kS0eFMDTECOGLagmHFqJ6Zp3Z7spdLZNBduZtIVvF0Wzc3Dnbmcqub
0mI3DSeGVl2XvykzwLwTLP0mU7PzjRG7vUEIgUyf7f6Hjt+SdKM+A+4PzwmXZiApZO2EuZW59Jxg
BBmSNy2o0K3Ia3yWTHNo91byvZJWQcAxGOZ9oGHvtuiRENZBH+PYkb4iMHXWxKd1bXSRZI74kEjG
x9ierK9ynKePmLL1EcZn36xI17qu/8HVaecmBEwsAGrf6pT55RWgAgCKNY8TXs4ZD40ci/HQO0Sb
g5022WjSLjqOmq5/ZKYkdHCsAswAzczGNReu2gcQ3G74pcgqYg+eCCUzceRI1LdgB8BTNK0k8okA
yaIC7ZbNLzVpScxtItcXomLPL+oIl6TSyTsoA6EFXmfHy7GPgyuLcRTpwXZVewinFl+uTGf7E5Yl
wRlKZ+KHXrZktxJxFVyDgWZ5V+Vx1KxotKFVSiJ2sRWWhCvaWvVmfetOE5dJU4sclrYkupdEIuMp
GxrmKKJIARjbU7nqAk3b02TPCcJu2ut/GHnpUJXG4omZrZlhrBbQS/JCyi9EcsVdxQT1ns2L2iVj
u1wF2IPafafnRuqBGple6TeLTZMm2mN4PV3lDsCbPnSnbm0xH9yMhIJ6E7lhR8cdxFdqoTbuaPf5
RARAU7XQ+AS+REWwdmkO3yy5bhxQEE93mJhB8BnXJjkJk1hscOM7jjJ4swax0ZLx3tLojELA4HTd
vvYU4Yc5KPCKg1jfdJCsvXGuh59GJZNjTzlxJ66rc7jMqPpsvbjVBhKDg4H/Bx4MzxTEXv1Vx/17
18KsOeLzEpuy0xFQInbDAAxV4TXqq+W+GYbilqzHa+CMoW0sEeT7zLD1z6wagPldA6Nz4iJPwVIn
zbqKx9gDYb18QiOLdlih7T1wYXh6PSDZsexD+f9tn/9Xtk/bkq7OJEUIZDoCtevV1PsfQ7m896/m
/S/vxRdgrhDN0O59+JnFf/lf/AfvPX8v/vZHXtz/KiL6w0v8XVJkm39FFCQs17Ck1K/6mX93iup/
pYshdQnz39Qtwov/XVIk9L/aFg8xcQA4vCyl/yIp0q/ZAxjWDX6d61/p/GckRYb5u7RH4je1BOdn
2vdow10+xK/SHmRvuPXUYm2C8amfyyO7vh/6EeaGmEDwtZOQ4sJ078F8oqWEsXxJnto69uP8JZg6
KH/a2oH8rKf5mxsMXhrtorzFB+nbTrMdMCEEbb6PnI/5mqZJVsqqj196Mq3ijuCOBjXEcrka0EYx
n8yo8U3tUDnfLKoZpK3HAZn+V1RkK4JQZ8goBSlEgFgD9c0SB+EOTbtGF0btZdIBldeNu4F0Eigt
a9CC4EaIzVHEwk0WuE5tqysY9ky/wnXZZ3dT9Fa4eGCK8UN3i6e20+/zeoFbCIxpJc252rR2srZI
nM9ONPjB4Q4pYqSEOLqQYxsdPPJaIL6cjSS5hNmyZ/hGm4jRpZUfUh0xjspvTQJc1m1VUdw3CGzZ
IXpN24CaPGcsr1NFRpRmlj+hk2JEra0fOpJDvqbNUIYb0nnYPkYfOQi6YLBmJOYyNfSwjAEk686d
Mu+MwPxMbXWeSj7rOANeR2T1PMXzEy0nHyMnDQMGaxj7DJJSbYCTA39rGMXnMK8Qz9ISWFnU7HU7
rpPp+Mtr80e6MQNjdfWrYO363lEp6LZhwIoDzvGPz1Y66C1tYI0GwpI/NZ1WkiDbnqmId9FIBo/Q
sfbZiqq12GbVSQLYQv920+VO7826Oazy9mrTC1za/Nku1Th996PfJMSx9IF5JpTenyZ5udJO0Em0
Xm3CsSlu9N7aNlVxY8wApJxNQY5AFS/3oBB2jj1uGgOtMl9hNcffViMfZPoD6b0f9MTUkbUQJvRM
iKZE8eLVIzGrkM2QtXjMQb0r4Kxa9HMjGx9FxHnW3VuFUnWae3QR+Rau+GNS0fE21HZBU2y8KTmQ
xtYfarVAehqxXJchUlWbc7PLUwkox69ARDjF0a6vwR/EIeTOB6Ezuywjx/RakfYa8Yhpv9wuU8dO
F7zPlfRLmrM5fyF00LiliTcfWC5ehAjvkuJRNM2xCawd+WGPxfTGNjbdVGKmCi4M+0cd0KLQouxV
S8xNVBlbhAnQTQCQG8rd1WbzhRukXg35fGIIhOoHIjxQIbO/qZHfVWp5+/PHRPxObrg+JSYkQd0B
KQbN5TekwnId0zZjEWxUmf4EFfICFQMls/FWUwgsREkYdvOAteVu6YdT2Db7ZJyuZtGVgSnL72r7
NpVu4uHaYwN1TxHiD5oENERczNxdek6i4buSxb94uhF3/vZ0E6qI2kJnAWeDMeCJ/uPT3WKdqNBN
B5vabhjoCxMeOx9YluupR3OFfwbZXORsO9bFKlQ7LWeRqg0mXbZP4ti2jpiB2BonbGApy5rzHc9s
SHEh4h12PCgSCidPPFxYWLdmNp3jpL9UmvG0mLiuGvEVyumSW+0qMB1UIhGKG3J4ubAi2Q6HLUvj
IL71PuppaHfarZmPCOIWIDZkkj9Ew3Aenf6GnExMwqo4Er+cYGR232p7MejdDY90J0/wbWA1y+qb
DN+IpmT1CJ/4243MjCxC9a207NKq5DUnZakZWrpTxneVcebDUOQyLo/DmnoYwqzjrrtIPo/o2UwH
E6PdfIyRtp8ZtJT5uGmNVUiSAg126BfypajEaoyjnRVMGyxpR12LzwTEJvQfhZc47g7RZEqnGx8n
/qsa1ZgqrNclrZ9Ad516Mri9gZCMq2iLuFRm4vpO1sVFRuNOB6JYdMknCMdLFnWHXpi4zXjfE0n2
i3MOC31fVuN5tByaREjuDBpqfY4SQnc3JKOi3JN+GAH3NpJb3cg24zCyy8QvhBjvBrvfdMBX5XzU
y9suoOs1S7+D5g+OfGW0r8lyCSAu46P1ov7GZQiJo/Wl4RZuZxuWVxIYfl0gc0iXTTRiAG7M7juF
Rj116tzjuESb9aPOYWu616YK4hjED6ZVoyexGRLm9n1JO32l1bVXNCNwy2o4xzL5rDMLaBNeByfn
cOW+WC3VvVYycNJ8AiRg3JbBbcFruHKH8tzV6U4s0k/K6pKP6gGO/o0l5tFbUOXUeOPW0Lj5+Y7W
Se+3yUgMcIuSJn1NxEia2rQjp8BlKgBBLOiQw0fFK5zq26kxn7OO85hUr3KpHyeQhRue6n0d2N8L
osGAyMHN2GKmyIzwhimNvYJvPHtN6GQbaRFKGrJrqfKU15QXdqO/Wy0UYzE2D6U5v8OehG/Xd696
BjkYv0K5jt353Fjd07A4B7C40crU442W7lMhn5WNhrczprWIkkejVa+96G/0afrIp8VdaYRZG5m5
0wgQnXT9nDOZRf3wnGNkcujnNpb7oHoNGOcPGvKrEsCkGzBPHeJ7M182M0+7lVRwj8Vq5o5Nk3sh
NxxPXwzkfNk3Rv0QaB9Din1o0d+mcCL3dfIJGPpM8AbjCRxgLsiHwP0JHA5D4cbSkHLcVfjzzFPR
Q1+O6QzmXg95XpkPw0wcR+I85VDCUqqOculQ+5lYQSdPJD+ZK24LEjXS9tV2H1EkreLJQkqJdyny
DPGjDy8kUG+V0xA5ea/lMO3b8aHsBY+LBsDjYeLICd/tVoc1igmHQeS8i5W1b2yOaZDmkUu6CQhv
dSIX0aW7A3fttetRR8y816l4ddwzej0kHffIGAiTSKMXkgwI+oslqZ8fI62kvP+ekhI6mPsxmSbh
HgM8/Urt4ibckYL8NYxJR7c7ykmbcr0ZzR6+1NETc70iw8DZJ3AyEBC66DzC/DmeUSqSX2p9aQ0a
Q0dzwCPYjj+Wy41siscorG1vSYxHN9V+lIwBy5ReNGSGJejs9VA1nO0KEzpnl2YbfMTFhsFzz3S+
+Cz7Zess9q6jRa1IOVjrDuVUGE0XzaqJeNarDR13kIrje6cohwFmIHSF90AjYVH2B93LgztGP525
f3TJO19D6Ad3MjPUbSlN3ICpT2DDVLh2B5Khe8wQ51QGzqfFuiWt9TvVs3VibMMO9cU12rdsjiD2
WH2tI/mGd/PcbcGSkwYfmEx/LFzcFt18b0TPg9Kz0fDQut0mS7V59T+jhSGM3VOmVdI9p5iDV1Rg
j7Geg4AMwSCUuMRRvz2YkXHg3sSbwJ2HlSC8kuxau1vbRU/wueZwkVxd/lYd/Dd4Vf5fdKHgkeB8
9R+fLV9+tt1fVj/hC2W/Hh/Nv//c3w+MLgc8zCwwrGzoPb8Snx0gQQIvOLRng2oJK8r/OTBeqUOU
2q5uQ0Smh8UftWXfRf/2P4TxV2lhanFsTp84OKz/lAcFRNE/lPSKWZIrlGsSgmn/c0lvW/jbM4Tg
ZHX3qV/ribsaQhV7cG4cpFHz/pfb80dniH8qsmBeG9Suts0dAZz0W5FFcEVggrpGhQNlnijmNLkq
W+r7wSiqzTSjrsiDBcUlAi29RT43IPRLItmjawiyNV0rkx46+VHev/hcv8OnuQ+WcMCN6VKA5rZ/
c8RcZ6nERGDVQ8f11hV8DmNECoYdfyc66+ASN7Itkbb4MPknL5qPsun1w59/iN8L5+tnMGlpEHOi
cAPJ3z4DA1AVTEnvbCt0YFs0hcHBoTv++OdX+YNvnHBnuAC26VKlu9c//wUlZXOTaSsmztYs5U6m
44uDi2Y3xuQa1SPJqn9+tT/4naRJN4JvXAqLB+kfr9aIxtAnKrytW9jKnxwoS0lPpMOfX+X3pgd3
jv4J5HLUYhxLxW9PlQhI7B1lYG9lBCajThmvF1n/MOTx559f6A9uHo0fZRA9aUtMZb9dSGoLd/T6
+AYxWoNcS74xgqAHJfvKTNK7/8LF1N8SLi1OJfpvF5t6q4SAYtnb0rQQzAPpW0UDjdJ8oRsxJWr3
55cT1+/i1+P99S4KwGimxYoAhf237yo2HGtp7NDeEs6QrpqBvLTRDvSHDBQpnv4o9SqkOX5ET3u3
lEnpk0UQfKALIaywQLmI0KjZmkU+eGCgAwNKON41ZTqZJyWTnU5UBPo6UYHLBlwvu3FOF3lFmCUA
0hJS45pYa/R4MoFYqifqvsnz5l9QBY0/eM+JEFPCFciD/vl5HElqGuUc29uwiMQ+kZqznwdJsMIg
n7Tr6T0J2n3RhN+2GVX0fFPxCKXF+Re3+o+eV5eVm66frUvUyr+9FQkgV4As7jbLegb5Fj4GndRw
A8LE+s+/1H++kku/hsmoYzqSe/3blaKKxjnCN2drB3HOQRYgTFPmb+DCxObPrwRk6J/fjmtqACEG
yPHIiPrbn/+ytNS5YWq2aAmjYwawSQctvpqipzPTuOlBaTwIou4emZvlm4RzQOp1jk7UEEB2cFnl
NO7ctgI2bmP7Z5Is1QUwjHyXzJ53iNy6bG3W/Xxx2866RW1Q3qQRMKKiIY+PYqpPJj8D0Y64l9hF
Pbf7PT53Z1dFlkInhtRYq9vaa5pabEzZ4P6te51jjwxLwrPHTpBYlhvEpMLePhXSmOj0Ra3ahMMk
mP068SnQ8+QdAXu+t9DTb/TMXXazKzU0sLW9T+vOfo3NxTqNgl98aXGvaAFCa+k2CuWICI5GMuMX
7sxNFlR0USWFJup8XN+4Oh4t0VRkpBbVuxPqDsVnTRpKNNdMecsrDqoYZr+AVbGL9S65aHpVnxw9
d5CH2lgI02ZCoDqNZv1aTUNwxIsTPEcux/iBs9UnQCmmQIFu/ki15KXIBG3DFLz5TdI1J0A25p2d
Rx6qoZ1pafmuGEgOZwUIxQMu0pIeaaScG90y29MCdpb+Q622bd2kW36dio4xczcI6Ih7Fnqx4Jxj
uBasUvOti1YKX1eKPBDvQdDbKMU4MWX1OPykZOKeoDm4jSJmayXhRphpAg4k0hQcIkurfTHwNT1L
ywG5nsuqRebX6O4zZdtM0gJ4BtxDubXve5T/Y43vr1HSuq0HlW/KWgeTGsPAQO+9sPWjTEMQtkoy
q+y9dHDinQjdxi8cvm/RDty+QWtht0MjILzKxaGgD0a8sSopf0T0225sV1g/8LrpDIT1NDoNoIHk
yhlglTIh1uEGs3gQlE19Tic8zUf3GXFblz1z9oEVqOuc2yWe9JUdSJ54d0jaS4bKBztaNFakjjfB
IW+bNYYhjs8h6kvYUDEyJp3QpGTrEBG/ANbt51uR5kSKq06VXpyNM68QjOYIOfFWLBQ4K9aD/EOZ
cnDJIMN04145FI2b2zS70343AMc5qkVDqpFYobst6S5z5knz3HOK4C7tp3CHLAmkMjIBPm80IlJH
noIJd51jv+IwrcXLLcd0wieN+oAj5Rp1U+QXsxgZSMczDTE7ehS6O20QL3d+y2fbjTRLfbcmdNaR
es73O5ESpiaejwwJqQuFsle+XSLzRCVh35hz/RPPQ72J+4ZuFDFWjCRc5GpDaNZ7zcDGqrRErFMo
7TRjFgSIGk5Nr86InkppQqJnKPCGTDNizaJBOGHJEFdinL/rTZjQWTVGMG1N8JWaiwxI/RmBMCZE
gWR8xZeAWc4uiTU6QjOJI9rELkwp2nwOSGTvhdvOO3fUcpgEvbOp4Tj4sLrxsJH6MA0UiNNC7zsQ
Y7KZrhmpTZ+AOqkOxBA4yHWdGtL5Mo4/2zZ04BIGT1hckAM1RnjS4Fnc0K9235FAmU90bjjahaFJ
YzFo+qthgYRUXZaMZji8TRIFlXS08BCncBZVRXGMmCm6Cavh1XEaVGuljpJMoqEd+74nfnMpjl2G
73NdWePilbCHgP01CY0ADdmL1SdIvWHkr6BC3UHViDZDYi8XeH3tkVi7+IOBRM4BUZCiGhjxtq7T
6dwO5QgVBnxhhaJh1RNR9qRqC+t4M2teMduY29zktVcu+JU2n2gnBkTCIbnI8gdMNwQfRrnaj72J
pzVNvHDBnp715OyWphp/kqDQMSyv0MLwrmnGKzpo82hl7XEMCJByqiRcT6M+r4U1G7ekjFnhSjlR
5jeZzWg5K0e/tFyIPkbHgQKf6wppxfCAnauIOVDb7SrrmMYnhfY9ccLPR1s+UiQt275mNITA7XlU
uHoMQ8nNOJbG0Sq6+ypubs0ETZhtaKiAWMG3QVC8GyXmKlzCk8mQiJiLkihpIKjQv7woZjI3iZGR
dz+ad/XYBw+FHuQb4Ks4lBzraJWozt1rPCapqhNxiH39FrgBTHJCT9dqXs5oOB0/gQdy7VOO6rWw
UV8aWTj7KOxJ5XR0pM9MujSQXOVcVE/UZdO9KGJzR0JNsG3iEbY3i80d8jAymWvNvUT8vj/Amw2N
l05Zw91QuZpYzmuckUbWl7aHwzHQN3Ju0oHOPneELPPFPmeyAJYZsni9DFHTfggNLTlWZLfp9yFy
PMdXRU5brl2+Zzy+qzC+Cvvt/p1k03LPXwdgzJlaP7GAbxrSrQHGZQ+s/Z7O4nPHS1hvlwRXojDd
9Afk3vqAIxeZWL8syE+vlsUsjPw4xi9nKIfXeGxuiLqYTlhXnwdBKEXoahA8RrgKbPJnhcLfbxHi
pyiJDax7gRp5ctMWJrdt1Reh9Isdt/WurBJtBSZN38EjSQ7T3Fq7vO77fU9YB6t8X+B/ljwUQy3Q
cJcZYEjwO5ugIbVxJOqZGWcuzj39c6/Qo+JH6VjtprYkBMY5IZiI1WIiD/6bDQnJEoKr3aL04Qlc
DX3MeJLjzyZbiHwr9SL3iM6BvU8MKjWjnH1Nc0oCT8p8P8btdylEeZjoSF1Mw619RPHnuBnSw7xI
IOSuiaDDMLTheUjT8FsuabOJ+G5ONYqgvS3rwNcKt3lYCDMDAhd8NW7d3xmFFvpZjCdOOQndQHJ5
0h352NOWfHhMDSREYhrS70kZd9atGQkfXvbkL4G0EJlZYXFIJE+CMwndN8y+W2EaXPxyitMbEmgR
J3Z5H49rVMvEmYA7/xSTyG6CQqSdX3TcEVcl2TYoXGNvIQMjREHdpFb/OjdTeZzK6W7KyvYLhl5P
nIRZeaGRESjgiLveJDPHDdr23WyVxDBYD/tcztu01J7BOOAI7xfcmVg6i0NJFDRDMwhiYa/yp6md
ujs876ik2AR3UxUeCkIhnqwqAjgaOcKr3aH5qotxYeemKEC4U8bMn8PRqwRrc1qq8I4Y9PDeGIBm
oZFVMPIE+axQNkuPRsZwRpD1Us2wV0utv43EkEFzHDcgHAFVdGlFjMzkNSXSy9VQLlt8PpgamVm0
KAaPYkGeJuI4vqewZ0waJoE3L+AWVoXpECM7Fc9tosV+ZRebISUdS8W7fjS6PUpoVKNoPtGt21hT
MSGw903WjghePMZagesAE3kpbX9WYJNWVaU5B7eEcSHM2CYe+nGY6E7X0L88jlCkz4XVllI+3Tgh
Xl0VJURRoozemlx/1eTys6tl8GrnqmPKw9s8zgp32rLD6fE0dy1gygEHltY/O4kYztEAYGtofrid
xh4daZ9OXD4LMz0S1nABG4mJPjdO6MF/hunPZnSGLTY6upRx+EgWQ7TK6wqFu30bS+OoCYIc6IC2
t1mj3TY8Qbgh3ZSweBOx3mQnfshMkV0Ka2PFKE7V+ctiftGKy3xH1MbaGJN8ndUVjgk5k7yct/Fj
XwI57driqVmcZ1Un/K9+T6vgbSrlbURMH2qM7qbFcEOQfYOAOI+eIuHuZJ4/jk5CkHy9RyacrWVb
3Jkq5bMLGACqGlB4otKm2c/4V2h94lmS/kVUCxAZY+2PKntIeKv2COs+aDvQeZ49zakl8x/8Q/Uw
eHUSBTvFYOsE/Vqe5spuf8KrdmmayT0mjfzgxvIa2jES9zsGH/jGOZhz3H/sajyg10M+ryzY2c9o
MSo/b8EgB7n0G1fPDnPKTEoEY3QtpVSN+h4TRZQx02+nIvEcA926WxRHYSHzaAuG2lkVuBzuR/zM
IUeEdoxTTvUaNQy/cCLAP0ziOoiGZAmahe+bc2u5GjX74qjwZJljvFaieRuI02o76nzGHiUIP0xV
MmDNr0IKetN9iBbzaCbBSzcXdzk2k1Ux8b0DY9WRyGbNPoqWik2/eNI7IteaAejHlFSvCTGbHl72
Cs7ph61ZLyrTGS027Nlz1fKlNelzJcwetOKQP080Q5n3yGzX4D/aWTCyyOqO5lVVkx4cM5XcRhYD
jJ6GyMEurlpJmzTaOgd8idvyrUD4trWU4jcl3Y4JwnCSRj0Tc2HiJCVV+NsmbOmEBpbqjtRKf8aD
4Gvo6mAd6seCM4ufcP45MFCnOGICJkVzJhsVdlfl1K8RIDNorEG/pcVyqfuwBL4CwGEI74CkdKe2
1jDrsXZsyB9Xx9IVIHSSiXNzjH37bhEAZpp4Sn0dQx7Vf/Nipoj7e2CSvojh3BFljd9uVNOj0ACG
2QUcoLFB6U60Vvk58UsdGJdnHsIceApGX+1EpPXMt0f9rqojUA6AUA55vSvmJSF7DU+gPtfZJkQq
fkwhgT23RqmenUn+DCaDfAVRDNsoM/UXYCrdrjAS7VJVA+Nlnu1z1yBDB8YAoxqO+haI7LCdcuCb
I8YPQJdtzliNwCmsqvZKrxk0YSIEbkPd19pP+hXP04ed6euAK0Hp0uODIdvinu6jqt+3eaav8Eb/
mGtKRZyS6WcQRsUmrg3YwQ2lUHc11rjYlOhVJ9RKiY5vvi4kSlGlDlXTzT96KHEcmNQm4/X1cfD2
+2va3mZMsIQ0ecjcH50y1WJaHWw7GjwoH/cRjaj1kPONL8TC7MQgDX+il5KukrEnj66Nj9bUIJUg
h4Z48sl3edE5S2EsBIMwYDduqCuRJh/dsafALbJoLVNjRGkfRPsK1QWOLaG2edYRoJWn86aHp7td
pBh28JycA2m1AT2XElVvTDXPAewytsIkKB77sJq6r8k1x1cjDdE0L9mxniIyUeLl63+zdmbbjStp
dn4VL9+jF6aIALzsviDBmRKpWZk3WEpJiXkKzHh6f6zqdtc5Va7yhe/qVCpTEglG/MPe36Yd14/+
2OS47LSB+cDo262V6eFkmO2LbYs3vm17JLz8EMve3ZB9VOGxmtE/kQn3YuPub3mjdHxvmwazoRKH
86boTWZBhWExdUyIgfVKHp+qYh8WVyFEtxRtTB+hjOYRrN+GlGs6RC288soeDBJEkm49p7J8YFZR
vtTG6K+1H9cfaRY7jwmM/KvdNGhlZlpDTFWJZknm/yLWw39kHifXNXx8rD81UfThgg0AVR8Dph5d
SlvqMxbEbCP9CZPWhFukbkK5aYyq2Bm4NNfYm8uVo6zkOMf4N0CKVmrlWWCY0nL5ObYuKiASJ9/j
SmN+TlPNhEP+QrObUhz485oFQbRBKFxfcickoJ5YqDNC2HTt+U564PF7IMKitla6jJr9hNL0HA0l
oKqqSk7gsggMNnA/LqccPqhC4u4MDzN04K+BbHT7aGBa2A0jWJO1Ixf1DrLLhMU8qklsdB8nv/HO
a7V26jmtz3HUzfCswdKsc9PQ4cYzps4l3VsDK5aiR/CHkn21dMuzaQNJr4ec23HO3ICtyVMqe85M
X5M0HMLCw1E+Bd40RRuzlGy021q8hFl5yjoYxoWljzmaTFK3uDv4rObLXalRu+Hsd/gt1NLiwkJm
vUJSXL3yjfRLkZfVe3Y7O62quK/KLtumZa3OIvatLUAPIMDEjZU/atarx04U9mZxgegEbtWEe1Lp
h5exmZenLBya5yRz3DsTculmNMiYMkvWqLORMmVv8zrfW7U/ab510kONDRfSn2Z0I+pGokD/RXg5
djZ4X5EajU2isOGv3NhI13kHW61REbN0VtthkIHNxN3Y9yQUygZtDTK1+gNrtC1u70n2rDh/7nt2
td/kTBhILWgmdz0vtXfm/o6zbWLrx1C0nF7Zo/T8YucPMZRj5per2jcjchj6qxthnmCSM6zbcCD/
eTDuGbjDHwNH2w4hBy97hC1uTTTmGQQnBcPwhutf99JdY14D1DNlN+Q0FPY7gWtmlTXtq2qSNA7i
zCEErajlh6SV2vsDIn6tceSNYG3ZlXX9Iy1lyOe/ICYeOBahyjU/FXlp48ztZ4t+2hhWZu4YfXwt
LbAY4iHRWizjaz/H+2bs8HeUM45ELzSvLYFMG8f3TOIWjAxiEI7Esivz9RxnzdHxkkcMOv0GI+Ax
dOF4rXlaIK0zFd4w1envVJvav5BSEglYpEWBCMqc1Y7c5wEll1l3J1fpfqeUALwZadP7Qmbv72BJ
1W+MP+qH0mu7x2j0OrQOXnrhlacvZnS3tQatLtRy4w2x5W0LPn2BOdjfXQyx21+s6SIWQgVXUFjC
X8xgqfCZl9en0onAbrmceeZqaJVSW5glBslTUQPSDg1EhzjINa1pA4VpMaGVT6wdC1EijG+d2n/h
Lu3BuRJbj6YVMR9D3CrUy6Hz5xqeVGGyUvU6sCOVKu46kaUvmRzCjRV7zbmNJLoe87ZxCRPj54xK
YcJwtcnjin+9H9tHMdbuDhCeeWEsovinWximyEY68LmYgrY+tayPSr6x8ws4600RExHIpgc6niY0
rnaHS5jnAWGpLd7xdEMHFK5rXf/uF/1SdpOP5HhE59VGcNhwGLVFoKzlvSint6WFqe92mb3Fqx8Y
t3hhr74pe+ckOUYVMyEWOocoT4zXdjQSWLzMLhm7AxGJl4SQsAm0SuyCtKPraiKR7j3Tp5mFZMrg
JdbOgQoW8SmKULlszY5bcVW1HsBkQSRnudZel65IDybawzMw6SA+No37iizcamuinkHsq/z4CeG3
OFH0VQc7ldUGY3f9JAeCNQCiSgv6ctGypWbgIUOQ93Z3bR0QShxgjnw2o7rZ6yyiidR0K1XghK4+
gtMwYSea87TNvFbfNMUaULOS7/xeyxbXE1C+pidd0VkGjDd0LDkupQh0AykTztdsNxS9IBL8AJsd
REYmi/WLN98OS8xmjJAzJ3R+uzLDzDQiItyl7BC43piXvOHFUe/dHKuzTpGKQ5pSjyw+1UHajvNi
CmBzgRRGnFJVuyPuzbz1fwyzV91gEkV5wIvamTzbJlKiBXU2VT5w/1U6YOEPDALtv3EAOS/4WU3C
bxBPZapESdn5bXGB/YbBVoNeW9Atu9lXYwiTfDsMnCabkaeEtA4EWrHRcu9U8ueMIvmChTn/lasl
ZGIaRZd+qlwcIQ6+zraPio9U+MuxJpoRn+foM4bIDRomXI4aIDE8kScfpkgNSsy1PloMPftRd0Ox
ar1YXjMzZBrhNW10JQuV2W5sbG3Ax69m63e/q9KuXlkihW9FVFQ/DD77G6PllU95OTNgFkrs5zJZ
3sK5it+BsPPRnIF4/7C1IT+YArs/83ZuUSER5hne3LluSwkPv1dtSh6RY224LldKlW6IK5x+E7Ay
rg3mNusS98CqxQ1crGfI2K+GKOKDM5nzHXpA/0eKc2ZtqhaK/ewlR8mYGaSt0ZFJXOnwY2HIwgeg
ypsfXtmFx4Vam6J6IbIBhRf3aVu08TYaxDOXV/k9lH11hQJh7lg2GLiVhIZXklAEWZnxM2Hcg+Ub
GQWzGxMXJxjH3UBq6D06DpRQHPvNxsHOdGVdhrx/iph3iYQcylVpF/XT3I5QkbM5h7BBZmsOdKdN
7+xuzA/uOHuHG+HxmOAR+kILx2KwgoLXIItSEAlsL8mfW380zQDcWnXHgeHVAbE08mqTflLtaJMn
ez3YDV00rLiU5GHw5tTZUtmfVqrHBwbW49U0w+ZJYOX8Fk2f35Xg9KHk4UDwXeHdhWT0nCNXGcba
tgbnt8D8/o25b3SRoVX9jxLpyXuqdasIEFFaBl5yM+vNo+uGmMkcRMGV9IOYBelzKxqSCrxKQOV0
w9Z8NHTnvkaqKL7KSL9aPlPRsqUiGWaYRFBmIguLvWiyK27x+aOALkm8NLPTnnoKSJxi9L7s246x
nkBIV2xpA3iR+3qgwDAkOvZjGjdugUbaMtk3TGFyP0+dAE3B1pUzIiq9rRPF3QnjulbkcopuOy4N
j05RDkW+tj0uG5DyLKJruEp3Q+PCIuSRsO/NXjGwU2gE10Kq6KMHJJghn2/fAb7WaYCiMT4Mha4e
Y94ob+t6rfvSsiCcN2bRqC9KI/SqpHDMnynOUoYrea3Sfa2KW7463sF5y9OctjvIWbfJIJ41uVZ+
KX/2eJYBflDyn6LQGWHr3242X467aDGY2hsAh46Rmn9pTVQFm+NxWtFa8zmhRuI3YJlg2RKMA1cu
c+yJPQ5c0HzJv3Q0howsO0JZ5YxUxLLOhLgT+adh3Mmdg2cnDhQTbHuVCM3Cw+EPnq1uGHq8Bq5V
buroFsjUW6qCSRAnjM5aCyFy6+YH5SbCXudRRxo2hopkU+Rh84nnkJikySU8bWB1M5+yzMhvYSLy
ncxMro80onkrNHLBvc4z5yvNSWudtVvS4C6ztZvxw+yQcst1noIElTlLIB7J8jBGPYsyxTLtKn3G
mewge26TNmw/l7S2KPFsQ7/BWSoABlJNEE7z2xks/yQM1z+mqK2u4+IAlOfXbm9gEn03z70RsKul
x5/JCZfwGQ22fTt6myoO6Jrr3403oMv18xQspicuOXvfnR010XNcFA5RmoSR7FMCOocte/t4W7bu
h6jM+dHAovBpSEY78PbOQLSqr1446YujYlwSy1ihzIYZ9g5jD/9eVFn3eV0ZjxFJ0f9CiHGTP/xR
8uKbLiooLm4bXpx7k0/8jWIhzkxFdkbj3Xp6lqd0zFcl8fTlXZ1wb1OqXgbLSF/MYeAq/eeCCfcf
ySWQoLAFxVCG8OZP+p7FNuBJ+pO3m2XUXXxZ6/2AdHzHlXjD6hK7jX6aqxXe//A1Llwpuu+LbT1k
FoaZ9jOrMfJ7XsGwszahrpUsmMpJOtuRMp59s21dCTpxGMsUksghbtRlr6VbHUc3xYPb4oC0SZQZ
BbNBB6VWvu7HDFwbVKeau57UC7Ao9q6YMoT/qIMCeSMM97p3qVDE89TTHIhxtq5NIj/TEoaxoYZu
3xgc+GkFDHlFM4ZUavKcf/HS2X8vIyRaEW+JA5aR6aD6k4it4FHi5XOp1tFQ0jeYV9edcMT06Xwo
LSRL44w2w4Fpx46oJ9qt7eetn2+oAm4ag9EOwiTyMcDGA+He2AE2qY/r18RKv64mg3S/nn43zyiA
nTTdlykh1P/83b8JSf/86PmChRZJpxZ6Bu+mnPubRy/hLqkHX/s7U9dIdEt/WPBgLFN8wubwaE2D
DAYu5zUBI/HRMs3+m41Xf9DmTa3HwE1gmeAjNoK8KdFt/POf7u9le7dUS+nxXGIhFH8WCUbM8KQl
yY8guYAzdHIiH6U4xMt//m1u/PW/exF87Iq3jwBHu/Wn97FmYey2Ye3vWH/OGde3MvbjqPtgmnL5
y6aB54zMyHm0wjIA5SkfE4rQKWAwDhy9s/0LkI0M2QwfFjxBxQVfE8zXLFww7Cbmc91l7eu/+Jn/
/NpwXpsWRk2kk2AmOTj++MY1ebMwkODZG1qbQ2GxS7FG2z3h7svApdCGvPrZpTKTCiTeDb5X2OY6
HvL4iO0P34lO5i+R+tP5Lz/X/wdl9ef0Pz4riiDCarp/v0s+ddVWv7v/+QfB9V8w9v/1Vbvv6sbZ
b//8RX/4O+2//+WPo+/qhuf/w39AHwb5+8CkYn78hnTS/Scm//aV/69/+B/A/+e5Bvj/8VUAb03a
Tief3d+KrS0hear+7xptjL4xBuB/EBXw17/5f5IClBS+Ej5C6D+otJX8N4UrDE23zzSaL+IZ/a8A
WEvyITHxQ1qe4hPe/lWjbdn/RouEHJV/Dn8ndt///P2vf719eOl4V3jl/uO//1vZFzfcQ9f+r//+
d0nMt2+BVw8Mj8esB3TQHx842ebGgLwNRhJ7xvYJIJgHY8cg/YotvLy4KvaY2oBN35bke29d9GEb
wsNE8Dcv2z/4Ofjo//nY5cdQqGzpcqkDHO8vP+nfnFmmGCQMZR9Pm9W2rxl2hyCUfngYosJ+7rPE
P0+SrgbuAeFeYJhJfPIgIm2sdBJ7/i+AvVaGkJoRzU8Rs6gp4wSzR068ZVBEobia3RweFkCKAWPw
/j5OE3YrKenmG7cx7Ie4hSidwHU8sNzQa4NQWMJ5ojzcGBrVlkOw1KaM6Odjs2dabbvK3nZSlJvU
m/2T7EHqMUgYsnXK19/kMJN1AKIEKNQobS4P975IHGPvyZQgqaXtnA9TmPmdcHKcnF2TMxiYzOY0
yW6dSBgVjtMtX0y7xTPjCXRUszPgfh3bK60HsBFkAkSZwfb81SmvPfRy0JfY7ayjWbHpkLccOum7
3TVClhG4pU21nDrHvKr3pK6SWtXLiDAyH6xb6tI8Et0i362e5VolTfslHn1j2zOIwXPGJb8Mjn1u
YgxgfIm5m0gYCqox1ntmzv45MpzxANCXQJM5h24UkYDlNv1p7ozkvk9cQp/Gpt6ovrlZeGg0yXEZ
USp0LvBnIbtnAQqTsUvlBCpq4qe8HMW7WiD96Rl6qKNNc1+3zsKv1lyZMs+rAijLXVRk6XM/Tsbb
ODYDm6ybdImEDUSogGsaJBZrBwLQV1OkwD6LrHxwCSzFTSSN/m6sC31MIodcQgmtbRrv3LjZA0E/
eU0st9FksNM01UU5KQs5k1XZemE9YxcIJw2hxUaRBLTLHOrMtpV0i/Gc74G8BWW4ZOuWFrGVLUFG
Cfa0OMST1WN6G4mh2zsDtX/dsSCrs6x7T9Ko25VtV0FoI94CbrDxSy0NSX9DOd8XtGOBP/I8JTxW
WwrvbFOzVLr9L/kVoePajSgJ3ihYYLoCgJrvIhfrMIM368GcQEv2xTBdzBoASVMD0RqXOlkVfnlJ
8lyzKcScVOP4fED4IVF/uMsD2W7pplkgxBQOK8GBJcY1mxPy3iw72jh2IjYlg4BD3MCOE3ETBbo0
6Y5VV++rsa5f85KEBz/BiEb4WcxKqfhNjkO0sUa/eA5dNeIJo0fk36Cmihu5HyZ/OU/guQ+V6Lxd
yYhj45SzTytRKOhPhu9vSCj18MWFNf4+B+lvh1sbGiKKEUXZT7wZaT/bHlUikBEp+azRawZGPVGb
lsVcQMrIHdYmCju4M8lL0hrO44DFzCzb+6leFsbdlbjzKnfekaExBO4grbvIiy8+h8yGCuti9rSW
8Tix3C/7EyLW5HOudPybrRtuvryDq+Mv4Xm2RvCEymneI079vdPn8gjtA+D/6BKQUQ5iayglLy0/
9m34Fj5GzLE+7Po2YUk7se8Q0n1qN28eOZm9Q64q/dNuCNNkrxxCOJFFDBCk70H5u5HMDlCAEOwL
3ZC/2/czu1oWxAEaHGh3+I4JzIizcSta36vvCXkcS6qECJzJWEdBDJ1+SwCzs0YFA0YnZCW5Jk5F
dYHdmDffbj+wr7KckYIxCWFjG+HFLRLSYG3hVzbCmZz3GZBcJ34Ultc/GHaFZItUD/3aAhbEXhhG
F9lpsj6FHO5C8HpbzrR515JIdoQ9FP8gHQVAlxfBSKBkJsVlQo0FPxXIHpMSf3LOtzTCo2IO4m6Y
VH/PmcyiQ12WzWbEJXf08la8u4nf7ZeU+duKWSYeDQr7HSEuE/NWEHe/kyqD0xAuuvutWg8jNBDI
98Ly+32NR7SMjbdmGtt9SUgBGDaJ9hZHKka6nGHKapaEtS3m4v5A8ccMQ7JpfHcLnR/8dL4NdEd1
CMfEW88Fo8uYeTAwOzvEXtk1YX6FYkRzW4SjOx1kOg/+uS5CK/uWhmj7RwCL7lNErCBJrbVRf7R8
FD7C0C5fKyKb75qIZLRVCMyCj5DmuxX+Mr7UaNoMLqmQsc8wvGeFb5xmT0whSupZr6W8BdWIjgml
mTgjKVS35z+qtfNYTl7hsVMmBRWtpfxtzbZ45CpsvcOo0jx96Nq2OnS04k+9bigJrH6C6Gs1xI0M
hd/8jorWMTcxaN03IDvOJ6kg84HhliDJYJAnia/qGzkwjpLQNtO94VniHKYuGAMDKsCTHQt5V068
qlmWqx0aX3ZardFgHQ5lQ1CPbB5dTusnEm2aPaLJYRu1JE+SVB57wDpdbyK5LnT2rkiiDXsYJk1u
qFYde65XvAe5d2mtUKXHIYPoPXgnVCGQK1xCG0w2Gmz3fbMx3ypfJz9Gkfb2SoN8QJbJRMXZJFUv
fkoTgfwlRaB4m8OXTNDa3CMvnGRgfGO2bz1YJLly3BrRQzyK8T3XNRhzY3Seqs5CEWO1Yms7U8XO
woheIOnFB6oaKng58E9Qa41p4JR6CPIpGXdNZXcnqBjELCLOfBCzXe2spieBg9zlb5VM9hZqOBHD
iBOHFz1ZSGOytCFUUpYZlKOssLvNstxySrC7FFCpiorhiDX2wUi4QthW069YGWNQ6Tl+Q5/U3gG2
KtZGHFtg3lxnPfACr5eB+7PAAo9CxDvEGJsvPaTNQIP+QN9oFga1mLebppSFfEmIGRkhWVh1ACNC
8naKVT72hDC30zIe2yqNj5QzVcAEhggWygb57BKON61ZMpQjMxFlXbOG6SvaLR6FpWJzm2pHP/K3
tiIl1EcDPp/XbKgCVDTqNEbtTCLIHBWoGpgO1iEpjGEq5oNFYOQWFFTEdeT427K52SaY7O7AykWX
gZCYbefyjLrQys7SYHuRRDdijbuq3W9UJLfwC2n2H6EAzeBkR1u962F0mLENYc9KzWh/UV9W284S
GKRLTG5vBF0211wT4+RkYU6kNP3ufWVwWe5msyfKtc38nWfctMaZn+9ShIt7tgpyJ0zs/LjNh+a+
oqeCnt5bK6svMCiGpjVf28lEbllVi7iTLH6vMXkQmAfIsTklmZ89Dz3bJZz85k6AUDikLURuqKJO
u0nrav4e7CJX66ga0zev82/Rp4K4Gj9tFdEfpkP+12g5FQaGwrOnzVQSoRmuxKC5ageh4oMHhGUN
RZ9wjDAsUOpPROoula63stHluVS9eZ+OqgG50GevEzBE+zhEgwGH01Lh3g/DJt+nQAjP5KL1tz0S
PkCT5Ydk1LUfGAv+6mFYXd3Rbqmr29l84rQhRnIB0FAH8cQ+lfigTTGE5D4yGNAZg2WFqZqiB01g
WEZnZkrtilAb42MZw67dDcQJHL00/Wgcw780DPqM1bzY+XdfquiScSpy+5Nqs9KTS/fQz+EcsAkF
o5Kjbm+NwXxlxOVfueCaU2WOoA19o9uart1v3cnmmQCL9lvkpCxnlqMuiOJtCmjVI84clcUpWhuv
hlw4Q0i8Z2Pp16W5y9jXgYQVzeMySib4U2c79zo0gUL4y/QBFT18YLztMtQ0cPsRqbMqLPbPRAp/
a5cgFmwXTaCEVXNzRiFFJ/41YY2kRlIUQCs8ObxDm5S8wc0AH+6ltpW7kVw0IDuQzxZJqO7mOI9f
rV7fN7bEKMHWdZcj+GFrQ3Nz1iLKTjLTioPEzvt9RY8R+BHeNROZ4IM7CdYoeXnKq/xF2sW3EXqX
bkBOl1kx4RFTBmSHyEo4hx43U9qucXjjcYeiecmbpvgcZt1fKqovMM5hdI4XiE/SixB1Wb+yMQML
0LnbzGHHFE3z3jHcmF5qGQPULcXW4kKCiwhGGqpUFO1lQiY3yy7Gy4cpEcd4lsgvo1O2JPIuUpF1
Kj0YoFnqECux1AKnhTUYlIzFlzc2kYUkdHyu+TBtXcB7iHmZlptNlgRoY7MHtsbA+nTknryudx9c
qwABYdbDpiOkIFDGX/Iyk/TUzzA4V06lLUrQ0rw9hgxoZh4NY9I5uQbTPsylJEAiOXpZB1YVs68X
70w18EzP67EUeUDVkRzDAvCCttPppG1hBuRIVfRZVdUfLFWgy4O4g9JZQB8tMu0GyzLt3aTZNyY1
xOIOHlo9pvoROuZDSAwquXEDb3XILHsdF7NxA3caJ7AF/rvJ9nwH+NN60x4lu99E+bFGzhhYZAPd
5YZwN2L0h/1C8txPrH7Om1RL/UgFjCgoTIbXrAyrg1PWxqM19OIxW5qMs5KgNCJadXzWXRrfwSlf
NiZF26dFttTBs2pCA9yu+sLThJrUJSegASVfhAJcU/jLnLj7nBnqChheCOXPTdobJ3tGVVKP8JuN
OVcHlJw+wMvRf7qx7wNUSaAqLArYQZXOpnWYGgtVn5G/I6slQkCCe48dly7SLEBeTBl1Qqk/LHgv
QWGANGUvahxax97DiTSOppOwyLPG7r7zu/ZIiu+jIOlMeEgRbVffV/Zbg5epz0zElN7W7uSPLB4v
5Wha+wx8g+cj9jUKkvc0Ojfrdi3JiJVQNawpDd905L+jaQjsIfnQDDbWuYbMi94sfkynvtj7HYxs
rpny7GajzXOsq4PvZScPnzFAR3c5SR0bGyW8fF9k3s6dCaDL0hjamVkmh5EksZ0z9E+mU0LFncth
bec0eIhyUC4IyvADHlm5X4jK+3Ts9EZ8V+myTjB3BGnPGYkobh9XqRNgI4N26wM0rzIVnqZcFBsD
Cunet+j0QVCmaJ9ZO6+8CQhG6w0HFkiAitXB6uOTVeDYddjOEmUiXupadWfWIs5LkrpIx/XQEXlj
z1yMCIcKzFPhjDnIS3uxZc9av6KgywPPoUVZJJsFMJv1Ka7wSLHAu96Qs+lMDpJHFE1sp8euaL7L
Seg7ZIaomCLPLDcc8Eez9sDdWMWWEVN9SL3sJuOdQDdner5b2LcGUtnmp8Pvh2utB3+pyum23/fI
UE497zr1pdiGmPKCUuE+ifJ6MzSTuZUDFBEnRIsCU9aRhvkI+gggjj3580NhYvZH1CH1tgM6uhuT
Eq3xaPLSZ+RUqWH0UX2B+l/VWpyL0nWxUMnxrObQOxPdTCQXmtAFKYODVLoF3+oDfgF2mcTOdU6w
LXXATqL+e440eBazrijE7Qafu5BI9FpLV1uuTQMDFuAA5t3mpjKKkTycwaLLxinKzbXPLLG3WN+w
Jg1GrGsr+vC951V8oFSx4bb9lqN9T4Sav2vVsheGdRIeyilqrW0zDD96e4z0GshKdmi4Dp60Zc73
Thj/6B0bnDbOByfxxaVIp+7DEE69589XZUbZomggDk5DN0aJYjwh87yrnCaoUybqqCvlubGBbKfC
fucAR6ptNgI/Y2EFBmvTwJut10Kx8k6lpxFRx1tq6LVGIzxX3TeeSBse61StfIUSN+uh0cyFRAZi
H2ScHAqi2uKxeG5kQnkpxnXSDBFILUdti5D8v8LZEaX9btSey6cHoVQy3pTquZt3TzTZBAK6yV0a
ElHtW9111DmlnpPE17h1XtIKNaWaSP+0cpN6EQ/7VlloyDEAbifMA2s3wW8yScu9n7B8Aa7FeJVp
DBU4mjZ2a26kvhm5YE8f3exs+OapHpOEj2P51KcovofyGPqtv2e3BCTbn8hS63s/6CureCa0aXr3
y+6YLhDWcxqOVVFPSIXzacdqkYienHXVIemI4ST0y8LOGJOd2UIHb5Yh+hllFvlcyvmg5X922MyN
yBxYNTdfijnXM56f6mBR+h5iJkMbRHRnQxLAjAgZddOkvL1r4+Qrx/4SkSK+6vuqfnUs3BeEWqFx
SgzP2Vh1nYLOwvLV1HN9thUTM9qGcDugN3gC3EyYl7lMd9XiTswybdkcpEx7pD8Thib2F4YqSoIZ
0ok3CuVZbYcA9m01+6umdpKXQUzuPc/ZxsaxOsuwPach8LEqNZl6HZbU9tBET+1727rGge0sIGsE
ekjUFvVZL2G7x2QNKy19Kuwq3qkqrXcawtYrmRN10Ah97R1A5eRAEJkGOSMwQqTuEfc8dTIc5TRG
OGPn9SOeqmG1UCfM+LsgXUPHPiw1S6VmHH+IapgYHegYJmHk3uUmfIVoiJEbpnlWExUQ8Z7tx8nx
ziqqBTIMJUkjEClfFzoMoeIyZkLViC/FqGvVYt28guudHtI2akA33+bhQF5GJqkovAD6vWWLyMhD
qcojepEJLGWShsnKCFuUceEM5n0k4OInuTykr2YOaEAqTQqqrA8K4ONBspgajLVioc+5MOfWnS/Q
cJ4HOZ9KkRqvoV3jEq5pPTatYUFDEgKquE2CGerFqkjPU0tJpsLa2g+jZZ5Im4NLVpTFgt13lgrL
HVm7AMCaPX/F2ZiwPc/08vYrpi1xsDpJIEpcUzqGbnseNQ1TaTgmBkOBdVVWzq5BKr9rMG57a0s2
1iYicgp8el2Iszl0gab4c8hGBvLIlOLsa2E/9YUdHfPZtp85+MtLL50YZVGDqMjUTbOz08JptpOJ
r5Usvnpa0/zXXH1qWc9ug64PMQ+TsGq24w9Pcl4g2RizF3bud70vSoaZY3lNm0qurcn9Dn3T+WWS
0RIHYBPCrzBPimfKkB+pLxD6ZfrB7ttn0gmGYLgNvPpl3HfLXG8zaufTNJk8roLBlyfLYT8ZS/lR
CyxSXk3CGeYUE9xnx1PEeDCI5my5QjhGpWvmCDNnRYTHkt1yCU2XAZ3EuVxUitiAtL73CJtY182E
RjXuXoYZHatp67fEahoIiCg/kOzI+6WLiMc12uanG6FVJG5WjTsH5Giz7l3kGLWgsYnC5zj2/YPn
38qdHp+R15+mJE058Kb0ONvqd0L5v3LSoiNcOQFNxZVdr4feAxibF1wmBNUTENZZ5Vku4RU2+1VG
xA3EypvW4Pix1nT2J544HkaROHdTQW2s08U5tZD/PwYZRZuw8n/6neXtZQ3igyrJXc9DThHmOzBi
izBPD9NgW3tuXVpj+5hQNb2kOSkItsXjVypMzf3kGXsauxEjcf7QJRLTJIspvK7d2aJQb70OC9fC
VJJw4aU9oNE37odbKCDvx3NcS74dSX2Bq6HHstUewBCkjPA1v3xeg4tzLsbSmGdAHTiLCc86Wl5E
U5xlPpMhmRHFNz1aNgrQUGMWVeNoHe0Q+jxa+BNpf08mH6KVKQCZDkDdpi5/rvL0fsY3irCodm+2
R6QkSwZ+aS163KTo67qtTYXDWcho1N10/sCZjAK8OvmV08VMAfDCVvNINqYlOZCxWNUvs2/IL/x5
TC0rvFgUFgtvL0laxDYNwUxgSUxLnSH841i86+I2vBKAuhznTnpAuaFnZATAiEg+yDb1t73rf8jU
wigQnT2m3TtXACfVs/PgUxeRtd2vNUCHpNCvc5++C7yIq7qtSRnG0GBkD2E7xMHCguVJYztZ2wjh
Hx2TlB0EZV0AQyp+FYhk95keKWmmtgrw7uDqtlTQxLW7UV5t7ArM2FH/MLFruosIR0KJtIwfBdK1
EANfTdndaWYvaJuAcwANtnqbvRgiN3ODPPgYDUAdJ2BsGH8rAPNI7XYemlS6FaoFXGCgBkOUV+Ua
5qfJyFGinmpwNKwUS/lXs4lvURp9LQ5wicpf5OzCB697uzrzj6bH0ptfOo8RVW7Y24rz7c6f81St
DZyQn0tGYcZ9OD4k4zIcorpETunrznwH6/G/qTuPHcuRLNv+S48fA0bSqAY9uVr6da0mhItwai2M
xq/vdTMTr+oVugpooNF4jQRyEukZEVcYj52999oGJYmFfZr5KD9PZT6ScjVDGiOHuLtwLsC3ovkv
f8euNX7FXs+9jqVBAImOfaszH7sS/BbbWzk8O9h0LqMx8TXWGW8CGpOKb+i6SjXJi4QxM6/t4JEy
x24fT9XMcYW//U0Jz3kaYjOGxEsa41xGTgXQcQIuxzSIfzty4KcvoZCS3pujQuGd8xNZY8n0kicw
5vT/GDwkl7j/kg03agnCtEjgK1e1xX9LX8cyyNT4mnrlF1k2Y0lQ74trOWUJTUKYRTTWV87Ah+A2
s7BaGCkrkW4Q/nG0+oSTouKf1UAnxlljuGKkFM4rNhu+S/yy6M6G7Xafdm4l3rKzwgqq5ejgC7Wr
zTxKd++HkXtGZZ1uBng2rMfQhFtX9Zs6yZ27wZWcaDEERAHNlXcPDqV9LaEFWIG6sSSNElw3XVQs
dvYI380ZyBzjH/XMNNmJqb13J4kMmYckscFGGJA90vzcG+70wGYt3jRVQdfmGJBvNpoCUGvmXnOC
9JdHK8+dMA6aofNZkUQa1zIXzaEz8uLJ6gPCs2xld96U25ecmoVu6YW+QoqmfdZuXKZKaS6FHZFe
ayew3ACkKUwpacT0P8pYRBsfwvctH/xmPRvBsK+syrqIMf4IOjZ62LSooRzU+CZrLJ+djJp1Jufb
AfvJyqqLYDGIGbh/bOml2xfzqtGvdULpr2gWtlXdoAhW/HxjPmFWx5iatdsg8efncowFrSaUegzp
oDDnmMTm8/Zglw63Dm9ud9wC401nU0A+1PBRvMF9pz8+1uTa6XUSRHvPqc/ya2IFdi+zEK5tWjry
EbFp3lClFN6pUiWbnlbKt5B2cYggzjILQnkp27Z4LhOeHVWG89gLguRuUIG9HR03Bw0cNER9UFHc
eUlMNsCeH47cOrI0fYwH0d97FoLP2iqSiPJgSyRHYlaMBJFPt3Fk80x28HaFsz2B88zMXeIMBDan
gAsaiTIUxD2NWEinV6f29UntcfFYe1fzbo0hYFGbjXgG3wN7Z+g025SRMsrZMFdposZ15dSP3MyY
UnrZbn2iSGfw7OOm0DABdGa9o7+FRwaR9JQzTVKiw4VGU2h8dLAlLseUaksaxccz2V/nBbbwuoiE
2qSJrXEC994uq+v2WM9mssmGTtzHyhq3iAysOfta0ZfF1NJs+1KFD/E4uTesK/mrpIiCXlPKI9K0
ecurKpkPpK7PZgg0G3UNMnw1exY2itqfT+U8eT9al0UOn9LmDojqNh2wcidLgGF8etilPkazHC72
UN8a0bwq2eYREezdvcw9iILCdapjVILiXTSCnCos23HY4EvNlnD1fhrQGiDEXCQVr7KH7xzrwKY3
8nBnR3BPCGrU1pZ+GvNIymeX0077kY3YeNbBaCiCJE6ZPPP+vpOFSLcwZqnQatHVCXCaXNumEA5w
9ypkGhPVTYi/KjMmOi9Z07HcQb8TKyltY8CNP0CrzVwkxZbObT1jQvabcnjrta1vU83zsW68dNHH
XAwg4hy98hoJqolIZGQ8FPN/o+Pkvm/oDSXq29kXqlqwM1dkmbJgkyg+v5AInszcyb5no0hwtLfe
NwpccHIG85AMqV0vuG/Tk+JD16E+JDHzZTsZ1auBIHupzAaieFmafCpMYyUyu35XAVbgxUSVjkVT
qMsqmJnhix0oNw+rsS8RzIw1xiCaz30Mcgj/074CwgYLZZLiGBUQMqaUaMloYCEue+MtbKf2PYiZ
N5ZuNYoj22eeNmMKdzhkWck1QSoM0spMd3h2IElVQ/PCYuiNLM6nmoKcx7jbPtlWnO+TBtzEgsdp
8mpy/ySsLZB1BiE04QvmdO4aHbcpMFmZz50FVgdpVjq1yjtf01AZlr576YvCW1t1rnZzmY0zgGS/
35hdVMkN5DA8GeoK1ucm2htLndvLPy44GWuJzey1dyhexCWTymSLEXXTzjesACnD8OGBTdZdJcV4
gntDSJDz6B6Th7Gc2fTTCztNt7kTSQCQffQa96X9RHFahtcB1wpqD6liw5Djthuu+3Fil+YNuGT2
TqItfASvnvLyNltVCenxhRfxJEhoFSsWI6VYC1NFq55C8pMYcugopYXJp5xdurcr30tXbuOWa9/r
flIz6Vd9FTYQ0VLsDG2Wz2vLNh89dvvLRJjB1uU0XaPvFicjt26dkcblDkALabvZu6EEtuK+P02f
Y2435GR85d9RZUL8D/BDcCMSs7hHpA0ecGJOtwjYV9tlXB4N7aKr0ah9SFuPzrkoyoelDaXiQWpU
Rm33rx176CsHhd56+xohx0nTbnmU4neh7Q9sd3GPBS87TcxcuzTo7JVU/jOZ5XjV0Y3HKOlP6VOD
X+dWjZMzLcQg0+epIZG7MPwZc1My1svans8tH4hlSVbTpu/b23dxto0LFR+cgvRwEfo+rBGac8Ls
ik8ufMLCutyzyxiXM11wfCMmdTBrjDNz2rLfbD2vWIbAT16xtOL6wGX8Yrj2vd+GT8EELDxuIzLk
Ibc4WqaBsysnXhVTehejE0JS6HfS9/j+BIE+kpRl85pP5Q2NhC1JuGwPIEHdlV7C3oBL1CnQhc4W
XJ7sc+0FGPYBKvsdwDehj1GEYOQbzqFsCkQb4UfDLg0n8Rq3DXECIslbR8riyaQVN1n0aNL7Mi0P
ZuUOR3YCeEKkM60S02qeyQvMZ58G3QXX5AbMH0I1pDYXjzh+JaDprso3mPPTHXg6bB1AS5awUeqN
IrtT8PjSpPnqCF02liK/45ge86skP615clQbNElxHKzxdw2ialt3kbMjMMVqD/d/fcO55ZB9tvUB
PwE+8CCaHsc+mm7giRHlHvz5Hotlvp6TkJVUYJb3DcPFveq1tY5gdr4BW6CpMR6m8TgVFJmT4vV/
3MkOn8cumwBVcyllIx02Gd/8mYrDxAleSPhowqsVW4O4MmiptegBL514nyqn2hexZ92ZiZvc2GXH
onyOqR0LlN3fshuIv3JqOiHT1XRU2SwisTuY7lG7nSTlribOs7ljazg5RwL9AWwIuEj4thL0BEcG
X00YyAODSvTFkpAZIr2uouwmvUu4hNNd0g5UIPav11XQiyCCEi2CSvRvANetZ7YbyRv+tPnCbsNe
R0ForOc2SH/HhjTvoaSjHIRV/ggVLF4jC3C9vyaS7aD2HhwBcCgeGooRaa6/HyPkczBeQPf6OM1+
KtMeH0oerwgzOrw0QePAlajzYlf0qaROKQwPQ2HbGxqyURUIq1Ndkmv1xprFPSNZ5Wsf8jmMUSW7
C4qBfCgGLuBGpbMHADqfaddCdGp5fg55eKBFjA4y22kvUTOZH045slbM+M4sSiqVeCYmBsagtsBi
M1t7KErAVFyD2swZuXhhqYH6k9KrN3PLIqNOAxCggWX+WKkfHnHo1CXJHxr9aCMc4luX4WCDGAck
r+J7qNqm4GPLVZ+rM9sC1CjrXlVwrdMgqNbEoOvHMkweeLoy8zjcpXn82ru28Dy0tDg7dlk+Pbkq
JijQwwiURt6jWTPWrpiRs5cgraGyNEYYv44EhdNrzkWxdmC/PeOr4YhKjGzjCVseO8udP8o6cbd+
jHrX9YW9DLhyLoOUMkvUHf3ANqzfOY53dfddd++1GLofzDV66VeR8zA35rynsBquq6UBjFtJcKgz
SlVGJHpiGBFEdFko1iedx15BuxSvYctL+FiiYBfTzZj0dzRK9jjj+nEzAAzb4CZj5owSY1si3Tx0
I/V10dg5OyHp5lx2vqkcLpV0vs2GC2O8ncunLOY1cGVnb5LcrfbVqMKbNh3aCwm2jAo//vwRNe/s
8j2gqGwff3PgGOcx1FTcurnhGwsnzzmD/g9esTRNrVyT6FWOCb72GrmrQigVYf6W0wCPhIJl+MnN
0T9ochhvxzJM37OgGyHiI7qwp8UMC0U050RKyz9JsP/ddvn/RUZ45rh/bYSHSPbxFX/k/5kX/s8f
/otY7v2SpmMFwgdCbQaODURX/e76f/+34MoeDyS+9v/reP/LCm8FvyQxEf5rC6czvmpaX/4yw1vu
L98nKMEyyjetwPft/4ob/o/fvf5bZguokSTqKzzrmiX5O/M5WkwTp7HAAAOts1+FpqLFo08qfenK
wn5SFb1/Nb3j2UrZzVwsOAXLR/om9bqNc/Ob71CQnnSlTHOd9UShDMtFM2xNhZu78k0YaQqPYL3E
gMqV1RpAGeBQNOO9A5NBXSaZE82mU0A9d66d3WvK5SjSywJ3dI640/wz8ZyMIBy8QMm1DqxJij+c
5EdfBRtntgMMlOYoLljDO7EKPVedAyDfe6U8vR24vR/nyIBhG+fWNRg87ZzJCw6g+emnsFgW2nkV
LXlY9M9BahDMVqzC2oEuYvQOnmw4n6yFiZdo400efQ6c44tKzoCeVDDrne+2QEoWDB8j97jKhFoN
Js4pTp7EGlJ7fkVThOfpQ3fFMuRRda3hlcK4zzIX4xOVzJdCd/YtpLfooVEavb2FSJHUDiG+ebj2
Lpr0eARY2+Az+hcH3/1LadT2arR9CnZZ20OOLrFDCN2vIQLrW1/RzIepcP4w+d+/A9duV1Oessc0
Q/4IjG5LRfUxHjsxJB8dbt8TbMKQ2tCCVRtOqds+jKx70bv5M4II++fOgQw6s3ygNacRw7nuAvc2
GaHwzZipzgy85c7kI3NpOMcfaH758io53Vdx0+J/HoabQOYZ6BbNnH9bVnGX3vqRbsenXMv6FQNZ
NSz8DDj4NpAjAyeqkrXycrPDC9SHhbxCMolYc8kPo4MyrxUbQozFe83tzjxMvFns6z0/iqHs1Nwu
Yy40ycGLsplcajR/NJWZeOvaaGvSknM+nueRv/YStHiyQb4wvbUXTWColGjyQ6Iaw1oiBccC76OR
3asSRYtAIOLbWrQZvtIs57FP+WIKQFjCaOm25RUoS+w7A+yG3yS6KfooOLik52mVlH54V9bt/AqD
Qv4eGDJ3cdrB3dQ24T4byxK+otTiqesP5a7WwWwd4NT5Ex5fs3x2nTQ7014ub+LQHe4jnsOvAxaQ
x6SQxqZpw+geLwlXPVu05cM8NNmjOdNd7DcJtPCZPRmoQTUeSTFTuuT4nXeKM1TZ647HWWNzrDAy
KIpepZtaq7xPvFcdqp+xHoxro1ZnpSvMopSKZ3p6b23N4BBO8DsXXekXH52IxwezzuVrOKHhUSxN
AG+hTThOy9Ev7PfCUiYXJDRmi1G2mR5N8s+n1EVUh4NLMHoxU5q7k6lgx8OIzExHE+6wgfnsfrFx
JM9sDD0J+GnGt0ekBV6knHr9LvzWuFGiLmziyiENYoXo43tDps1ZDp5i3LDGb1G0c7IUfee/EIql
+2muY7SYxBLRqzUoHbLonUB48+EAHNB7wnrz2Yw91JNon9ALHNZvMoR3q7FSH40aahtwmqIbVkKP
E7ansMFs7pqdRquRKv7UrIFgSwMRe2motqR8PPO6mVAdOTqqevj2QYX0POr5Enc4xCkSyJY5zRsh
ag/ewuzNbueQwXiiTjq+pana/6wms3/wR6fO15XHvMwbF41qCdUAVB+ZjUbS7F26p3mszX0BIUVv
uFoX1+a8AsW1F4lx0USFWE8JVjXYLnLjh6Uys3UHVzcnxiEcPrGs/yDxsJiZY9v+jIxOdxtLjh5Y
U4TgbFklTfRaTtxqNxlLYDShACEmLqK8WWPXKM1Vk3gTGM4xG9GssubZLNIZ4EIJmTw3BDex61Z2
HZBwgpFgdLhUsngG79emwYXhNLhvY6u8Ub3J4tztWuh+tmuvW4H4So11ERD4xqSGIyIM0o9WGozw
eMmohEeMvbYQ5twgyilHiimxaHFnxVjZlonTIXvgEEKXy3priQLgVcBgWXatEn8cPlNV42lOpwRp
uym1i/U2TNqbVk/aXGqq+RYwQPVdScHte9ZUTrEbrp32t2M2xbtxtpwPqM9esh503t/4MAPe6snq
XofG7n4m0hvFyoCw1AAnS6NnrXLO2WzEclq06GukkQ3HOEUw5Ihx1AYm+ig1cHXZ8VM7utYBAELf
HjJKYNNtMBgjKkfrK/BDcXtBNRxJvDTzPV4PJvYxKkOwuWJ6aC3JVGlSUL4HNeVGG3Oy833kKlKh
88AHaGnRdeddhpmw1ZqAvt7SIW5/wPZq90MjqhtwSPwfA4/dimwlZWQo5jz1YxzIXLsaY7o1WlUs
EAbUF6bq/juqc+5TQ+oXLTMoz+eF5uv5oSKfajBQUh7JCZf9d2lYbNYc5fFkTvVzpNAmAYYZQbII
gjrFS1LHCnr3mF1lD75fehmNs02TPZaldB76R+nkqUlrz1QxDlCUAJ/HYNtvmrI5+yxctnmDaWjw
h+mVcEGYXQqjQOoM2uvZVCcCsycnpH1s+qkvbmtuVsicpkHOfmqAlJTCQ5bLiY6vdR2DJuSxApvl
SqZnVdlHX3N7FWR9H3+c30zztAiKKLu2zfktOi1kPPqyQ60PKh+NaO9D7Y3Xoaz0ex0wOQh8Lk8T
l8jf9IT4e2EE5YvjZPFzUI4DG0FLqK0SV0ybKfutCwJwr1GEcQyWww9Zem3BOpEpcmsOfWdJu4O5
z2NbrzUxgWUKe+CWUQpT4OTrpQkUgK6oyHO+pAcdcAHIwHn0xnY+zFLY+6lX5M3HSYubXEVyBVSV
XuNYYfoezBGaXzXXFpge7Om24SQT3/EWx7WqycwgFTSfM2U6WFmB6S7zTE6PFZDU/STmjtPFm71z
wrELnCgXzoFztHmxXKA6YOLHrXYo9FuwmCsvFWYO2pOgjewmM+ypbIfaXbjmDOrbH++mzna2daPq
HaBq/F34yeUphki7y9zEfSOWwcfTVsW8DWczO+GGq37HXYHx+crC4E7pOvFZ4wF9qhRtVyqcxh5H
Qqe2Y5bThdi0ZAnxhcaLHJ0zW1wJNTspZXAa3EgfQIjk7zoa04cARtSSI7PbGdfYpYV15RAA24HV
WfGQ+J+NHv9/mCqmFIlc9z9PFS+S+KP9+xjynz/wV5jY/2ULm4i4Z4k/0sREyP+8QPn2L5RMz3KJ
Bzs2wf+/hYkt75djCbxyJt4X13KDv8WJLfmLn4DoZgu2ZJyK/6U8se/+Y4zXoprTxuNL3bAEZOX8
Y4J9dPOOyJ+9rUNTPqaRnFfwOcrDhL9lhV9v2I5N8RZnHNST5ftvCdCaEw6tgS0E/5JbkLruOa5k
9pLGMeUl4+yeTRp+wv009zHeTIs6KWBbrvtizQoBQJW5e6IijlBs1uO/ygLtgiob5xf6saofeGX9
SzzjRFpI2+ovrsehzTI0pxZRGEvZVNkGWyTTZjta90OnmqPsyuqgoXrW0Gf7fTSieFB8Z1w3ubMl
j3Xfpcc0D2w6IHxZPmYJRLV9lkjjKFJ+o6UjU0bL2GW+jp0ifJqqtNkWjuEc3aAa35ukRhtMDT9L
lo2nk2cwFuIpBM2Ld8KmQDG1KyyShD5wxAKUsb6DCPoZsbOiOsCviTaEpek4tdKW2oBuSE6iSD0G
oCpgZQ2fDZyua7d3Rl1BmQCFre8CKqg2Y+GV59KXTCYwqOGMW/QNsDPt9fCDQcG4Dwkjg46E5/dR
mw5Uu9hA+yEtoJubGHQfIhQP8noT0u0FOzPGOd/NWu9ddqIo+fgjcQuzTMbdb6Oqe9XJdjpnn5om
yh0sL3tToNntrMHhNJzsn7i/xgfdGG8ZYVHZ7lIjQ43gIBxIe/aCdzcewMrSCYoG17GFRDEtvbXu
Rb3pPJOdZSW8zUif8rfu8wQuYweudsA8/1XzkHgDqeMe0FSioxN31R2uf+tJ4Vo/ZwDsoPNo4Rkb
p6ZLeT1husQpynSCbp66zgG5gmrdbApYpVIgRlAcX5ZTUdmsx9I7MTmqg9P34m52au9op4Zamy7p
McaZ/LEonf5BCkmLaEVL3l0yG8RhfKz+FAE4SMCCUNilJmmWLLzM789O69snp8G9KszraBCGRAGG
buZGVCpeUr910fZNI2ANHA3KZjkwTqeQzH4h5vAdflh2MDIp3zxUiKNn6HwXWa3Fy1RRYszKuBIL
xwM7uKjHhitQ2V0JdRnX/RjjBQ+pjclztFz43WzvOwJhLIXdzlonemzvIU/NG1+na6ESY+XUzXtN
gpF8fgW1ux+N5+YKaG6D6iCma5/3EFYrR8tLn+FR8pxgUwS4X8JWvoQx4+tgdRvqp66QMi+Gn+0r
dNnmi3hdA225fWjg+gUJXP7QztZ5AN+9rolSzlJR5okJgkDD0rw2OdmWi73NHQoAild+oOtdWYLK
srJy1RAgIeMFhrWvunkLacjrFxLf+aF1m6USNo4YWcQkXua+OOEfcNd8DcenMpDl2RAx13yiUttc
9sNw17tEYxfRH3DEWRixWrBO8d8Z8zKEVL83sOH0UfyFZwmKGKcJt7RKzH1wuFJX4q098OLgUstZ
wqBg84fkhzC3V39QGyf2Awa5pp4SY+V72XdilwOTR2psrrgAPhb9tDULR27FKMUa54W5N1sMiqMi
CFZEJHIX3HjCJ4+XluLI0V+o2sk20NOZQgktoPmKHL9GmfbDRqdXQo+TiAc/bed3n3sN+OoErG4B
6n9ve2F2y8ARbkRaJT81d9YeU5aD+WPuhd4o1Io1JANgWLPl8YW3x+Gt5oK9azJXEdmhxWOnw6TZ
DBVlsIui86xzS7caPcFBsiN+0r7SZgEms9XYg0MVbYoaylUuy/GB0qT21ciH7OAVjW5oI8U91g0N
Lhhco7cpTGTqLdAkPiO8TwgYwW6OnCO6gD71FH28tlbUoXxNu2HOjAcAZtfWXJ+NGte2i9uJ+cJs
R2duWdq3TXmqk35PwaYGDgEmAmjF+BQE9rjpSB9b1Jx7rHyy2rgRXSnqo82n6aLqNj9hAE5H9gKB
eZAqfwuDoH/zjCx7bpKhOvMyZ3dFNsv3Hr93RjJBTFiC8VRfohjDcjxqarStaO5IYhA6VWT1lh0J
AmI0M33EKhzoBgqGI4OYZJEzOg2MuPnYGoyMaAW8dbPK8k0+F3QEz73VLgnrZS8+YWmG9am/AIqx
D15OmxtaCtM2pcHpd5PFpIvGgTepYIqlZSDiU3b9vb0ksW97+ss2QBX0zjJr9wvMrd5S+MzRh6FN
L+0yp0gcuZO6EYlodPJQya8mZjh9isd93TYbE4rEBqMgldFBRyFOD2BrywI327MmjLahjOtlQgnT
C0P8/EQo0zrNNrbohUmk8FBLpOhlGdvmPhL2N+HAbCVMlX06MEYzOMRp/TRhDwVwyOhBk0nTeqep
9uH8+Z32Fx1nK+GZD7sjH0NokBoe2UYXG+0QoyqMKxReFWTvivMUJGosbGOto7K6Q2+gxkA1yfxY
0e6G16EqhoOAokiIPRufptT8bgdCmdsk7Az0dgxWXtBFv72hjzaly+5xoS1cIbpjXqY+lWoiquus
Z+Rt9YiMoz7YCyUcuhZtN2z5RCkXXurUT55O89+5ncPFsCuSYXGSLuqiN9/YiVjurk0xWfRNjUGV
Q3SKgB4A/UsPM3aG1yCMPq8pHb5a/rEhjbQuLGIbXLZ2JRtIMfM+s4hRB3q+bnC5NiyNSVD5g5oR
emttPWQtX5Idm0PnCG7ffRiRwRdGN1iUjQQ9HJSUoQOPRfdZp3CQNcsq0uLt3rqC4Ru4J9yJIAis
8iTNV6VjqbuIgk3mPcGjFfzepuaZ8lTpKt/QCVMt/dJsb4ExT09ZPRvQdANnkeUlVOwux7VZOcYj
EaP1JOmIaIXl31FxVdy0JGBAZSXpi6m1tR/bYlizfq+/S9YrONq7ch0xbu0mrwxeXZsu+tB0q++x
oyIZkVxdC+td/dBe43OQbhhMrG4nIxGf4gpyVzbGlD+VrKcmpO8fD4PVsg6dC50bybEg13ygXsH8
1KX+wyHps9iaRjbVCz0ayTEvwkgySWbTTxgKdZqxVCU0HBnuDc5/DhJk7M9ibC2CQJ0PZ9Dot6pQ
ya2rmaPMKAw2Xm/i2069+gx+BUEt4RLJkpr27G76Lty5u03q5mbw7Z5kTd2ttEkJht9Tm0LwMDth
ZAcCPagTQ2eySoNSAsuzSInVHOuVMCSm3WwL2YvKmPgzkPq7NoMLeZtuU1Q9REsZJd59VdeEYppa
mJu4MY6cicVAwoHodtFwri4qPdGqKNQATowinfnoub3agD8x7n02CeJN1bPvHcawg8jh1gHvfZXL
H4asivoAFlTPPKSa7aTw33kOUOLDXLAoX7R+FnzjDDdNhFqeRp0cCWbkjreS8zCfRWecaah27hkm
9SEN0PFt0ZFxaJOAae6alfGLNNFLmr26cKHwCz/mmRntig6xkVVYuFJ9erSd2r3hROjXThMVJzey
xnZRABJ5JZhln6zCAIHDnDnftL2PoaIWjfeWM1k/VK3Vnvi+OgOzF1jEttHjXQa6UOG3x/wsDRMx
unbL2VqzpBcrBG4TqYEo78MMWoZYHKCNNwy8xcnuMozb5OWcG5viAqDdVHstGFYLyvgitwIV3zvu
Emwq1emdQ/vnMmvaaF5Hs2D9loV1/EI3nHls6xqkcCykAZ6SEQMYzB68eXEzCse9QpKLszW63h1l
f9JmAKNkZZmSwvj2dWJ+RvXgEy7PvDdMvMMeeQ1/GhZT4oVFFGcxxqhwmEj+0u67KoepxBSOFRF2
hvIfOzbfUJ6J1a0nJJ2F19N4JBtnG5BzX+HgxZVkYLAAkh+2W06tD9RjGuitgYYaX8bb3EfPmBKq
Lazo1mqcn8Yco11YVsZ+ouJumWEAEnV8pTvczPCTF6NbF6scSs6DUK2B24zCttDJYZ6L0F7mMtvS
rLdnTiDUJod5qapNWTEb8ic5gGf6EaR2Vklk7Cx3QnTLGLi5IlOeBTyKTvr4JWjBxaI7P/YxFmfK
rp5oH/MWXAfx3af9hdt5SdLbP9sWNRYFqUk7IXDDZeTTCO1T5qQrtqtspoKEZ4OI3vsKoChr84XT
tdaqHzx3NQOEB3od93uP5c26uKoBDshDUIGFDQqClCH9Q/w5R7AcbqCoB8jbTZFbK5FPH8VIc9UQ
73r8qCtaRy4zlp1bZRcV3ThiBmY0g8i3wwATVGCSQNQti7/Asg9p2UX3Ye1nWxnioomacVgjXg14
CpOrzaAGxjTDymEoNTR1F8Dr73TomOESQKG2MdsMtEB6ed+eXKz6CfF0Xl+f4rNtRocEWqIcd9Lw
wufBtIbXDkx+uoxjhK5FSqPfceq0V6/QIMY7NrdFvHajOnjOZTF9YPcMj507K4fWOBjPKnNeI1VD
OekNJwB3M3PBIaRrJvduHbE8RyyZd0gS04IHh3iB8Z0/9JCv1cJopSu2RpZ3B8DnPTOo37UceWP9
ImX/YGs+iqL3H/s+c44cMBmI6trfTXnzAQ7JXmBfctc9pZxEHgJyrGL8bekhppEJpvlNNNj+jjsW
rUqxqPM37fvu1UrRpAswyOM736xkmTh10izghG/pNnO3k+ZR7QAT2VtxEJHUs6Zd77MlWPixGayB
7ddHM+LM5xQS6jlysvytymk4Stx+KOE0d96Tz+ByLc8r8gnOBenL/9nF2v9D/vtfZGUwWTNAQ/3n
67cdJY3/zMrw1w//uYrzgl+CanUbu4AlfSGvrMA/V3Ge8+sK3wS2i0XH9ILrr/xlZrDtXxZCDIs6
cHcWQxxbur/MDLb4ZaNCsIpzTcf745f+AeX3r9B+qECYFv5mZvAku0AzMPECsfQDziWvfcV/Z2qw
YFvXXC0galH2sEq8DhxeF1BIgILRfMnebtepiGkfbBx/6xrIGIUM+5Wn0nBPItP6Fth2dhmD1ApC
zWVAgN9KRN93kuzEymaXnTiY6OarYR3DDNSgMClkX/KG071/hZxXQxmhuCd9+00lo95OcefdMzwm
as1XSX6FhAbpVpJuvBmNYqOD4UxsPMeLTZhhUG6/b+aIZCioFo1yuUnqAA4Xc1wdRMMrGejgOzPc
wV7EsaZ80AiHjV2aNJDkaT59R4kM3yFsDQf28NbKoWpmO0Mb2bG51FssieW2m5phFVk56ZvEv7D9
UmtNVn5XxcCVGz24C9VQq5KwiLlVtD+sg3SKTSjQria6U9KZOodJ/TQCbvidgKo998KwD40/PM6d
CFhQdv6t7TVw+i1nTHhVq9BeUD/W1QR329Zbh3EH0knT3US6SE9Lnh3ZK0BZcbD9qT+UmfUFshlw
VpYkpyQml5x4fveQY+HHC9oRGOJQcRZR5iWfsQcLDzo8twH04VOEYfOTwl5S+FPnGD+jdvtzof3x
tUJnP/OG8/d0+nERNmRAHCFvqDmHUuf5rIeY2fM1p9/PJJlUXDcmTJgzFB6ajOqyNre/mGKRFmbK
ulCpGYr5wEteKKN8kIWVcjflcRT7g3gla0muys2bXUDIaFUzIJ3tOO52tZU0+GkC/urRFbMS9c5i
HJ3xP8g7k97IkWxL/5WH3jNhHIxGLnrjTp9d8xCSNoSGEOd55q9/H6PyvY5QVkV2LRroRgOJSmQp
FO5OJ82u3XvOd4hHIuLhJDX/0anhgUh0xChaSRboG3pWLZPZ53Eqk31nOADqLJUtNDvMU7VDYwbH
Pl4zg4ws5TdI7hW5T4NdbzIZfuec6PurKC/lpc5chxEfKvHUF+eyFdl5KGb3g95S8DCCn0eyY2aP
E8GBRwfNwf0Abwy3PtmgZ6cnjWgohXHTVMx82CU1nP2Fhe/Pqrvyo0HfSCwu88suKLddGRuXswnT
JB7skT5qyojFNrhrI4DkD6lyjcoD+zhvtYxr5sa68LQ6715mIolOGpqLW/hAzAnZs7YME+uVOXKY
txbUCttcOSn1mJSoZZOM+X+t0eusp0WuQAgTbrf8QQdQeckwC/OapI2wET4uBbKM4uAS+0Bwbc66
5bWMuznTsOuS9zdA6W9MMj5JWSSOEUPAWgFienc4C7rsklq1B4JobXEPOHgnF6x88d7o4xHwQrzW
xOAZotW2dTFcZD1EAIcyFtWifc/ZgjDF3DiUnDdBDIe29jckUWUxAPll2dPp+qAXs0xJz44V+Muy
N2ktHcUkIFBVBhwlspXKEvNOc8YXQqHjH7qKtQQ0eVZ1B15Q44PC1xpLLkldYsPUAlnrGzmHaG/J
Pxx3sbGka8Vp/z0xuwVAPk4HVQ0IMNJDZc7VuDa6+sVp2m2BtHonc8S9qeGskyR6r6qxWHOBMwgT
DmZCQQhpOqXdwggLjwYyUzSdSY+Vqga2mfe1aROWLFoM5Ymx9gcIUr0NhEC6Y3aNoMN9KWg5vky9
6LcMCvM3IzO7SxnQoE8DEAnhoGe7oh3UU0Gs0sHOTP96yqL+lv9U23ruoqdYN2Fz9aTz0rVyNnNG
kOXQlfOusAfOQjjGDkFIS3M1gILcBq0R3E2pFverYaY1ztseFtFQuE1IoN/VA4DvhJ1mk5oJjdqQ
hWJTN3792KL/wwTllo+xCUOnSnPr0yY4xYvaJDmhNm+QZsj4VJIMaq9R2MhHrZXGlTs72p3ZDAYG
EDdggXVE8R110PhIuqr9KFWRX0PUrK8dPItHMWf63tSt8OxXoibczEJQ4HhtHzoe5MQWH0AztnjG
9PHGGIbhZhyy5BI3JPMmlHsRth3QDOlELmY8VfVdZ6TuWhikFUDQNN4squr7gqm1u/bTh7CNQem1
s2RiS+hs9pKJcriYmSqd57qF8hM24ykPHPuc4bemd5tGZyVhmOIKcMxtTUY7+JHMCdei7suzKgf/
qtGG8sZWOP+ovoOJTEeOK5IG26auhw4b0pxcd0NYXNiMv7wQre9ycC2PeJEwTC+PUlr57NnqAKWB
CVB+hVH9jqb5qkJjQUridDE2NtEsjiInjLVyTcoumDEeXHKZra2/PMxmoIdIfDXt01ke83554NMa
FuxQGyuLE9yKYlvu5h+rQ/djpbCWRaNblo96WUgcRCsMjiNj3rRtKFok5Cw6tIHzh3FZiFBijMd8
KFh4SgNnYO73IHWGiWUNuPBtTwLwaRZ69yKRzntFqgiR0GqDedGyOsbLQon3yuR4pjNJQL08XlZB
Eml7ZcyU3+2PdVi4JfJhV5taQuv1St1PopBXDbos38O/6n5EdQjO0in0RO4apFNHrS+ZkCybRYe/
3KPfxTaSl4HzNpSxZL3knjZZrKPyhNAdoH0JgWZfEGu387GnR179Y1+bBc2HAON8SBss6oFXVQrv
a8NXpH5sndOyiyL+YRrJvur82GHploPR6JT0wmXzFdRQvhtWawCf9BP91HFQEXXjKUt1YFauNh58
yYQKQ0VGt7UM0Q9k8SHuOqNF5RFCsu1da52PBaksbpqQsEUEysFsi/YiDjLjW1jARW1pM9+SguVn
q7oJkTaFtfu9Qt1wPaaDfO/Trr+Omil6ICy0vSNNZmy8QHTqwHSDyAYfQAdHYCu6Qq47MF+BVHNp
a2a3r8EOXVDY0LobLIOzJQWuvM6QjpCgVGaXbdcjbSkHVb9xsn4Sdgnyl0NnuEY2IWGyOPoOHU94
rwI+eEzpfKi1EvtVyKDnPnDp8OIRJxzRTCztWs6FeVAYae+yuLCvR9eR60hxlNOBk96XiNqJcBLw
OU0tAh2VwSnDj9s78Pj0kkwDd4ybC5ss3Y3dDy74pki8QaHt3s0iL7nGzDBonvKgbYdhZk5j2wHN
qoDezbdJRcgAY674OsVOcaTbBS6+djQ0EP2wB4MzHmOlQZqzoprkpMoOmNhp4lkfnes5aMd7pki0
QAoNvw8mgiP+E0zMg+XYN+FkJC+xCXBkXqb1K7PO2rdAAm0pu7bZCGURM1Ak/o4/8iYicvOWbtKm
zXL7ZJQuN7+mWgRylYhuNGDyDGcIMl7h7EcyPEy2db1geYlAZ0Rt0wouiBAu4vm7MDSyrAhGxnKD
5krzmIhyzI9QHErTEE9Fk1jHfmo6cNV0vgJddRuSVzkAE95+UEa4iKQWM65D1brB2w/12LWP5GN8
0nF/m0bIHWxgKacEv8gP0GAcnnYaY6s8roJbesXTjpWH6tJPxCMaNHrDRfaoW6XxZFV6t++7tPwG
+C/+5jei/s6cn7mdFsNxaecXZm6Ppg2fbxXH0j5Iq7gw7OEqdoH/js3YrTsgPBsMvgi3/ZQ58EaA
HDbXnQvrmmaaVR4cu2Xf9cHMIm4x93NbxhsdV+RzpHGfCuLXT+OgdR5B0f47jWFrF9hOPEAxWmrb
OV8E3iPNpzG0Prou9NHwVtrWplt+JhYsOtFtJ4O9y7XiFo+KcR9SxI9rklnb7z1Bv5Cqk8Y551XO
atMHZnyH+RC827xY/mJM3VsFTWtXF6akPixhQmu+tCMPTZXN3wphLI16eKuqrI8EoYMFdBo+e58u
ua4OeeBQzhZmRfmDI43ClJr8KrGbcA/rd96A4GrQa8wjpweTdoiWTIfRdQ38aLw+oaXqKUMXHdEC
nNwL6NETM3Pc8qbeqZewivQdkLN45QO87OCoTjy19SQI/sjDmNlt0eCXa55dv7uYlfhc8P4IzXz9
lcmxunIrHPuqvG+wfQSIjtrm1gjqKcPoRwZobM48BqHzmLU5lWXH3k4ogu4NfT3sHFHBXAzNcScW
5ibEAvGIMQzgHJ6RkLEbzvCoQM8fWEZ5Uyo/Y6YnXO7vNHfae87o871ddqTVJQIrjK7kmf5qSbQ9
n/maEEjjgn46I5EFCGBagYE5PGptD3KEk+9c5Wp3qGDMa1PPh08refMb7McD4utlthfaEGsma19H
CWWRll9k4EwsUQFUbVJ4tXka74AaVqwiJHDLsdG8TH4AQ03jLTqqlrbWhH0T7aHulb1/RqI2X1IQ
nloDE4vonpzkpZhvpxBKMtx3NJtG/BnL4DJJspwWXSlulPSrZ+4vNi8Cca4GRDCnNMzLJ9H3DIei
lKM45lINJz5P9PMsm+GBYA7z2ReJ/GbHzMlb0ViHRhPxkZ0gPNupj6Y6jJeQmBR6ntZQVMTBoa1j
BpMqAgc1duFNFJf2LZy/aSHxzxgug+xQz5a/nmOSIFWeyBQCGS419lM1PnUseesyx2C2LoQR7uEe
ZjAuJwKh8fUi+XPHO1Kdyx1pigBWmSBtR5hNe2tJp4xCKllEgNOmj/RxTw0p6G4Wjm3hoxb+tUzz
8gCOftziMrU2CbSuhzqi8gMWIdEsdBV949rdB2lKrm8RTTp5lgL0p8xoAAZ0a3u67U9VPy0DzTEg
2TvKgHaziBJ+ps3bftlwMcxVO11PHlB/lsfEarod/XoKMrS9W8B7HHwt27pHptFs5q4s6MwiOFk1
E6A5+oTKwMWgDfaaXixPYJILFuwZvMna7niyeCvFunUzfqNvMyjxPmltZMI1a81aiFZBbu7DhBXC
N7PGa1rEuxoek31uMGBo8eytdCeB9Boz5vGGoRrWQQKIsUv8k6H7/kWORx4p7ZukOxEnS64yvxH6
pzrzEQklTJW7InxqM0AJoRogIct5OtLmyj3Kh1sOp4sccODakuezsjU/uwiZZayzoVceh+V5E40S
9C/ADQ6oTpKeQkcqLoGvH4a60D/mrielzGjyz9BHV2APTnRwzElbY5HTy5Xpt8Uxh+DxYaRF8pxH
Vp2iXDT8W5ggLoomO73mrELoJoQFkgNt2ivSbszHGA/1GqZR+ZwxGFzj8y5OCF5izn8lknpkX3th
RunO6uvqnGPl3CPRX5cYgvG0K1yEljtj9I71HU+Y+dByXLtuNYZQea/qTZTRAAhdwr8Eo+U2Tk6F
IY9js58crmeXu88N8+y4Cp1bgqfdXTyo+NEWqXWokjQ9q6hxiPvSJOhwsBumPXSr/yMt3v+Xmrf0
UsnZ+tfN2/Nr0oSvH8P37+XPCsqlB8vv/dm3tf7QDROBlbJN3TFpFfx339ago6sLWxCcxHTLWXoL
f/Ztdf0PJSSxK6ayTNBWFn/dn31bBwWlrhv8xDWUwajh35JQLg64n/oXtku2C8o1JXSEnA4m+0Vh
+VPbVhaDH9Zke+LCAiWeNTsK7fQcZPULvB7GtUp4HB3yVUzArI+pm5tZPNKhEuei6Z/MIX7uyvrS
ruel39p3+7Zqr0nG4xm19cgrOiJOKyYL61qmT62zMAXc5AkBn+f205FgIoNI3AUUDVfSGOKrn76N
6390n//jp8CZX3vSPz6cY5q6FPj3ybWxvnw4YAwhuLPCYkQeezponMT/xCd/Ley/C8H6+koW36S0
ge2gedURhGAa/PkyBlqtq572ikcGPMBvWDtoVqa28HSCD37/oRYv5E9fGW0my1aWvvwL3a1lG19S
dCY7GjINy5QH2Ptd+ZWiXZbDo2DhrV394Pe461K7R85SkRWietjuwrZA2QRVSC7hQHJBV+6siKEz
h508zy40acyelPUTmv5TYatXI/Qspth0sYu3eswm2AUhiTF5dZ6soF5x7BwQxIsj7aDmYHK0W5Pm
OOIligiD8KdXu5+fqyp6MSsFqT1BofH7a6B/Ff7y4XFhIvi1SXKQuvGl7eaDD+8nE1l74Ti7kM1R
z8ZqXYZgkwrq4eKpzOxXzcFygbQOzjfJlX32kWrh99+/kR8v9PPYw7aUTg/QVAJEt4Ny4NcvfgpJ
As8CSfpwS9MawN0EfkQ9OUGzzOXTd9RlJwvoCD3jU90h+ZHTDVBXtQMcl5KuYNyg1rtbDiGjrHZW
oF7nOHjJJhQKqbz9mze75PD9/GYV0msWIU7EQiGENL/cpTnsWS1px3AjBEmokn1OieHe6sVdpdkX
ZQvGhUTg2AXky1gxqsSjFhIY3jHXD0FB1TP9QR1oFtvTek5DdL90qktmz79/n3/5dnmfWGwNqiYe
JUZeyxPw86IUVArXmdI8YuDvkFxV2yHLBnpM49UguxNhkExF4gFfvt1aK4RFL301E+EA1QmjzO/f
zHJNvlyzn9+L8yXbkNaBnmJlQn9KMMZI0lPC0BsxwAo92a7525f7sSZ9fT1bcDdZfFPI7r/cUArv
jDPTpvcwCcFmJaoD+Q2AsWzgrrDuSKoloIGgZq8vNMAjmULdE04HS4QvaqKai9E1bIIBL1ru5k8L
BylokMTGzT3x3cmJJjjYd98d6cVFN24mOq8FbKSZ89lp8fnFpGCvCEnBVAt8inAIfYMi6uS4DMmh
9mYby6rOaaUFW38i06d0AVK0iHIgRFUzpSO6eIPQnE1rzte//yJ+XWJxSnNT2NhpbfYq8inY9365
KZD9pAD5+CLm2drMVgB26XKMHSLiL37/QsZfHxMlbIajgpkq+6/8sm3ImXEk9kaQFbGCwpV8z6VO
lY+EGdmF2XluE36Lx+HOqggs76ZbczKefScjqbLxX2rfWUNTIil2XuUi2depgRSgvhiLdPf792n9
9db89X0us4mfHhPhuyowSsSK/mwvUUAw91W8Rvnw5LNBow7pobqWfcSBMASZOuYX9QhKyymJC5rh
fhXDrF3CSECOPlbm3oyj/oLA1Ay485DsZe74u6CyreNs18ljN2Bqwop12ReMaqyyQ9vdYvDTDByJ
ucsL26KfPFQtKTM+y1hhD0PKW4E9Z57bkY5TfBvb+NUPl0FuOUwvoLYfjdlBr0Ll8JmVPcwIPyBV
uquCU24XM57H9PH31+yvNxHVDqdkSiud/5VfnuakdSk3zNz1Aukzj4Jd3vbryCTbszS2v3+pH5GP
vz7JP2oOZUqDuTwWmV+/njEWFabhAuuVMZvHrpu/MVQzT2U9BY9MTiwAsNgR8umiCT4DxVGgIIp2
ZbhssEMLU3CedJsvRdbXujv9zZtbXvvLezNNyVOLWoCn6WvZl8Y9Cm/mZ16cpccp2Cqpnebq4W+u
wNdKZVEdCJdFTPEauqG+XIHaSIIOi06wienEI7Yc9xM8SM+XjMajkLgWAomGoCxf00o+xMN0I8H0
xgKLtrJytENzVjImi3KCd8ZrTvDhOdXwitU4Qv6moPhn79QmFFEutwVChi+LSxubfkrUhu85dsGq
EmXbHrUf/YQQmz9GbztUWxK3Tw7t799fJCr5X78JJtyG7di2kuzK8utiQ1u9nYug8D0Oto/+oFhi
SGFwC3Raxi0glXWUVX/zkvo/e01bR/MBAoN9Rn75XtxsApqfSMa/lb/LDBAszBzGY2kp0zMiSvus
ew+RIoMVfY0j+9WYDYR62huRlsE61Iri0hnzz1iZB71Q6yi+//0lsf6yAGNNob6jwF0UKjxFX54c
rdJpzbSax5nVi+IaCZ6/9WMeF5AtUK+SGdUGN9EwGjShwmM32y9NURNpZfvPNQOGFZ2fW2PoP3F1
bTPI+kGPelxLokVXscPrylZV0EMqi3ds1g5pgcG2DzQXBC3e8NIajnFiorBiHjFhvN8msvk+ZeK+
m6xneG1eM+XbHmqEFaDh6OFH/M03pH49lrHZOYbNsWVBjfDsgAr69QrkEZ0/iB3Ka3p1b2TyZnaK
vcqhgZcldvTUbesNbvULErLxivv8PwUoSBIRm00bNLdtPdxaNX5VouKddZRYSMhqNniFJCwTT4ox
gZe5zQAWsj4HzaKZnFi8K+wR9WDryxAbSrg1eOjnX5kf5VC/nLvedJ9BQVzogeklKSOTmN0gnoga
FIxgUNB+EMheep1RYQGKPMz6a11kV2k6nsc4PidpIlf0S1/7tvU0E5l8TDZT29oXhZbsKs4gmxGh
KBQO/D9WbhobeGtkDJCRBpqY1lI2IkdOEENazZpcPWK8BQhjWb7D7r4qUlIcEbu1339/M/5lk4Ud
g6hdKI526Ku+rgydnfu5qhCnEtFUEVig9n2xr5j9QKP78Ur/H4N8dMEiw1n1pyu+xOb+GYe75PL+
z//hvWav+X+85h//gUP9ly7Kf//yn40U4w+Xg56gJGOllD8L4MQfjjJt2hcLUYeOyP9qpBjiD36i
OErYjqEbjst7+bORwo9MVJwggNAp68se/e/QfFzjyzoucaJysNL5x9Id6GW/PrElI0m8frq1Abz7
iQr3krnTrrTd+9gvE8wQ+ibF2Ilhwr8n3uSmnG3Mc8Guc1/CoUvh3QQnP5wfk87elZHc6pq2ic9Q
/o7tQOSiSjfEsV2Eg3isDHOX4AQpZ7mLAdaKcl2EPnBeRJ5k8XVQzQZ+F79RGtd7q0oPiW3e2LW8
lLa5Q2F2Y/n6JaRUww7exiDcTqW7cdLqztHKu3n0N75trq2Q+BewQWn7Nqd3E26uGKu3xEqmrOFC
lc4B0MoZEuFlbo2PpWkBkc2vWdI25TTt4J7SMGqJY/PvqQcdz/Gte/Jq9jUtnsy34NiHbobqvN7P
+AARYwFED9QeDSr5S7J/aWv3non5ExKCkQ3Y2pm+fWBStGG3fNdak55SdrZgyv50513/o/75uV/0
47T+c1n040tUPOsmNxN3zZeKmhOkQaifZm0ozTwAHwRvZedgqK7kNF2pWoMRRxhVMquNxsGq55v5
/Rv4S0kv0SVRLQm6GhxxzMVV/XNJH1WuA5UiIgY4h5tSRmenq7fMh/QVEwG5SUIDgFli7zp/JgZg
fuzzCCOnLrUDPWfMnavvE+gK0m1qe90nZkRSCLldRNMtwKE9oJpkbTsBonfKqAzV4BquQ+bt8oGs
C7ifzcoZ0g0qOWgRKdPawgeO6EJtGMHGgZMSHLANMhh9OM/jfNMRUkuuDsnghv7NrIyTr8YL0nZO
OYiUY1GVwenfXyL/93K//+Wf+r/Qoq/TLmbb+dd95ovXj3D658nf//jVf6yQjvEHnWS6g7owBJ59
hzXoT4mw9YdABUxXwaGtoi8tw//CncE04xdA6ViLzlUtncv/WiD1P7gVDY4INmeYpUP97yyQtKi/
bqXo42wbGwrF3T+9ufETj3MyN9tFlGh5og7CHaLC8ErTYprKstW/OVXgMMeaVXqOzImEAicv8YYN
EUNqy4gwRzNMphE0WR+cJNz7OW9dBlFFYODKzxmGPwbU0hM828J5pM9mrIzSMLxRM0FLifS2sszx
QclCrtuw66/IzntkjR0pq/LhHlk9gTdznn90UplXNT73vWGVzpG4vfBQB1l3DV8zbVamkgjtmrTN
MFqGpB23xoTHBPGVWOdtPp9YXQaxrjtnunE7v58Id4EOeDTqikRUsMy3vdugKbHDGe6RcOYeynbd
32V6kblAQgZyTlxGN/aKXl7YH4wghUFjglL50DSnm1ZTlfvQpzIRtGc8M66LF8oABzmhhqlvoH6V
HwBkgKsE7pj0j0SvuR/FPI9voDwKfW/Aoco2rYL2G8QD4dOR6xIop9nM1K4kdJDhOGuy/2x9HDeX
I3FrL6nR6feFjUHcpMNxY1gTOr44PmD9N7VjqYWl2BWpY79N6BX6g2mXU72q/LoKgOXYJFKEY8mQ
gfBHfJvQR9cAG5acgUncW6Dunjv8oR9dpdXvo2jUJW2tSW0ap2oRLQNJWcusHE6cMYmvpuZ2CFmq
sx1XBch8K4kIJYqgJ64nKinR+oSRo94GZzPVsuRl5ua4jeOMjKhW5OKoMRRcIYhhCjoHsJhKHzYS
tV8QrctuwUcR+QB9l9VfWgTdYE8c1A9bPy785L3LuFvohAOfibKiA6EZxHfIMQPGqxAERMrn7hzf
XsfarIfrwBqLV1GMIN2izvwM0sz5hnSXm1zHWma+hKWyYbeSrKA6Ytg596xcIi73wKMCz82ZHIsY
EoXXgmI62W12S9RdNK6WKDwpJ3mz9Hmf6zqNiJ2IGpsiYw53Vauc9zozUN0kQkuf+nrsOjo1EnEi
6UBjwPkazjj06pztbJGvOwTRpHF5bHJT2ykHmelqSgNSccikWuJ7b9GfCPJqwf3srLgli3nJarCs
/rm2FAPMsud+Z3QkYb3DuXW2TuE75l742fwqs7ALv3WiCHGujCGTzjy0cfaNujYMB6FaIlWGDhb2
ushElB8o49BDoTsJn5ohGjmG6UFbbAtTwSCoJo5pHiHTjJVxvpvh1kowvnEqHfQrjHrw/Es2v2cT
YjYqIydQmr/zs876RuxZpV1KqwnrbSSJBdmOlJvSs7AcTGuGXEQUDfCnhBePfNErFPuSpCHTCPLx
0qpU0F0gI0RFp0Ofye4ilz91GzoDfItJMVb5Bp0hd1ZCQXHY+rhni3U0YDxYEy4+c5fNKODbMGrv
RUz6kCPdoLpLmmJyNpHWwswderKrehRUPNjMXjD5ggp+rHmjxtoq4uR7OrQuAfW+X0NUSipN0MRS
KSJZAUEMHrZGulbe6X7vZXP6CYa3WlMUDKTXxCV0Ru5MhENEdnHCcmvrpu6j/DLPpfywNahwe4Za
JEV2pEC+mW5aE2sTEiHohxLeVcSPWCRGg3hhS3+orAxzkUh0awuAKNhLUVY0BhxG80riTFjPC16T
Pg9OgxWaBEx8LJCqWRO6UBVrPmLm6VHpYzMMCYilNZkwvIrzenju+9y56BOZfytgtWcrAo+ny24w
kmNem+64wo0I7MAmx9QbG3fY23o7XPRu5V77mpMC8o9DdxsTb3EjAUFTx9JFyfo8tNZDK+NgDVaj
OPiVAbukTEfIBtUUndqWpHUJEOIeiav5LWvtYavXJsEkuWsfumgIWlwY0sk2oybQ7gW0Kk3NGGMS
oYgJ2ATO3O3E1Lln2ALaGqEK5mU0Zd0qtPLySmuL7lWY4/gS0fZ7bEI9OdiIELYIc/1bdsvI2VWE
5t0Xejy+VW1kfRD7PNwPdTZse5nfuSxLaN4qbOCbsC/u4s4iyKyZw/JYYZEQO0dXwR4dqOllTS93
PfKFCC5MS9a6jGE1bsmEm+tVk0JuQhBTeV2TN6fEBplLFH23yiN6bvSTxT5u2+wFe6MWeAX4kGEv
EMJu0p4iPkUPsc+yvkAsHA+XEjtCsarIoI63k84Hxh6nfy8LSMkdDrJwbeTIH89TZs6l19Rz8VCl
Q0rcxkheEpqG0jqAVuhPSRIGrVcoxwLiK9roRWqaddMDeLmIK7KLAJEvnn3beWdrrs9YBprnuMfl
SwkKCLgck+CUgb3jvUwsVNIc69uM0FyYWlbvXvFe2hd0geIx0Rt7WHVYE24Nok8OkZxK6Ks2eHIV
f+f8SPCsmmNYVVnUXvLt5c+CGHYGcy2K5rqVu8KwEH4V5QfBcvN1iHj8ksqFYAQ3z54mHVBV5WpR
eMgLC9WG3tWbxC1IrYM2bHq6iOwbgd8vBJJDnqPekUtzh9RZOxpWUb8YOnDHTYCrNCKAHYq6h1pl
QabaTftmV731AkQFMBdaR/Mgwzx5KgjcDq4mq4WQKGIrfyuGpn0HqwNZpRmLWgOB6k8xVxUvM/2t
Xt3hyIYiZspUHUtU92BSJGMkZG1ScyDjBwushwyl3quLCNmmUfHDxG/ljRUjCpJDw8rMl6s/jlqT
t6ivnRn7DtghVGMB/blSjtFumof2UxYuLbek57+FGXafcmj7A6rf8jzYtTpKLSpvkqKAIdCoCaep
hJv+kCJK3IXAVIht8sVO2D66zhrd44rchfRbzCguXLt2w2YzcXFg50BVDgl85IeLjM0FYpA18bac
TBikbg4pvBrN6ZUUJf+9bUZyW5qmR4hLaAo4TWOcwuRax11y4otHXGnw6zlDNQwjHP2a/KpiGHdL
YRp6QBiBklgRmVrIGtKZmxWl3s5w4+LFTYgUWkszH7ajNkc6old8Ra2symfw4XawjqY6f004wZ0s
n46a2XXNpvfrDlKtpfkn0Ba6ZOomk4PiLW0C1swl20cU31onqN5xZOPoNQslL6NQ0gR0QZreEpk5
nuumzO8LFyfBqq4LeVmAeYuQU0TNIcfOZm4MKyiuWfUnDweYO+8pdooF5uoHD76eLusOuedWYwD1
RY1HvGPtUzR5UxFDBjDHqXpxopitxtFcMO9ZJS1MVWP32raF3Cioqhi5OVZemdhM4UwMGVko4YRe
AvU8p8G21jtMJ8hhHwIINfduVSak6fGXXUZTKAg4GAn9YjRgPQlX9uFdMnbudWWFMPZZYJyPltqy
xQklJn/bsDNf58FEIDOsbbGKstbZm4WpYWgmiHtaBVyzPfHa/U4S99yspF4raEgx5mEnH4w7NCml
V9pB9xiSOYVX13CuMREu5CdZNTcpIr1+K1y0iZQkmiAtoiWOcFWTAnbX2250FQMIo8hzkulKmlXy
ngWjeVsBhmcnMgvsh5Em7Y3spfbBigfBOG3srTE58Xc1jaVHKSQf3NEt9C04MPtWYDtEVxmraO2G
ZrRm8EgvmcGZewztQj0nqp+vM1FrbwXy+zsxhWAiDLDspxxM2Ce5CFF5xiizpDlDr/iAGdM+zgMB
1ynQ3ZOCyxN5lgoFnWDVx/nWDmuixACHinAP59HeYyzWHiDupf0mbcoG57JsTxlCuzWoMCHWFdrb
jT51NawUI02PIiGuArt+P32bHb/dkPjDSFFNqlJemEVEQ+pFeWayprDmB1G9GfIAZ3bQiIOedU+j
aJFFB0XkzSRr8EaM6sUvxHKYsrGZhKZziPBFsXcFFnlkCoYCYmbUo9NAqASL18rUwkcj0R3MbwYq
8rboV0bjfhbK2je2WR/GwA82ldOmWwvxws7BzbLzo8n/7mtlc2UZBesfCXQQp0dOh9i3dkWGm2ag
RADFOPb2ZeAWxfW4pC9Ucdls9UmDtdygha0C1b0TMlHeQLxizOv3lEYp4tB7i71vC/K32Q+pG7xQ
zpBP7oa3Uc7S3HS8USI7IUZUqNhVX/j4kLBZlW6NqCbomnNnBOzU2OW8ISJTw8eLqmO9Im2FTvym
z4f2I6lyMUCBTAlkj0PnJa4MPfDyym6PuPS0taZN9amuEEJaRRIfgYT0r7NTfczwTTnTWP6ynXIa
K8Mcp9ZU18dJM+YdRyBGH5joocsxYr8Az5JvQiXBc+SwQOugN7aRP9o3bSYmZ12NY32ySY85g00o
D5MGStlzZC2u5CyRHWmxfTYL/57b/sa2glM/do/mPFjXzJuclSPTeQ0+icQRHdgCX+cSvhagP6jm
JdZbgy6yJtc1fSzMEfwEMY2I3DPyW9y8erBFO75GZTJew8VbIFN2G19Ms632tjFYB3pVZGmJsSFl
VMTj/IyY4Copm/oqyRaxatPuO8YdVIAd9gwYpt0LVSfg4ETKp2Yq+rdybi6yMK1OTRqDGtNFOrPE
mMGb4friLaDcgGczFtupm5wLCr351MPAu8Sr193B9mKfcyrpIdDotlUKopdbFL1lNmfGJaKq4b5V
1OZTkyC77xhkPlc+YdKtbvSbPMOlSThT80YkVfCf7J3ZbuNYuqWfiInNmQQafSGKkizJ8jxE3BB2
2MF52Jw3n/58jMyqExUnq6oT6L44jQPkRSLCDtsytfc/rPWtXeG7M+le0fQQxXZBn9OLHZYNbjfH
sXampjsvXiX9fIN5KF6zPcdFhFQjJGDMLmTgUWJ+qMkqDaUmbRTm+VBhkjJcPEaTLpMALxaWoV4j
dYlMIjJNE20Yv6Ny6V0sMfMajGlUFZ1Jz+Kv5zb5aA0NNxrYj/mQLWn1dY5bxhODaRTQb7WsiW/L
rBHPUTrWlN95eVtnpvHVIKfyxgA2+9FlWq0DvCtKmEP8Hq4Gupudg5cPocIyp8+5nElx0Dx8ug8A
2CoQO7GE5x47PUyoQi6vY9LYuDnkeDUzhaRfmM3qVmcR5RzWAclbbGt6ODKcRatB0gvoLgv7EpFE
vfYALZo8vmm0Au6X5iEp3P7NwEAGgEgvD4adklNbJyez63oSjQciHaDPKODJWMC2TlTbj6AT+0NX
4b+7jmdFdoYJEagNjc5YiDkVpantzFnDgeBNZeU9EwtkiH3DrWluuqhYS8b4PE0N2VktgnaECIDw
sZcs3SYjfe97A8vu4qFafxEzwR6bRJnRwIe52Wtape2RCU6FSQZEE0QRVoBHzc3M8hFc2vJQ9fqI
C3DGzUCWzkza6ZKoMkwnjZwNphL73nS/+KUs/RA5h743mTy7nEipwFyp28s1TWcLlYgbCwdSCiYp
RmlPa6Y9Nl7kkci8dAElJCqwAaAkbzlQzRz5jnWSQ5nd6LBxvxXZ4L0wmQHWzX1EJd3Y+yovmovt
N/j/2xh3ZerH5hkTvL7T/aT4yLRGiw4SZxsuyATMy0ZfzJnZjl9CbCNvHHqK2Rj4Kp2G5I1tCxP4
msVst7aFQ8w8opDAzL256a0t5/owsR2NGcqbXe0KzAeDDSwZ9jnlcJYojBqi7M1DRyeW4fVTJGKO
7ii2bW5DSrbaZng1I7IVdiPLZO6crigec8aBdhAxsbypaF/40xJVPcApHswN93TuHKVdWm+wu7EA
DEk8BznQOiocriiFrKLZWHh4j5PfOO855roXp9S918WpyKbDQ6vd1l5hKhIOLY+YLbNTqLsgfhJb
MrRXVOLFbiS+sggiNZA7VWILR+eY9SSOASqLv1pSNfvKGZwL6aAo5o2q9MiccweinVPP/gaANNIQ
9CD9cogEIFiRmuc16zTM3AAk5SmTjnlbsosmjw5+NE+wWdxXGgb6KTJlGyQtvQeK+xiIqN461Rns
WmxsOgkDblvijyO7vqxxIkeAjQg9n4gPaNAQttEQDqDC93C3LZgisD6/jA4NFj+J1z0PyoUq7gwz
qQiT65D9Y+Q9i3vXVwzQxpwqeSgS/dFzPQJxrd5zqBPy2Dw53TiUROWN2ZvRDQtzi3TW9J2Kdfiq
5WgB7vZdtDYZMCET2VzmIBGLZ9fW8cPM8Sub9W5fVoZzZCDiprBozGrPtLb4ILnKuK585WdIVgcT
c1EHNfImHeL+Wfq4weQk4JMOKiLDdGIh7wS5BueCR4zQABIelurYq2iB0dh6JJQNY+w/lmlLNz8b
HD/K0bP3SE3EqQ2GIY0z50RasN7SiQfqcgiopLfKtgIn64/maSrHYUH9MLvfWntonwrHSGjGUpxr
m9xgpLdJexdOd+Iwe6QXYDuWEyGKTQ5rS/wGAs49sfVffZN+5l2QmIIzcDk/ObCzmMTHkvN/IWsK
OhlJ8f3iBkWlM7DBQyoF0suRNCxwMOTRAWH84hDitF1cOXzhndQa51aIYR83cTecG2GMNvWyy5Zc
M7v4I9LTLNnNxkrMggZCZhfXEufKDCm+fMrMEU2ZXy/GRgy9dAJIS7YFMdqf9paTN6FmdOSTj40g
bb3CWrJ2kRrhUO0s43ApSCUOjSRd7gwMfM3eozJqaZn8bisRfA84c6zoegLDPgVtny2hFJmYNhMQ
YA5U4aMY5VQ1R5QQ806rJzGc1WQjeFw9jEtQKJCLQdoKhkmd63AOLInvXTrSqpkyc7PRgjloHqIM
2t3Gw17p7GsPoNZGTDHDIlXzDcPr7KLrbqjQrRSl/h2uunffonRh8pgRZ2hpdT9vBYa1nLdxAeRC
K5q2CjuOzXjj9FK7gzK3eM9Guiis0yNeJy/rJZeLPmo72nor/W5ZlfpaUJCRdp8a6T1TXDarFK5y
m0xuep8XnjogNEnGHZZJ97lJh+a0qDF+ho1EJV15TXZbyOK10cworFPXBV/JJRJGq8k3lv0YbYc5
qt5Y6GgfddqoRzDEg7ZNVsfaxuXYVUAj2eAQowEPjB5y9g4YwZll56P/jWKufRew6Z8WMbdpUDeE
d9CsJUdNZ9kEfWT9ifoIo7XpOAaHamF96qzRd0wtzN3MQOHESMcKMtMebjuhjGGrlbVJwoY7LQdM
CzEJlVNzj5eQdwCRu+kWzpfx0BLZzoJnwXWXs5mcyeEYiOZivhLvlskdE5IPOyZRegMRahdZg5ke
PB5fVpz1aDK3xOUFzlEHSrVbFn1czs1q0jh0s22ynkl6z9qkWLuuepU8JNJycNXp6k1EaWhqFtAR
gSDdk0sxsSolzbz2pfFKTTbb3G1Z4jxgKmZoUedes6Kl48eWfPdHalHyVYWfuFogWEVplG1Svjiu
qL8TVEAtarbMAQKvE+UnZmsvDzxzRSECnf/WyiEl7WDFQlolBz0VZeuU+7++fX2sS/77X/+wRf3B
DfpWs9FJ46T/3/909frfFuL0uxIFGfA/X9EGCRKWNH5rkz/RsPCZf2hY1gQpATGEcF8PhpOHsu2P
Da3zGzo3Q4DPNFdl/n9uaAE1oT0S6FQszCy/24T+2NDyV6s8zvccnj99FUb/pQ3tr7JANsY+1H80
CKspyfpVdEa0tFuy8wTEOrXyqZS1+ypdPb6GQskIhit9/tJr4j2COfjpYRr6OpEUHDh0j0NodVMd
0tq2ITWP/9rqY30cKZK2OnfcB9SN4eV/HsbVjKweVYMs6u2jTMFkdUgqv/W/PFKgttbd+j9/GB+p
hIf27c8/7fcn0Tfg969OMvHDevbjgfv9SfT133BMARlj4u0g212f0b+JBazfbBvHDaJhD0KAafBX
fxMLoM4iaA0rm8lT7IEq+yuPIuicf5RTeQjwHQTavEcwODn+f5FTVTkDDQszvhVZQIFyVo7a5B3K
EWOD7s+vngM6aJyTIrC7XO2Xuv+cDeMFh8tr6RbiPpIAAki7+OgVd2feg3HtZ4cLRNNZ30Luf2Bv
0p3cEWh07XGfLyPql4XcS6fRCF4zRuzqneZt4ri5uE1Oxcu8MlS1/VrT0OwcdP8k7n6WTXGrqyrf
FrFNvpefWRswtx9WbF4oDUAE15r8mtQMXmyHJLReKZb6thnxVePxKy3GQVvqc4sgmwHAVLqb0olv
Yw00U8qtGwr2nYg0M+DRSOBORF8uLNsb58wUB2lU45KluO6cn6HXPIo0f5uS9jUXPSjdsVfLtYaY
LgQSERG9S70ND3rYZIY13JeKyrzNrXPj6POVkWOOI8Wo3kI5IwNaQlHz4dgoqr/M1gH2D/6lUwSG
sxZz7/Cmse1tkjCh/9orJo/svGR17Waga9bS592UMDAdi0F/0hEFTA9hYDfw3StERg2VN+G8+Ia/
trOfBGZJhFszMc3H18v/VWbzPji+dh05o7jyJ7ARKX707VLY1vWSt8MOm8lnxuJvr/nSRaeR+bsJ
jgFBODrJcaKGhuQy6s8T9qKTL9ujLGfjHtj8R9NEFCL5LG8mnFmvZq1e8XUAQs9BiXQ+W+myE2dL
5kPYsMRBg0+cUz4W31O43ge39r/6fZGjY+DDl75QCXGyDCnHUhxr1+EBYGh3EE2bnFK3eEzxR7k0
c0ePnCxIOjMGq6jttrlLviuw55iRXFzcTz0hMjrhO8GS+wC609VP11hPrplF5KRp9vWQyReeV/9z
FmxdhFaV5DFgEWByWYZj0z1GyAoTBQi6nssNQ4XnbLHy7SgwArPSh4uvWV+Kal73ex1ZxuxQGS00
GyczAfMOdf8sYpZGiLKRnKOqmbNbhAA8s7zfgzFh0tONIJY3/ij8/Tx3cXTNeEe2+3LprSu4IsRi
xQpnpeXMTYgcjSKRgOcbvzMAhFjxdFWmerNzeAYJgOjGIxzj9MCaQ6EOSTjO/G4PBuN6ECTFQgNt
zZNd1dl9l1neHgUPgh67e9bjbn6AC0giHWLQAwoPAqct50knGHWfp2P5XGSEXPCrGsPJVmNPtQU/
nJIVVXjdjGGUG/JM/xcfFzWBqI5oTVHy0s5sh6j9hCdbbeManxf4I//ilNZ8R+cIVgUuXThPAzim
zjliejBvRBt1yBqBCtC2pHeTjgZFNd5wg1yDvS8jk2+98g9pv+DxmNz64Im12Cfh/i7CgrfFGAvz
JWGa2AMSCkD6uMHokKeX9xO2Rafx0oOR2GDny6JkYq0JZ+sDBXlRJAE+DfHgMjhR0Ush3AgGmpvt
7JG0qpRhP3haqU6STfyTnzaSnCtafBYci3FfLLp2Ybqy7EtCYF+cynhh8AJKjCVH3MVE4WG0wNZj
fI6NPt6nkzNttbTrqD1HxyV9u17g0wGe9bvmHfv79DkyjblxG3Mi39GZDiwEi+AH/VVDBwGIO37x
UKZe0Nyc2CuRMUjkWyzAulWlCEri+AJPk6cZ+RLv3NTMtpj6I5aJiXtaZ4W30xI150jvs5sE+RrE
hoGAoHTcl1YvX4hThBtdl+2lB5/I2qkV2yHVjbCEBBuM2ZI9jcCJdoAil3vUtXezXZVbwwPpUasp
vSL56o57SLsaCJXboROO39u6XA56oT1C9hDhYjKlqY2qv6FYt7eet6T4MjAlVEZ6nr0kv5exVd/Z
Gai3kjHABhuwhkXaNTYMsqItEg4F4w3XyZVmQ3TpGcfSXnjlXjDuOs8oAzYa+KZNVBa03K7JKZza
n7qeAJx3Cj1Aj35HJf8thXAVRNlEee+zwJgFW5l8hAmDARdmxBBxvEQ5U7AqehZWza24fg9GAcIo
TifYWr1vvHgj7+YCNwpa4sW/ZvFuZAGtO4uy3Iyndy1mXLKK8ttHo/G+2112XU4Dp69Oe5ToIdLC
m5FKFNZLDtYkA4CIyQIhzejlxOVq2b076821K5zsuaFoDaVhEwG2JM8gg/a2NsFs5k6oAvKoviwL
vZf0m4965oFyuuJxlDnk6FlNW7Yml2VcgL9gp+W2y56ok4yrQdP8oF1/0+zfop05MociqmXY4Or6
qIzlnQyYr6NrRLyoi4kll8QIrEOMREhTSY+Yy27TRLbXnoAZE5vGXaojdVaoeoK6Iv/SG9YZHgO/
jYW35dCNefsYk5mxXbpY7h2UEQdzVXNpnEIOO9LIiEKnt6G1G4fJsj9QDDAq7JkFpab98T/l7v9J
uWtATaA2/Oe17u3wgRnps23Vz+XuH5/2d13sCmkkAAfDuGtCVPh71wU614K8Q1X7wwGw/s0fta5O
Q2YZ2APQgFHuGhaC/z9qXV38tqpoadNMdib0/PpfqXV/tZ45uJwQ7QqmY+vc3aNZ/FnybTdoIIdm
kKHm2V+I+WRZDm8h5oQHcMulTEYRNBnfPVMYffvplfoTvfuvbshfv/Qvcncj0908F50MfQuWUpww
TE8ysNd59D5J5tf/+qsZ60/ys7p+NQLqJj4JG96AZazdw88/aRaNGX5teE6E3FnHWEY9ueIQu2fP
yHeqgxQUZ9me37QMi2LwQt8d3YCyx96OzvA61hUbtWWdXuW3qMmu7Wzm+CtshEfRi5SRwUvVp5u0
zk46dJV/5w34k28f0yi0PBczp8ED9YtH0GiZBzsoTkM77zFjmSZQSbaAyFxHS4UapEZ0FwpkVG7O
tz788gcrsm8M7pHtCAuWYad8zRfUIIgUvmhWdU5Ma2/U+XvsMj5leX4FPCPbzBMfa5QkSVTeskCn
BZdcJ8wnPSWvYmmIR60SVstEvT2gYt0y0GODdqdqEWRQs0Y7ubfs7BCr6Z2h8iafEu6HcjtHYN/j
NL9zubWaQuFe/lAtVxYqya9zOi97Ah7UtjdL97omPwh2aUOSijesVHEHeHG3oiI9fpgZHJBFXNEe
7mj86OTijnUBwF6fr2zKsTgbLMjesrJ397WfzXBB+vbEEpAkF3bY7ga/W7ultUtvVOuCGCkmeSCL
kJwxN5q3gHj9Izmj0Zkkl4XrLutupzGyDkvZMV/vau+rKUh9j9Gs3Xg2l+HgN/BzK8dh7x75oT0l
xntjL+MnGDtxHPXTZCQTsbULA1zhdd0OvHm9sx1jOVYDX0I4SwCXU19TYpuPNM2Y89TO1YRmnp0p
40i61zuta4inVskxAp6eeslRWv5TPMIvcfnV2J1q0QjwCU1GjuFURuSUlJ28ZuQTzkP96BI4dP43
b6dfHUeYjCzaY5Ma3DXwODEy+vnt5Me1LhnB6uFQFBVqZDCFVYBDG0kvk85mj+PUfExTYz4vyaB9
TSDtI9BaNxPkJdWEUJlPwMCCZYyq0zQM3udceerBJNd438FmJhmgE/foM/MXyELDtTtH4vuPH+H/
tuPt/7uBosFAg8PxX11qVfb2/o8X2o9P+fsYEXAPF5eB602n2eZg/2OMaDJg5EYiFeBXK5xp/Gbr
oH7Ir8cQ9AMb87fZjc8tiLOOT8RtCmDB+Ev3mferfZf71MFPt4Lqbf5b4UU/P5irjNBB2VPth2Hs
Dq2eD29V6gDa9uADo8nvTpMUalswK0fHRGywXVbxVTvDDiRpSQ8G2/aevUrZH34L8FpaxObheUGe
M2XzScurBP6Dhg/YtqOjVdJIxfPy5gwWogPq84F20ZnLk6YV1pZ3MbkhNbv01k8vQMzJyF7SZ6O2
Phj8B+YIBzLvGrk3IJ/S5gjE27Lh7mVNmoZp5upPhZ0yByLPqjiaC3FtTa6Wm0p3y29DzqG7ervf
VQpJjq833XCda2Q4a9hUGhQwz4YYAb+Bfg0shSm29aP8q12SvhEvfNUIeQnrPOB4H6MwR9Bxdfxi
ld10pVW1Sbekj1tZlXcNgSkICJP+mOmqhGPmzTeE03v7Gn02CoOu1mcUx/Nwm7AROmi5U53qeBru
VdnZc0Cjl2wAChtPCoVf3M7zQ5qZ8aVLrGljQAzaa6V7axCK9tT7Iv6URdq+ps5k3ZWC3VktPP82
9aQZzPTRYelE6QP+eOPKN9Rz5o7yNgGbztEh7bWVGk49ac5nqMjVM8GvYp8KscIxySri0aCCl9nb
JJv0kiS0EJg2gCptahYzD5z2JdO25DOy0FctaU41NDjy1UHABX1ONd+cJfquMuUtW9efXxKDfNqE
9MSBgUra6PodrQi6AC/LbzN38l/XecRZV411MssW0cmwFB9WLmDh5XR6qyzAvihGHZdqadYrGhzN
t4ZkUJQbUAS7mQFFnrTTEQptdJmQpx44ydGU6B7ScVKVr6VyP6P2pBuvYKpFCGHLf+jYUh0Lu+u2
5Hi49sbIhiZcYgXNryQEBQK/DtqNlWF+8ZMF5Ja2qCdjKXQkBgzp6Cjli07U5aVQRArFYhRnZciR
2VzZBrggpu1AgCZqCcxba4fW1iyumu4gkoiNN/Eu7Cmd7wA7PEC4TKekIf0dS8U5SGpjvuop2i7w
yp6Ywcitj/hhB2zH23GHuY9+ro076MPFm5NojC46srDAt2oRmtZYD7PW6RBrKRZjlaYFsxrqQFNC
bh3ozKG1rHMgUIrXpVOT7CYHd19glkAD5d5UM+Mis2LF7y3NdYQldGtnHgAOZ7NqI/dLTIwOrIM2
iwI1KhbqRv1uEwunW0V6im2EIc0g8rsGDu6uWfULeQcvWs+tnYMwYW+Af4bPILwveTqrkb16Nd7p
qZzunar5Yjnle7XEkNa7c1e538jwcm4XvP8Hcuhhy+tlxOGz/osQvc1g0onpaZb7qbPuPT1VgEbx
s1JkqofYh1BtTkgpiNNhs50iu7TrS5sujN960nv0wdHua1CfQJAndtx6vuzb3BE3UCT7oFaVTnBr
3B/rzrTCoW/czx4SB8Mxx7xuB5M3E2V0GOG5eCANhFd1tnCAKH8OunFkm2hDRuE5rkJPVyuZbWnm
lxik8ZXpZjS9ORUOhXh9nF0tXTex3X6sM3WV1zZrUp067qpbYnKbVw+pFy/2LnbJlo3MGE1QpOZt
TLTFRuVYeWz8DziTk36f+7IItcglzkMNVK2DjdAHfgNZbXoi+eiaSMRW6EGJSA+RaB29sLonM7LO
UYP6E+x0OVdHJDTeIYHp+s7GvT9RqYnA83Nxz5sc1EaKxXRDOeik8Aom88n5nVW5YivzHwTLyEpY
xeOt8cIkBXKejRl4L/QYH7NfPpmTJAFLpXutwEDHC3EorNrdcmHYr0Sg3w3ddFEpPzkI3AT3C4ij
FbMJgiZ7xd1HUlLhZegPewZiNWShqC0wwmagJ0OzTTrmw+A73V7ZAZ7XdN9XtrjtcGbnAgN3EjP6
BjTOnsw9D5kNCNiElpqb1ilbwCJbvvdQLSO6vh+0ULuy+gfUcem2HKaP3DPzw0Ss2DZaXd5Vepex
HtnmGQmeBMW3QdoJa0d+2kK4Z9TsTZsT3F5xpTMiHXQ2VLsodO6S0X3KnIbZ/cg/gNSyUa9NxrGx
iaMysw+jEyHGXtmoohdbyLAt0jWme8tKTyWjyr4XDrph/vWg8MZDNMZf+pxTv0gfTdO9GGUMjwFt
WFnEZdixDNyQjaUFyUprbVdu61zn1hWBtjKI+Mlf7JXv2pkZIAlJLiO3xKHqo+YhLsDAKjlEdqCP
Kx22XEGx84qMlSs81gXlfarBS3+WvsUiHA8S1yAz92LFzXY07Ft36fz7zkFsj64jdMTwOoCqjbJy
pf0vF72MaWNIVYp5pwRwoHt0LDKtBcINDtVZxwe4ymEnszujcg9YECAkTkDbWpmJk5E+lN3ZppeZ
2QAOYdqjL/0VOm+k6F5DhrQXb/ioT4SFvr1zqpxXsUCV+MAgTbKs+cTyMX1PXRVd5Iz0dYps40Tm
Kijf8QfWt66n/m3hGvrMFuExYgYCrP/gAStnllxv6D8I9l01DD8gwohwAApPRSrv1Cjw1jd2e02S
HM6JfpXLofAXzxw9Gd54YiQ6WQHhNtS0FyvBePEw8AxIDwOlJ86DlifzVemppdyj/Y6SrZl0jw1z
uLmT3o2n2cQHoyN7Zne2BE1NiRKL5rNo5vmxYb1GjIXr7Aar4PY2zdK/86z6eXbHW8ZocHqr5NKn
LSsy9A29ObzqffvU0r5tzCo375irEJq2Yp259uCp/mA9qxX7nK0A6JqygoSqb4Se7lHUH/CXn/rU
PUz9NECTteh0FquMS95ZNXaZkQOjy8Ka6L+dLqDlIxVhWH6fi+QbF9rz1I4fHVm2q7r0glpW7mLd
Irs3g+RmM57l3qUKi5KQ7FR3mzmLum46tltRB8zRVJa8AALbFXbEaH6aSRX3E2u4gCQAg9fISUdA
mjXbDP3cI8evd1YLCdkbWNNWSAmPmVGn6rSSi6jz9MRqTCN1bTIPEu/9HVWceqizAtoJKIFb3YM4
VGbsDilgy9kaTgO/aJJch2sHm8VRS8jl62yblMzO6LaMgP1jZKT9VjdBEZvaKAI8P2+Zchpk/TBf
Jw+o7RxJ4sZcGLuyc+ZtvST2uZsi/ZbyWx49dzQODUYiYOjZqdRm+WVAcbZap70tnO0EPLDSJpB/
PQIm6TU3fqTrOH/rN68gH8D22wZAXBltZnclNBCO2Mn+VTrtmxxrmyUmcitVrtNTROmR0LUXOy29
16qEUZHinX6qLNZYztrB2yoFls9L94l2qwRUrDt3k1JxMGcVqUOsLboj0vMCxijZmoClDubUO7yo
ZXzGb9ncuh6XVEyyqdlXwwswSHlGA9l+gTSvb3Nb4s5kEalx8KzutClH20+0B89OGrE7KKNgin04
6m7uB4ttQe9grv5UqUTeidjwtjANonuzbcggSOPmihpsuq+Nonpp4xY5cDmhYbNtdW9ogDPGtC8+
6lJ39/Dpq+8+i0fyKBsr8CQVdANh/WzoFr7QhWXeG/It/LzjkiF7nTzjVAuVPsQxVR6bJJk+Y10n
4K8gjxMydXzRCyH2sVmKi46KdYvQkNiIpOuuojWgRLhV/LUiMmODJ9zYogIuPyzJAhdxtf2sdBbg
Qz85G4fdwReCtOL7XGbFQw1N6Th5Hk6jTE9HXnoDTjadQMg7Jgu6br1cq+SOnRzpmXZCwdah40wY
zWjdPF2IM44CZ5LVxeoQIpfCdkNioj8n9glItoDZ76pCUbrNZrRjDuZ90Wf2fHFVmvfT4nTh3Ovy
FHeZQ/3p2AfV2/ZXWlYZLmXsfzZ9ZLABy+arRHn1jROn6WXUk/SAzZGC3KoATqAn4NawCK+tpKdD
gL7NtakKkXOL0EuJT0413a5YM2cXY2lvSpEYQLZtwH1uXxKenTM+bAz/qmeMebanNv/OD0oWpU8g
EgYjhm5Fj9VmKtR3O2LBR3zxxgNjwPbaQ+nSztC8fX1ljcacn0UVgXSJL2NOKLPU/WujUayOPXsk
hMdOX1ItU9tpIYvPG5cAG7l73Qzskewl21UC6GptdNNp5d0gDag+UbrtsaD6J3Y5KozahL0k7p3n
JDE0EzUebpCE99y2GB1c3pIN0jC0+tmiBAukYVRPMQV8RC83PsfCdkDziYdMxdHOinbeFO31XOZH
0r/ussnZuvHE4aIoyYXYabGuSFdZ5K6PsbKYar7JrO6dx3NGhF9mF1Th8GMVm23Z4wOaABrv24Uh
LHrLqsEYx4NaEAICuN25Qdb7ZUnEJeb8DAtIFmttkO5qCfFmbDQjpM+LDh7S021OqMXd2BQpUslO
HsbOX0LNzsoDN0V21Ed0s3IsvZthUda+Q5wKeTG+Zo0moEW1IgYjP+jTBocA5qSckOOtXkeEpyws
wwyD4snyAgA52QbbdREjUGTZT+F7SOpz7nl4ReNxOjPLgxfgafP40NlZ9aWMDN48ZqJHhKVVi7aJ
EhcLqEjkLAIxZuzrdO1+tuyyh0NvEY/urRk1lJn2iKs0ry5Zn+nkSFTtpdEK2lxynAJ449Lb4B3E
nK8joBrMJXo28M6FcqRv2fQpqulNWZEGhSFW3+PV6/eIRZ37tprzo+qd4cpGnXJvzpa1H0aj/ea0
mS+2qHnTL3Xt99/mssRs2TS8GUcOT14a/xRBWrvq+SYPvjGpzehYOUERXc/EurWA/ovpeYTt/oDO
0rogWyCpSK9qlt6ivTH5nd4ZpcE3g9TyOTamz6bIjJBOiJwRMeo3BHzhKJ8jP7BMc2RuYCM77ipN
v+G21cPSQk5N9VFulNLOOGkxTYOB2BE8AhlCl9qmKHTU2AZ2fcp0HAgX0fjug1vMWuiXxkTBXZfX
ohSh0S4gDGICbfGhpgdHjTnGUdw+fl8/zk7+1mIdWBSZqdmUfuS5lV25siUvrDUDoWYJ9n1+6Wh+
PN7Drqmrayy6X2s8UEekzMnd/5O5538jVLrJ8PBfStIeUgLIyp8nmn98yh8rOg/5mLcODH+gvbxV
//j7RNPzQNcIxxDMLvUff/43MZoHWJ0/8E0wrfa62Pv7gs5wIdf4tPqmazEjXRd+fyHbUv/HDR0o
YsvkuzJWnaUFE9ZetWo/cVYjMxHVRLrBwRoT7bi0E9iUOr22IqM5uvOEWUdicbfWrJeJ8NindMrj
IykH2NrQ/Wx1vyML3hg9atqODo+O/x7D13xVa01/Xbpz8m8Wbet89T/3bP/1+133cD99v7ZG9mLq
Kf3gp8V0QEVXcqsxgQNlR9VI8hPzIJx+pYh+Fwij240/6z/ZJ4LD+zdf+peNIhPPsqFCUoc07lBI
AXwlIUR6O4AidZgNWr1d/IL6Qye9MDfsm3n1MTjSL7e+67MZo6k5qKWy4bOQEIpwmuEtgCBGzayh
Gl49x5xvCjOKryPIu6Qw1SQRtpU4dEt634xZCAnlKc8EHglE9KxsGvrYV6K7FLEdcpK3dVJyhiEH
fBi5Jc5556LJLuY0LBqjPJa+qK9tMuqv22qZviTDRHWtNfU51QsjVAjVdm2DAKv6psZEXLF22Wt9
pq1xFoznJl08WVM9X7k4NveFWXjADuJ0l2EbzVq/g7JYG8MreDexTyot27GwWZMoJSF2iV2DF8ie
yGm+GdR0h/W0veqm7VRor1ZX+aceT+JRZf5LtxjaHlPVqVUkgKvEMc7ZEl+XJUCXhlHO1lNZu7GH
dG9OGAtGz33rS+5nWowKumx2pE7TNsaobmaR2DtkaH04rOnWGnFlx2acoZcM1FpRkV7qaEGI34pD
G9fgXuYjmTxMJNtmiztjY2DKqDN5dPTIRk8h5I697rxt4pLgUGKY9wxRrNCYGqKhZkofsKN1yA+W
oKWE6mS3jvg6xS2xWDESOMzavWI4hJhq8M0j7xrM1MMpUj5rX89gKpnMj/OogUAo5x6kv7VGoQ+7
2JoaRp8a7I55CtM29hn18ztJ6jq58Qcs8KNpFmf6Nha3YPg6z4muvMoR+x7IwJUF4Al+WZ2Ekpld
AKjJDvyhWfGV5vJIQ0QIaRxq9TgihCuvFrM1twW8AbyRPM2zje+P8IIa5o9PM5wP6jTFiWAs2AM+
GMt38DiPfd4HLRr+veSO9xPvUQh/2zkDCUQFr6WNeISY6fHgmD2+O2mSCucaxI0bHib6gRAVP8JN
5NsHm9/mmpu7d/6DvTNZjhvJtu2vXHtzpAGOfvAGN/oggxQ7iZQmMIYkonc07mi//i1Q2UgslWT1
xjUpq6pMCQjA4c05e6/tfpBSUUu3pwBpV82Zp+gygprAOERFRo+24cDnB9ke6MadJU3z0oixYXnD
OGwIX+tWVa39y6mq83twDsZm8n3OJ879UiXc5MGIlwp7/irvsmsvGCGBJxwl0JDqtYZ4scE7vDeG
du+S5bV1vPgOjzOONHannN2PwCvu0oBzcDOND3pML8mrXpPUd903Vs0RHZuz329H9WEumnd+g5nS
N7u7JKmD96LJ0x2Ysi3aruc8JerVi9srECCbqZQPysBxOYa7Jik/m5bcaloEm8K3ena4KllTUL1G
hgZVbIZZkzU4yENwT9a70ScWO5KCunRjCAKbJn8XR56sVpVdqbOFBoTnLs37Ef8dmkVxZygc3VEK
Y16SDP65p6e9MiWeihUei/A5KYAwmfys44jxnlcFWGNNE9WGfV3ja500Zuikg2jd2PLQ1mCNRC7A
jAGo37Rl7t4GqIdWBXbVq8xsukNhxMmFzbzIptd8X9K2XWwjw+WED/WhDQMmC00lzCbbbY8Wi9Jm
4VOWHqRvnsCLoJNtuvaugXR0g06xPqQVnB+iXvgXMbbS8+LIq4vWPHlN9A5G40Ur7GnrevnDJDN9
AeOD9SF3PnTwo7Zt7YOFwlJHtC1CCkMQ8SHIGcaJTK1I4yOElIFAIcsRKIRKpcd42QJnBkmumP7T
rW9Slwkr5T6V7KD8aGa+y5x1OQfZQQ4E4wksf9AgYaQbVvXiozyE/KL3LprztcGB6aDC9KNNZX7r
pNGtn9qU1ZPI2I2cNLGDYQkcjMw6lnUmrzmj3X3XbP3JOrZ0zt8soHRRhWux00OQ47+hhFuGk1hG
rqwDDJPbKgWTUBK+3MHe+MYz/LcLpvVjq/R1qf7hSm+2FihBZWJi/j/0ceeidQ+/WjPsCY5FFcZ0
7+wJihaj61ircJl5a3+oNr/+rfaPMoJvt4D6ybGJ0bChdb/p1gaVHDKpZuoGfemjRHWEsagK8ZoV
5GIaLTEMaWPl97gz9SFH532NeHdcJbiW6WNEzWU4aKQRqqJLl7W36E3CDT2zhZxtSXnt+nN0yIHf
bLK+iA9ppOVBICHeEhnDJAiPrW3M4MBR5oUKHExfJB7rsi1vuQ9ji+v0+de/92fv9vuf+0bFQ+B3
gebGtcgUVtGdakcUgBytNpQ75/WvL/WjvOrPJ+ubBLPzH/glln/+3T7MGihj6Xy0CKr2X7QPEGBy
nU828q5N69ZPv77YvyT58AYhOf5zNbbj31/NSDm7j1UmDmSCEpHs2o824LVjNsRfrJQTZuPl+qZL
iuQi0GI+aAN7rMhrF8BQrK/CrDtkvMmN4jMsvGbcZarTF1To7XU8oh9KU15h7g7mhj6yuxETybhm
lkhQZC3dgtHib6OStlK2cRqXTUmzbE8c9im//p3Lz3jzbbLjtzw0L0HAz12G83cPFfyIZxqsIwev
ATiRexEyYhs8WBl6xk3aG4BwuqbIf/Mqf/ah/nDZN3tqoYk0Nisqt4bj8mm07hc/Jyl1aMksS1vT
uJDTeB3Rlbwpll2OP+j8Nx/qT2+BSQnipxXgvwHH+cMvL0xrVDU6+gMhYi0lJIHkR11hTIwQnboc
lmsPeKPJftP2PjHrN7tfP/mfDGeobf9c/82X0w0wKy0ZOwdddJ9slY7XWkb2Rdl4DGwj/o28aTkp
vH3PqPihTeK+Q3r95tcmQ2q0ukLm79oqO1lDPmDIBzjz69/0k9mA5/nPVd78JmUjuijcyjmUmoP/
wA+kPuFsNRXp37y+n11p+SmmCFxOq/8yGdRhJ9E8mwvxGDdyYD0WXnhknfnNL/rpMPn+Qm/mAc4f
nUYb6LCa0FpOB/0ug9G9D4FSYv7v7Ps81h4W5WV7DOyAo0CN8+LXj/UnR2bHxKbGJ2oCkOXs/uNY
jZJxaPw0sg+kEdaHmS7MQy0c65imo32oYbBWdZhv4p6ec9pPbN9isoj9BlqOXxrPhp/m+G+AECy7
C3mZx+Wj19o0yFLxAQlC9ZsDM6jvt4PNQZnhhgFFCe7YfTMMDAvgQDm33BpZNwiPKgIJYRtXc4G+
x5ivxtAbt6gPDp1KwDYMab3iEGrs0jFn+764NPqS6bTt5ZFtarTNaDiUNWcaZdCJ5hDxUtdDfDSb
ki0cHWHCwhpIEqAw+ymgZmUQUlrPFXurOmqoRn4lhcFaTUNTEt3VOyel1Lctzn+ld7+xT/rI6Cgm
fTec/4VIv6/YUnx9Facfv/zf//P3n/hTe+f8IULPZUgzE3ok/TFW/tbeeS4MeCi0f1Wd/haTu38E
FsT60Fqsmwt2/u9aleUsij0MvoQLcK5ZLMH/Qa3qxznad5Ybo1jG6uB6NCne2iaFj2LcLQZAUXCQ
kRKTBxqBa13jKFmcJtl48d2T+e1O+a/rcUGiZ02ex5sPp4htlXsFYKrZUdmKVKYXaCUQBwdUxb++
EnvRHz7S12uxfFHXQ/no+i4O0x/Wv27RHNpJMmyRMlKBK10X+nKcWEcK+/VVHsX9VTfb2R6KGzau
pg2/wFzubxT18SMyAqghEOStC3PivM7BVjmUmwnbeXSIYWdxCTz32vNi66IzhTpPJHFHa2X5ESh7
nD5IFGbgSugFqq/Ggizwgtx6KINW9zvbZ4N8qZ3WvEkLoWLkITOGy8x3vmovqag4DFmPb7/oXrqR
CLrYSyO4G5RqqqiYb6AD4M/CwRTvm74D2dtpmjDebFw2Zmj2h8bpEBvlScitdH4UPTKFwYgUVB2Z
PePCR/8YTD7dx9jw9zUViormUwZ1owsHjq3KaUW1sv2+fSk5ol34KID8mPFg9R3dFl+e5OQ9kOnH
XJYThHMxx6CtsJ/Km3Es2MwJvXUis0c9Xj8ZJYGmTKG3OFHlXrr+CapsS9sLgSEcvGZth0Z7mthm
rjFn9evIRDBGFb9IwEsH4GdyN99aBi0LtAtPKTL5pdUNbxBtxor9P6ed3mdjkWW7QoVrcPs1jKJR
b3GVg0yU0z6PxS00yJUSxt2EKo5TnEJTPiZ7isUOsuvwKBoqAnltc3lQpSvT4mwBZIiiWMZ/QdNH
7F11UIUO133hy1WVKBolDhcXXolaP6A332EH7qqWT0fGz7HIr9Co5pslM2GIGOqWQlDhSGNPieC2
yttNsDzR3Obwg0jpHihqTKyr+OJ20cnK/WNDn39dWBi/agolKalHa6Hs28jOxzVt4i+ZV+6QXoPs
7fTeNrMXU3gAXaL2yeV/9FFwjd/gJQ/TU6nji7jOLWypy1qRNPcx6jdOM6tg6i+TKN9rtuBJ0aZb
tKiMO+wV86qJULucMtthA585kXrXaGCSRvUk+4z4TZsTnT0Ul2Y4fvW6OtvkY+vt8pKXhy4XDyX4
KRzFQ7gFlpHTy5I27xxiZofIUBALfW1H4zmJ1OMY4y9zxbB4yjBjepHxgLTsNGW+uZ5thwakoaK1
8El/yiOcbF58GUd5tfdagXE55AdEQJQjLlcM6TlCukGUJopGXDRrZAwrp656VGZc2huEcSQSDlip
cgc6aMltUk4hYh86WUYB0Y5qCPqFRswP2uBUHSn/YTD5pZJUh17yHhyzPqOjr77twf67uP5mcSWY
j0qsY7Ll/Pfadr7ZZ61T9S+sjH/+8J89IecPNpF4tnAMQaZgWftrpQ3MPxDdEUzwetxdxOx/27YE
cbsmCwCbzhCFAQCDf1ZaH0cXhAu6OCQu+D4No/9gpYXB8XY9WqxAdIVEQBov13uzHplRxq4x60f6
lVUioImjLR9URuF2CiVwI7ueUSbRrKWE08cLiNf3a5BOzihGY6WxQq3plIuTHEgXrLqKbnYXlWhW
fL+4z6G3PbhWlBzjkUXMK2VCQLZPUbJ1/XKvxjzc+jbJMoCcky+4MmfAuEStsIVM7OQAsbH4MMey
KCkHy+CSUoxDGKDwMJqT3nHrjeis8Drexx3wsdk4FGXZMf31pbvt0rYlMzuU6xELithBNOpyEGix
1mu/QA20l2JortNqQQlDwjXviZIsnqCqxfeVqOTGM0V2xp0cX01FA69hAmx5jqvQ/TQmjr/SGnbF
IAaas4Cw3UyE6YrNvUcvwcrFOgNkdjMqVbyr5zwj9Z2nI8V4GZuAAK0yEbgrW4HYi46908FznSvP
OgdpMJYrWdG5WOkgzU9N4uXnwQtndPFxEX6JKyN+L7yMOmjmhxEEH98Q1iYWvdyQ4o5PFZbZioBu
NA1ZLC4yXgDcCbjY2sv6S3DKqOFkFG18MVJ0ntlWQM6XoEvnsQGZ6WD72tim51913pA9p9Ipv5oi
wi+PypQNRyN7JIJmOCkQ1qwttauQbdCSFzyHXsON8ySY8diwK6LAvSG+0gHV6zFEvJyQeErAeUdp
AWdDCg4ZYbCHq6BKnrCHOzG+BfwHtuI61mQD1M3bATMSJ70G77jbSsSKUYt0hE1EeigSs/uC131I
draoxkOXGuEeYhzCVhF701bUHdp43w5gcVHYUe+1Y4ubPEWzFHmdekhkUj3HUJ2Zg7Vs6E3RdqrX
PiC+z03pTh9VmHAAclOOcaswa+tPVqcRfs9UdfJ9Buf9nspreOM4lgFTrB7CU5ZX6qZMGhDSgUws
sQ7HoL0NPDl+UI6BfjUqTeMrC5OLC9uy2id4ouXZa7xqH4wT/7wS4fAANdJGqqhLVizQX8l0GLAA
G4QuJRJ2BryDoRBQIzShAnEyDB9Cb6jBO1fz0bbk8t3mCHwxuPdrh9YSJAULBUWD9hw9qylw6vFx
LX80IpCHWHggeWaqoEA6vRccezf1UNW5Bj0CpxjNx7iZzCePITdtzaaa92FEB2wVwG6u9vRtqLzZ
DUoVZbboCP0mWMSOyIxpTHyNCjF/ZPO2taJqjbTM/lz1YZCuzTxrz64/lrjsLWf8OAL13TRdMq4B
EA4PMArqU4LN5pDj+LmQZYFA3I01/9inZUU7Rj3OygdsQegbrbkAqm42vuYAz6iGbKSDxBXUcpdP
Nks/FvbDNBEaXU7ztgIqSuQRvaDaTtp9B6luNQs/+hCKDP4HjMlw4+WhtzYs8JywEdu6QVFXQiOb
pZNh3eRMuy6Hsay2Aq96STZzk37FG5G8n/0kuSRPgE5bo2GKrgxHDE8GH4q1a4TdAm5rmu5jaWcJ
UmZDGxA0U/JMVnPpNjdIvstpJ7sM02KJGn5p2Wogby4TS9d53TWQ/InQFFmhdSmVelILNCEt5Ze8
7DPM/C3zdF8U3mUS5ovPvSMQG5FQ897UIrua2T9J2nZj/+iQT3qyoyT5aPU+0nMCcedtJ9h8MWCj
gKYZBKV03bAz/6xkUBxi8qrMJnXqdSAhIrGUuEvmStF8wSHEqcNoO5hziJOHq7TrYgyxLnjrjbKy
TKGy7QJYy4gtA1RhDaDbjn10gGslptrKZolQQsJT9Bph6qqaa1YZpy8Pbdk2FxEOrHclTwpKNmZI
ZOZDkes9e06VHCAei52Teto8lEj8gXticye9GtkdyPaOViK/3nTUhqHZvIzDFFyYukI9RR2iWwXg
1q50WMh7afC50XlPxw2q/eZj6iNTX2H9D2513YoPE8YrPromFyczqcT7sO2bJ1wQwUWQcXQkUUpj
4wrq2H5X60C+w8/iv8dRw3EnRMZORUj1hb2baisvKUz3V5OvF7PmiK8qtDoTV2vlWy9mY1rBJXeY
2BuvdwuxSoIp+KhHAOosUEJd8d265SFyhMvEMLjeA3NTe+pLFEVDVIkdBWcfh6xIiFozWppahZEa
yRqINq7QpkpP2RT5j9PCESwgrLzLUVbRnkU2FA5VesN5XK6T2bLI5PKqtVUlzQf4pPn7OrTrjTV1
H2vTtx903Ts3eTFBG+GcdYAbaj40ZmV8JayAgBjQdd2mBmd+BCcBRiKBY/hAxI9/41fpQ1WZxk1U
0QTKJ+kvG388TkYmLPxCNTk0wyRddH8hUUXb1JRyWmkeW7KekJpCYSyCcRkJhV0/p4GMdmPVxe6u
9xeH1VwNh8QCzqNjtg59McyfQW+mGwMcUkukCIXCyivUqax7f1sPXvop1e1H4F7zHlj7CF67k2vf
K9PniIDMTUUmyl3gD3IP7WKJ40nkrjEG6lyEUxlbOTTBZuoSWnpCoZi/8t2y/FQkPWLYwKKNvDWL
HDawbE3nWMQ1k4tCAnTsklQ/NEuKijTa5ArXSLvVC+ej9GP6DnmVw81Tjr13mIDQTpb9g8vScusY
hc2RfBjyaJXkUCkqc1DPs5UNV4ECxAQsRCVHoNwJsu5e3JtOV9/AO4KEqQlYOUHG8e5tjEjNunBQ
3g3KJhOIU9X1NJO/dClVZBIlSn4OMm2/eK4xbX3spjy/Q0YavrRNAWyXMZATfALBGJo6iouB/6c1
kEbGnSxu0nEJnHFtXjFB9kN0aBUhICvtVNOjmN2QHstU3+T1chByFCjNla0s+9mjBedRZ4iTD95r
rA1mx8q4Hl3wQ06czRuORVG0txOfUIMsRVZyDCN4GFCoMu+xN/giZZn2d37cNHudl9a7QSSiIVBJ
aQQHBtODJ/0YrWGhP8Z4fG6JLiZ9R8Qdsr7GbC69JOdbneMyO/mTPZ1arxn6tWEb3S0b2IGkriXF
J8EAQAzU0Gss4GCFScAZm0dbZPVNqDLIOl47Xwedh9qUZQsFidu0vNEWISHSwNL/UiHSQNCTiOna
oAZwEZLbhcA0HPt1O2hj62NH+DwjQrQ2QetMzzrRQOkVveetM9X9GfxtFuxCW3W7gTrKIevm4bbP
tdV9+5U4THFOO03/Mez9B3vJNxrmwX3k44Sd1KSyvoHqvOi8yvduXtwVqFRQUZCPFJYEmdU2OM5V
7vTGXpYuMiZjqvWGAFNePEnc4WNtQRVZRZSAid97TV6iuWV/IGu9OYVWVd1BnPfuepoOVxxeipOC
x/9kQBciVLtUwWcMp8itc8Nt1yOu7usx8HosjIUeCWeYzOmiGu1+OpBMj+yRxBuLwOI4ng7adt3P
UREToCsx9qykMbC5jGufUHnRBuG1bGJoN6xcXw3CUb7GMZkUW+gMMwd7XCntxit51yu3t1OxF1WY
wtNRAmpqkT3NhjHfmWEZ2bt+qkLWtqT/YOVQ7/1JFNcSeu3NnNr6q/26+LZRBuq6Iy4Ev090N0Eg
PY9VoK58KeuHdugvrSaOPTgIvfecVGkzbjEwJvZ2iTnHiO9N3aqfhf0uyP0BOneMmz/Bash7Ltyw
Q5zhIBvoumw+jn2jmDSaCppN0QkXroRFoFXXaFClZtpiOTXN+rNjNBrTVZtegaWqbtNyaB5baDVf
VOOGh0Lm1ofeWjIgxmmMj2HfKb2zhrFK16XU8dEIndk45gCZD8JPx8scLY6FiSHRnxIOyfjSWt2d
cFCU9T73Ao3OzKKTxZEAfWo7YLsYzYbUHPxIELMS9qFTDwQu6WRdb+x6gaJl8KWstekbvDqvUhdl
mVED7EH7FhsRWdUN4THzoSvsZXdjd9neNVV2CFy0ZeB4LXEXMzIPg+XJc1DN5PpwytZcwUZb3Tm2
cW92LZl2hdU+gkTDImjZJVtVFnw02xHOH0u5/JPFhTIYorpU5lSfqjBGnpvaSRWtq6LKnsuqaJOD
0Gn8DhYTPwHAP9VINLbZbReWL62mIM7nUu4HOHc3Rpsu6KsC52g7k4gSJ6OF4gHTzkPmRuHdKGD2
OsEsHCQonZdDqO7ZkEBmVRcqdQOx8WbHWXhVXn1QujHXRCSlBkfTJFsW5bR0D61WvBq28WYZTpc9
Uv4LzYr0nObe6K1luojAwQVSOMTHjUs80RrnnnA1drtBQ2/NlUcqWYu3mTNb7m3hpyWXSsCYa/N+
/lLSoN7N41jqZRtZ1lu/S9pgXXh5egwhEX8d47y6ittXbGEchbfErKDqcZczhSYFAXYSqzhyGqt9
BzzaPpWejg5YxeWhz32iWzpcJzusEeMHR9DO2IOxro5G00efsJAtpFdvLmBVO4042m0LZYv0OM0G
0B/gUb9WZ/5bzPpNMWsJfCYM/lelrP+VX/5OL75OP1fn5/Z/jqqABKt+7CD9+Td9q2uF9h9kDtMt
oT9j+5Sq6EZ+6yCF4g+xgC99J8SS4L4GeP6FI7L/4P9Zwjgdx/GpcNFf/hPfAKiIVRFGkQ+XhsKX
9x/hiJYC2XeNdz8AI+ub3Bn2RipoAX/b/3wvsFAKn1iVYtZOhtKG/ohvug7yre3ztSRRW+/oir7Q
Qa7Xc5ifK0uhTaoMa930IM7TimyLQKpNhN9uHQ3ph76iBv3dQ/5J0+lNi/v1FgO8PEuPiydC8+zH
W0TAShssZ1kLymiE9eWILf1jG5FieOqb5pmQz2tPdRsVC8rQHrXi/68bgE8qeFQ+Ge0/3gD5M3Uw
OAXraswN2DMbkdoq4FiT3Js0tVh3xDwBpkFAA3t6BZZS/eYWfpQTfHsEoIJNy3GB9UI7/fEOlEPc
Ei79Zt92MWGhlv/QgTJISX3+9U99o+j+60Iel3GAFrNl+fFC8BYU0NKq2cuK4HMd63Dn6/qJgLJw
Bys/XU/EYyAuQuPeD5DmCAmWJ2MUty4KeMwzgbG14Ys/qwwWXDsK887O6c4s38U+dMf22Mlq2rcl
hEWjpjaPN8NHl1jXpCn0eosujBZmJ24aI8FkHfEgp8b7SEHsaLaKFkzaRBexpHWDSnECXDMnV1P0
nsgZRms5E6kXuDtnHMbrUeUvlj0D3uyLszTIVyva6HoOwq/oeu/Ii3z89ZNbyr//CFiWB8cnsZBw
F0AL8q/lDX4nVPJnSYUybTBt2RFJKuP0MaN6GDjEWQA7TNcOjnGqPn34G5mOeFOX5sKOCzDdB+Aj
XqeRHy9cYpGpFYrRfaCSYksSEl6XYNYHuqTYoYk42eDq7fGKCveyBNq5k1hYqd5JXmgxim2RxLsu
oPnm+nxTtiXyDceGYFU1A9HeGdSuxciBc8eQ4lvj5N/qIQWF+zcPDZhS4IcUlr2lvP9mWJtd6BBs
lRT7kACaTYOfkv3B0gLswztUy9U293Wx15Eur+mjHXvbOi5mi65ALR6V3vHbBOSMu8o9eb5HAKii
BRQa/GhS5ujaFuAsEHZ//k/fteMBvKEDzYTkOiGrxvfvWovUMNue2x6MFkSjw6QQmAhcXh9069Xh
uuloNhpOIX73ff7kgcGmC5fIcMt0XzOXvxtlnSgj5PJtsY96RXmuCxGYQzj9jXjpR33MMpZhOdDq
oLPMj2PC+fH3yaIm3wZL8T6ZfLn3W5yCbZScf/MQnTcd/tfLOCGyITQU6NvEm7cPyNMnUa4vcEIU
L5EPfwEACZ3AWNpEVyz92dAYWFt6rbfSmhH9ucWLFTvzbU1uoyu7hHWHDqDl9OG6RBO3TebYPBSK
QZ5ng1gj1EsJ7gkeDM+YdhTrr8U4tcd06AgJGelF91YR7gx8xWTLmGIbVO7eHJnfXGuk7wAbmZwE
/jWVuNYJqQL0jQ5wZxjx550mIPFlRvggZv4bSVmk+C4qDBKNQqqTJLonYe3shFAfRo2ZT9RIqCOd
ncs5PbuZfVvWc3QR1cRhOfR6W9HRo+6SkKaBPBgjFacOL+iuqNKXNqZJ2gEQWWEWYLfahww4i/Et
YyXWOCbPXs8YdPL4PdakedcX4UPC4FgbOue+7VuZhsZhSHqxtYV+siRf+7DM3tOUq8d6scQ6IFs3
4yjFOofFA90tc545DTEtC6Ldlt6sIihqYzeNWMce3GYEA59kC1EUiqi469FKkno9sxDPHif0Inux
En50H+tgU5bcL+2ku1bkXz0OGDSgi1M8UDvoAyZuqthqm7OAEMU70/hojSffxPzs0MNYgvKCjUuN
e91R9Njxick9dtozZiVq3Qs7BFab4Oygaa845Qnb9H1mhQ+cCUs+QzAueRQkezY/NgsLiVCFzauR
qr3zUsKoyrp7xwZjH/ny3JoKE05XI60gyG8bjrxNwNn1um0yqlmFt2ua4kWGraDI2V+SmHE5l/kL
kgIoyWpSm9jhh6qhJB3FvopsRiBlYIz1pn+dU3dcc+QN6ZOjfxDUUzZRzTgnONmAM87+Kre4FE7G
F4QdjFje7OTHLy4Be8Q6N+4HKhhAAmNUFQJkFPXL+KVavGYyYbY20yHYgAw4AS0g2ALlAOXM8gw0
oXjXIUeC228E93gddkSvnT3brA7JZBLuFvkPpqbU37I9PXkZEpHXF8PO4Fp5rd7mmCvWr2N3Ghg2
Zh3CRo8KTbJceg4AWtFwsG/toAj3eirOAZbYVc4It1AckyfHWGpn7juSNE6pe9HS8/bAth7qkI1M
0piYkJdPoGSEWZZ9C/lVbdyezSdFoPlKjrysLl12GwZ/X1XW9iqgNI9IhNevTD4Xuld4kwC4nwYT
CTn9ToK9AwZtpdPz641zu+xi0GMSVcaaRm8XQKHbqUcEM+EOaiDzdY3NpPCT+qoKw2YLtEGsffpD
27nxj5Y3ck8lfg4w6RBjxv5UQW9ZZ/SDd6NG1lAygRkLPj700bvM/A6GLsTY5QXjjL8VRfNU1TwL
b8xeGo+7jprs/DpddH7+okf20UHPY5BZzAUUzRi9yFVqjzZya2m0KZxTVxwG2A/N7KfYJfurHlk7
vobsVBAeuAEcGmyYqPKtN9dPrqhOr6sTfC+yamiJ7lzLiS5oib5MZhTdUITelWyS1inn622rZL1z
R7FhPv0iCW9a2YKRK9l0rZRK3xOUxpRn8Pf2zLU51YmNO7r71i/Omv3VMp1NkgeRFN7166TUuUwv
JJQ9oaZiYSSwSlR4QJrCveW8I/cpVH9EVdl5MlIURja6naLn5b6eJpJlw+KltrFdlh2SMa9ffyFB
Wy/LJ0G20O2yFPieoPHAjb2+g1qE12kJvMKUZIXmwymIM3gzchk2RO1CR3DLbUUvkexc6+S2yGvq
uMCXwFDBPE7s5zLTBQ6TiYtnq5poHjjIsrbMJsM7FUyasgDfb8aXiR1l5k+R5nqAOxRd6OXtgLGA
nQXen0Y8EUsZ3+FYz+PF60yc0uLepF5cEPlIu5I1HhHUHECKrBuAPLH0uJNg3KlFfhMoXkCXkmKT
Vt28g0eDNw9c1SZwa5YfxYzAGOavX9YVO+em1LJ5zj0XqVS0JeV22tsR7TEqif16GWHjzL+Z1GzT
mWl2PaCy1VAx6NqQiQclOcN0EQYFPa/GDtlQLG+XVidpdHzhfsKszylI7ikgot7tORW8zr/FMjtG
wAfIfrPslUFh89BkSm+XNa4NuUCcMKrdjg/In/OTh0l9JZbOYka3YvO6He7SrNh20BeujKiY3mOs
h7YKMwrPPZsrc8zPr2NF6vIMgvpFzuNDZGYTC0ZLW6TnUS+rTRQyL+aaTyBqdX41+h7sBcODWtXT
IHI0OauuAFfW1bLZUeaJebdtej2kPFWcMuzPXX9HYmZyKOqKBW/SzTWzZHOZOok+OgMCKHIPvNVo
J9DcrTnc5d0QbHHaR5usgXpSqWEagAO4uCfrOT5DCUAoZ1tOuuutmuZCkIJ+88lbSsf0pWqqp6iV
msZMU342wny+t4usvjQlcX5xre8zarV7zjnpUvmznvCB4K8tJ8mO2Cb3iNz3jW3P5oHcyR2od1ba
iqjvVV731RFah09Lg2rVME+wxIYleX1qqmOwHODyhH1yM7fXtpU4iFlGNJJhfO6MYtxkPrlMyFxs
eCmz2uVQVC/nls+plkz2yzGvIhxjQ7eI/wggj7ngVw8hTPPr1CUoYVyCyCk6o99zAL4rCq0rCucO
exQ4pAk0hJVcIHe9WDhIbNh079Yrq5GkKEQ4bVGuH3XYPBUh5fewq+dVb3vDVW9X9AoCW+0prWdr
lAkRl6duRwR0tLBl+btnwh9Sy+p2bedeIAT9FBfx8DXX1CrLBjb7MBI1wAHqM6Yq5LLT525k82yA
Xl8lhkl+awCdgBJxsWY0kDYJQhyZIejAyKnAlkHe8SAT2AcjQxFpq8Hc0n5dFCA3BgZxzAtsE03s
qaQmbYEJfsbgd4Vl8jKtmH8B/ry3zOGi9TAJB2lJIzE0vtYeg88fYBmKEYp93hnPrmbWzRoCM/Xs
3MZALFYZLr7WsPONjJkyzaxTmza1jEOTJjC9xpKvdjn5zDlCXHNmWkq79MUaq3CXLLm+VsRMQ8jB
9N7WTrO84RmsFCuQI73oZSCncy2soPggm865dGbzqRdMFfQHnmREiaPMm5Yk9nDJlJDdlvhV6HAV
m+AEahXtFXZMJme4fJUZsEJe53HHyE+LpLGJmRxMy9Vbg+DUfVeD63890eNmZjqw+UyDmo2MNK1b
G/3HqpApFteScVstQ5QD894ZhjOl+GCfQ/dLAkZMFCL/MCSFWvBhL8t9LvpNi+rDXnkWx0JW61XI
NruzknPuVk9m3rFHds1bRc4F8GjCl4dEjRevGunU9GnC+vENqLpTPVmfOEA2OxieLdVv0b7vjPxj
xpoWQzduxBReENJurwCT5lfZwN0E7KoAxWl218t0Outyvso7Vrw+0PVucIMH9JPneipPbDDGm9kf
W3aB9lXdsq8xrJB4xdTj3IjWQ4sB4NlY3odi2PYCKbcWBb+VyLBrRAHJjdla9cfU5NlLtsnbRWZa
OIywumA0QAet2GDxTBGB8JwdPyBVV7aXsZEOD2WDMEC3DDexFK/SGPcqeQDraRF2Rop9Tt4k47Vh
2KKjqbxM0guRuu9r9t5KY1od2GOKuSd8Ms1WTdVWhyK29pHZqSPMjhdpJC8kfTy1LeuQku51bHOf
ryu6HjmELdudZhmrMcPkOnLwpsfsCThciy2CGQMKDBdwljVTTlWBFIdTyzxSIPIREW26uH0iqYHz
wtAN7+KaTwoTES9barmHDBBdTFQm6coW47sc9tRd0xGLXprW1qDJSxxhwu6OEz1ZuYxJjEbylPbo
hbHxBmSdh9YpJjt7UwjGMKnU86fS9pMvbTqCDvP5C4KwwyZOD/3/UXdmPW4rW5b+K4165wXHIAl0
14NETSnlPNovhKdkcCaDM399f9Q9p6+d6ZvueimgHg7gg7RTEkVG7Nh7rW+tO427yZ/Iq8yGht+i
8ld91vWvedgXp4xd73z3c94EwpXEFxxWX2lC8KkyceeN8U745m2BBHXfMKMLkgr6FY0qx55hXEV+
fwm2isZmuuyBi8K4K0E2k4O+LApRdavI0WAzI0EEJxFhDrqEcMgyRjMy3eSLSAy854XWzTErbnWc
zJnZSs3LIxWkXrUpsGLNvM5UnyPlXQQpcjBgnNGV4m5ni+v4ivrCvj3vvf7IcypRJXx88Hd+114A
k2tij3KFros3Sso+IYY1SqZ0R1Q1B3GLhi357S91RVMQfOi8nREB8in4ltsZXJo082WSWz059bNX
Vw+6Fxs8wxx0lzKjc3Vtg/7zIe2jG90cZwRUrrbHat8FcgAoTNYQgkoNmJbXUgC30eO5kXk+I2Hu
+B63uXwVY9uvnVbcgu8sgGi1xokZ5HghqjEnuMOgoOuXotTlDIT2Kea8hHhRa5nWNxrmnfMhjNGO
d9d5JN3CiC2aGhBOtFSBchG7c+YNnMgLGbsZ43+9Rc5EAOeyiduErsBiOPm5I5VkscyjRW4XNhw5
mH2FFw3mg70wKbrwnz/FSyuVz8f+3/G4GbDP/tCift8ARW3LMAO5LREJ9HN/fQsEAdRObKbdLnHJ
1SAnWe4bhvZbKWqmgxrSEilg1vVZbP2hXWX8po3I8R2TpGUtZOtzU/unrhhPNnj51O92Xk1Eu8Oi
HiSwv5ZAmzyw56r6vCQNbUJ9hgDgJDdln/f3fmXuJms0Xj6+u9/PU4C06y6KRg/NMSCZXy9DZ3Z6
BQg2RZfCIrA0DIilpoRuMDUoh5T7iNX145dcruyvrWeb/uiiTnZpP/+T0vLTx7cKEhEATXe7JrS8
TVZP3qaO+JORAUNqVI94SCNlhXEsnBYUYx+/+m+eZuYEvAHsdOdR1q8fOOeiAuDT2l3tUYylNHTW
BQeKP9zhv7msdJlNSOMefc93Yyp2U9NhStbuZiO2192M31Yl42dcJVeNn32aWvJbP/5cxu8+mOVg
A6a/bdDdX+66ny4rMbMRZUne7qI4aY4Y2f1tjOvnwJJAK2fwSODizEFeBb09fCL5mE27fjSqFUnm
kA37+PucPX38nt74vZaO6TJHxPa1OILf3Vzww1Ts6xXPWJp8Litn+vHP4jdNqPGysb76+OWWKeOb
O8vBkUsqFuglfxlE/noJOtPVRAjsdOfF7pUiJSMoNKfYlAhg1jpVM54i8QVD1WMF9ZlsqkcVC/S3
8XDZmel3FM0AD514/oPddJnKvntb8FNw33Hngb1+OxBEeTxFbkSws9/Tp8konkXNUtPpID4IWz50
ZX2SNMmerbaqtk3JV6RJeKqLA8ZQ46IK5GQCA8gkPwTtnCusqwHZ0qpNkm+i2TutTqq6TQnSugcL
4w4gndcukmD+oi4h/CPaSGRoa5eQiXVbMFtapo5An0G86FmytvMWhKK1nK113VwhccfZSSAWl4ZW
1jK2O29soGDV4eOv7G1sCbfIMkl2aODjPwRC8ObaoAkaWw6G1Q4dwogYvI7WbovUKhty+mJu3a4n
Saj82OYoznri0JePSWt1bWd1SUFIzCBxUeREJCq9qPRO2zgYmzb9UjfPKVVpk0cEDYLIXSmPTmiU
/3E9O9uFf13QXKx/JomQoH11YKpvbrseJZOtKDYpSlER+Z4W0FMbMPIosL/YdaXIT57vqI2RoI0k
jmSrBkBXH1/K9zc/kmGf28tkcq8TA/Pru4ABYqGAjIDDT+rCHLgwi4UrLnrxhxcy3680jA5x+QMf
wUVNVNevr8QUJKyJbK/QbdEVTKh7jCklLstti9dsxqyGk4Sbd+ku18SLrEha5s2ArFuHeR8FQyW/
ktj+NUbufnJzznspR8Czo6xczowFh3f62ycUSzROM9pwWsjZ5eOr9bsvjQEeA1DH1XG8v50cF5xc
TWOW1U42uRGYGRo5WIXVOm+oOmE41Rtr6L4v56WzE6yr5euUe39Ysd4vkC6yCOaJqO3s99tEZnaN
WxlGtSMV7YflI+LkMiy2FZx96Jr/8Grm+wkWtiJsvMx9LbAf3tuapzRaDyNTxfxyiLZpVU7BMpac
GzPC7RI5NHApqEH5sEV4dnSdz+VLCTT7UuQU97Yefa2gul9mdj3vew7eqKhSTuY5J3stbHpSF4fr
j7+m9/so75g8IwpiwYr+VkignNHNm5FHy9Ugp5cNykUtpQPR6ZyfaGVjh9SzPwwtf1Pw82rcEeBm
dJbtt09SRukwlDU0SULluYVRWXIQHwGZlfYIAqyln4r4iRNtd2hoTx19i0bl0jOk365tchOMd1zQ
QggZFAUtiHsaoRZ4Vwjq25pqtrI4YkosuoHltC/I9+mmLz2RwuDgZDJ+3rbusprFDv3aZfxim118
m3KiWhMwLvf2DDEhSkFKwTB4zHAQgsFnqFcZAkgnQ4etdJdiPhz8nbNMKHEt356Dm86zjTKDTcbM
7dtyEhZxy8uNOhOK8LOlgVavqmYgWJzb8OOv8rfLBnlACHgELjw0G78uGxXxhFLZLBvR1MobUCk0
BTi+bE0YuSsayyV7IIdczLpfaZvTzXb4os967KEjqLNAlnjhTvSIzms9gE1Go1MM6c1uKidoW/PT
ebRpV+R1+ExrL3LG3Vcy4Uv4+JO8L2AxelNdoGYCmKE7b9Z7FdmMYJXb7AqXzbgbIebk7vJI2LI/
RsrP1743559sL3QDjM3pH/ZM+/36i0LThUtrU7Abxlt9j++NqT+MRbnTCSwISlONN0ZKv9/L6IRb
tW8/FRWht4ggUzjQPCOpzQ45avSx4+VPDrLQoNPdHPw8tyl7FxMllwGQmOzPutFdpFP5osG4Wp/n
D7Q2DI0+XzgmGxlKPL/VMg1waLInNCV3er70+MalnTtX8a2qB/tJzxyC5v2T6k0EuoIYh2nRvIBK
fuW/JRRY039gys92hYfAJnUZN378Jf2mssCuAoyGTBObXVksV/GnerhnVlckgyx3NUOK84CAxFRG
wgYToSrmMSQhl6DFFEWunurAbakYwviJ4UG1hKfQotRxiFfKt5Bx67fZsr7V4sFOcLdDyfxUMNEP
oolZhAsOeffxu3+/7nkoJ4XNc096zbszUtdqFQLxiOQbz94ZyOJXy1KRTpyKz90oeMV/WPXeFc8u
9xT1KYcym0pGd5e39NP1gtoWTirlJEhruyIttl3gJ2zH51lMc/56O4ZCPesLSg5EI90yBuxboIEW
VJeNqlW6cRCzrJBq/GnxeLtRnt8chlmL521RDS0//+nNiclLEpIy0h0RmdAIFO9hoowgc3NEnMtV
+fjy/+bllkccpZJlcJh4t+2klQNhr0x3g7PctRiyJ42Cym64dzg7/ulE7L09IbiscawoKDoRsuHZ
fXOvStUzbVSx3EkJAN+PgapI4qmDEVo4oyYQ2wMS6E28mPwtytB9jHdiDysdnHlpu8+Dnfs3Sd/B
aOyuG5CIm1qQXGMPfb0ZeEYDuivNMfOqYucPZHxXbRGfCisBB9DnTDfnltyKmF8e9woJt6bdxrTD
D0lH7lyZNHWAGyNHFuxVe84wtlxrZTwEdoQFAKNlfxjDYUtHst6oqLZ3Oci4C7QcGhOV9LqZdHvN
sc3aQY3kGkJHAPOnJURdpNF1wTl5O8PNDDACA4uX/ABk+FdjUdsZQ92RJ+GZ2zwjs86VnNTChXWZ
UtHREVS01WPm1EGR5tYFAlUHHVjqJxgD6mJbVDZGkET1A0oLMtABnlk7y62hSce8B60KI/q791Vr
X0cyNgON7vDRA6hD+2c2PkOUsnatmzp/eNCst4X64p5YSCsmB2JkeEuC/c/3sh/VytcydnkUFN7+
fO6xMlQjRaMz2aaWSsxcv67quthhyrDXFvxwXK/LF0h+CR6SVjC/6KjrXeUmQZzJb5mZWFsSGAXM
EPDfMNbszaRBMvRYIAFBqGLLEMFeL12JrWfN2sNUDvbJX359UrbXmFceHBe1yTCCuvedztp0KgeF
lzTeHxpObzcvZH88UDzB1DEsNPqbW52V04Can3pbSc6zkhMuVusPT+/bxfP8Ei4KQweHkfEOxcIp
zKEREHkIBpIqKHvar73qOWZU+N6bFmb/pOHs+3jJeFsU8KKsnUBy6LAvy8abFYrUH5EIqdxtXbr1
huGXIqFJrxm7AcPwLEZ6muU0h1Lp4dpuSf/5+OWNt7W9i8mfAtmkgKefSsfl17tqwsreJ3npbjtR
aczlcWhWpjUHSbK8YOj4h8pvvR2r3QNth3SX2aJ//Pg9nBVwPx+Ez++BFjmgbCL+fO/NEZTHRrmm
0sQ2EakW9FPd7HPbUhzElxgf1cc+hgS9+TLqc3jFhbSvcBaGQdGaHqEv7hyQEAQ7brCTbQeN80Vv
TC5l3VDdyWqbw228I3Kjgc3r8nFa6Z7q2hYntxrqJzNClbAaC6KPBr+9sVxCDmSvZX8ovhyT6/jL
Z6SApWUKJAkcpcXe/OY6x62wa7bQbcdTdRosNW71KjJwyZf9xflD+GAMb7AAuadG8gMGj+Han/U5
yAy0IzMlWGDRi1hbMoz2fiS9ANOpxnOtN/BazdcKLcZeIwxp3RG9EMSRdZuaubWpVNxfYKAEmkqC
CQqAmexVcm2YakNBdZIENYcgtEC0MwqfcpmxF9o2r8w5UAsCGULxNlV1gwVv9raV6JFYyOhuwhMO
CGXIbqa5eppVYrEIdRfOAOxntnUcWbXsL83YbV+0svj+8S1jvdtpuZw04dFUurSCgUz9ejkrH8v/
zLlpG6VqcWBpak220CmOhvsclDCsT9sALmtARBCk7Jl0vNaJU3n7FADoSovpXqXMl0Hc8pglRS+P
AJH1LzVEF8bL/nzkt4hT35cdE2G72NNI6uDFSLEjZ+/bnFSkDCQh0Qgtkj2nbWwc3XWBqM9Ua02U
T1ANSBAfNcKOBui3M7byj6+A/W61gsDJaZO2kePxABtvbqgkbidBO8XZGj2bt4dH4bM5DgzBeOMw
njoyWrvSa3ftMGpbS8uhIc+1PBpJ60FPhzCRSPIj86zMH+NokXfEPHYp3F9iIZyEtMeh4sYUkRYo
xHGBjgtyM7VlsjZi8sQ6XD6bSXW7cZIGWgL7fuitF0yqgDF89z6U8XfOOh2kctUd81Zz9xGijUvy
bb2blnpyIzOPhOY+4zheyAoj99juBL2Bnc3Ib8tgkhu95yVHP7P+0MP53b3D5MKm6c3a964onMZY
MqPk3gGS+IrbwLtZnhUFh4GEPHhbH39R7rudiwBsx0KhRicXq/dbMXPe0avSu5YVFjlVkDCHfkFY
Jo/VTCqoPufj1oK6ciVFK4+mp1jwMJQzuuKiL56/lUWOyZpp4nPvh6chEpfh7BDyg8pnFBdTlJRB
PfFc9wmSV/4uyVZiDjSf+1IlbB/mwNNM2f5aNvV8a5aI+YyaZDUcms0e7pHB5HAsTkmji02KY34r
kcQ/Dn2m7hj4h4Fhyp6kzhiHuolOI7UNWlxirjewGXowAqN/YCJ7i9O92fvEKjGt9DuQ1IV7Urgr
LgedZbmp0nTbLG+HiWm2FOL9o4PtNmh6thlN9l6+dkw32ZZ1y1PYamTZ6CW2eyj4n63QzZDIGIyz
JWlRW1/ltJ37SNviS2cxcg2xkfSCqEB5IOY/PGi/uVu4SejFLHr0ZZf8daVphCCeLUIV60HdYg3h
+imA/uu5tMvAdXggPr5f3r8eU0UU6ZRYHNSdt6d0kRYog+fS2QKvoQCpeBqQzfkHNEekDM4k93z8
esb7wpJj2xmAyoGXYZ6/vKOfDkke8rbajCJ7i47J2sQTylDD8MQJz2G7K2ZdHkffJjCpIcMIUyk+
bpYLAdF9U+Y8/HjiGQUMwCdGTs5g5tmo9J6vWi9trL2u0e6qmo8Si1Ld5Q3LtVMsm7sTKnaeOLtx
ivILQA48/wV0utjkphNG9gX9Yr0hW53lvYw1EkMt4wF0anMgZeky62W6ZcrwWkOzDrA1v6a41E3J
e9d0DI+TF85H+lrmxuhGGiulegDpwEqlsfKft9YqpdRSAM5eUJRZJK8guDcQ+aIR4WnyfXZJyS0I
XSbTj0Nrt7tSLLtpniIGr6hLUkgG6y7v8FIuz+pksn6ovJtI5GR9S3vu87nmFk+Vavao4tl7Upbd
Jq3qpzhOIewX7JkZ7lEGFpDD6LjMga9JpgATpOJ//jTjfodvqm0hVnOaL1GGBB2govWItGA1Lbtu
Is3mYMepy8PCchEbA/VAO85cxLE5yFb3Lo2aAX6X8b9+G3n7xuUJLSR/hWx6LShCH0JyifgbzXe7
U1GjrmIDFRGphiX7Ah9TI5bxqtfmOah6o9l0Uyl2eJSA0uUx1y5zvF02i0cxud9y9LprEm/MA09n
T6Zgam1YwbiLncnb9XVGyRJTRp8fd19w+VCa8goau0DlU+nInOsvfavl0M7Xcb7b/9t8n8sLfSsZ
hcQRst7//N9/vfCC2/zlfzZn0uZt90NNdz+aLmv/hnItf/P/94d/8Tr/YOn8m0/GwvTv+WQX8otK
JR7Ony2cP/3Lv+BkLiZOj04CpjiWoAXb+XdgjfUPCldcmpwRUGA4/0KTOf8wPc5M7KTwKpApsXr8
ncBt/GOxveBlXOZcjqCV9vdVuPlnacwF/LcuKlZt1qGfSuhF+uFZC3yXX0ekzrkm/GmdIhEpiUIy
T3Y5GXNqnXV6WawM37DkpukcfCC6E4pnMAN6FjSKDvWmalIPwuOkyCCFymEvuIK6vx90zugr12md
bZtp+aUHXBgTvGzvgOwhtzTKgYWefWxVTVm8l11ZHHlDeZDbQEUGv0OsOTneMJ5EicgenVYRXzuQ
bmggC0vGQQZ8E7IZ5lJ0X7LM7uyidaZF2TphQndnJFpjreOnKF05WysI4wPTm4h4kxUNK2+PN8bp
96AQk7u+c+o93X9E28ZYvLBWotbqQgPWVUPpmiKiXrgIVvfgNgJgIKtnRphbboQ0oUjkW2uDGEoi
FXJryzi1B7Vm1W5JlMnA/tWMYXwVt4ZO/oCsbTq7LqfPCxNtbErQAkK7Fabu0N0nlOE6E4SkKEhp
s2N3DWVKjOtYFtpn+GQ+Wdfk4J1K9Nhf6ryLT40JBW+lytKNjyPdwzlgo2kpkSntxHlRBO8DAvIl
GsruU2amg70SXVv+MGfNekXZRxKzxlz7FM7xdDkOfUNemOOD8O8aHzSAU43p3tDM4UabiU9JLJV/
gw2PXixNJIp3gnG0l6a2Jy0gLLIpdzYW4BvNdMIqMO0og/DRIJAGrNhnD6WV9bQUWr3lgDSLqoS/
4Bmvgl50RrPHyD7NLpX+ttNq31mF7pzsYppB1lpWSoWrxE3J5uhCzT8aMaN4o4JWZqpmoTgR4Sh7
pfZWW9Z3MvF0olOZ0JBwnORDkKFMQOOdV1/0ph2vsJVY3Rr+A0EZxFUQ88HUiPgylPCLSq2JvR7i
2AQwtCVUHT+gMW1llI7PRLJOl3pU+HsKeKxYVRk/kzteUT7O1ISe7nkvedjO90Y5jjdFRPvZbtFI
povqPzGwQmfYjQCE1eklGZCIDPhdOzLJMKYZQG/OzojOZigAY4tB1qxIDtLQPJz1a2DYQpSmbbk3
czSIhSUKqA0yf1IGkKjSsx4Z8KB2FAgPG78i3+7YmzwGxF/GOBKg2Nz5vWMd4sUVOXC2CGJ05Mc6
REsbEhL3WEUk7omuGy8Q4ViUfIwjaiCs00oskx2DzRvptBlGN4ZjzLdnVwcRIOM197q1q8zErQJZ
OsUrBuf2lrBhM0g6x7ifo2F+gsQm9pmLbHw7JLXbk5pWFU8ZyJFnu0yqp7RsYdxKlTwxlD2Iwev2
dsrvpkMSDyDrW3EzmXn9qTbz5rbIbePL4IcO9mFmcveo8fV1QbKKvk7yzoGpw5qSrsbESjaDRYBT
ZAnzyzAn7bSqtMZ+NM06ukbOj/Jn6POv7PPutaeA3ydSazYyJ7Q16EXT36HMAmRWxfDHgVV8d5vQ
n7Cz6ib5tJozXSduAXzI15Pq1QTl+7TcCA84gudX6Q5DFXiDnj3Ote7eTvm40Ji0Hg0fsbtr1zEG
PidkBrSinvHJsiKp7Tp7LJzAz7IQaqvbXUysEXfhGEc/cpmOSP/6cXpO/QLTVMPSvLdEakarxAqt
V2Lpga80vlVLMupN8dD5hYGfvONUMWdOdKfyqPgiFNNsswcVsiq9il5IzIFwXREpiDnIG0+OGbUU
iXM8b0fSoAOGhemKJJUR5JuuVtAjgFuoCcSEbUIEsUNbXcy6U1eBypQwgsLo5n0Goo7m0CS7G8+w
mOSQ5Q23UDhofYiQaO4iXEy7uByZXPdx19wnCUlW9HXqg5744miJLLyLMtv+hLEhvaBmCz9j37zX
q3w8JVGHQbDSp+TWVyLN9yjk4hWIRBNjjhV1BwC0xOAa2mQeDJiGJ5F67WVWpxJOmfDldeqM/hWa
INQ0yax1XIiMsnQQTTTszbht7+GsZJgeI+ezictr08OaPxqe1G8thlYXaCfEKTP7/CJOuxxkTycJ
GU9H/zovpmnfl6NzAWuPZsnQ9WhsYVzHSHibVmhbAByxs4YtWV/yKJiPguS326hOoqPZ9hw04fx9
GRF7foE81e3IWuM9D5alvhstZ1sAMuZDT2sAZnbhbrxaeqdIqepbFEbDF79K5nQVMYvy1qmGhWs1
94PaiymG1E+mLOoWo3gNmxL/ylJtoPNuAfDUljYFptM4hzYcy1MypBYHxOWKTlYsV+5APHI7T9NB
yj691fDSgo/UPQbZIOzZb73Kr698kIjpqjac3FjJoR++aNZi/EInFd7Jduperd7Ju2um8hJgqWen
PbunW1yGMefWoounW4U7kp1dNeq2KPHsrBsMiSCtEtdepwQjn6ACIf4UvUivmmYk6pE4tgtJ7nO2
eF7N7y70K6RZZjfgsLCs+Og7E5Y83Hz6o3Cz+Ik9G6qwiqs2Y+iOq6NwNOeYMXjZQW33H32pyD13
FUQyr0yiYp2anXbM4nDWD3HfFA9WUSOIBQWUHGdE8PZRFpP1XFY64ciQsw4xx9hq5TRFedE3Q31s
S9e8G3XPvLB9DlJho2trw4s4sZTzcDMXDRfEZ9HFItq2z45fl6+SpuKzPiixy+BvHhrCt4MEZPKd
H9b2yVXElayYaorn1qQPuGoHi3LIiWwnPADLFJexlPFVFtbpc4ka6ZKCjZFPWBcdPC20jSd/6rxP
/hwzOYwFTqCs2k24aANTs7mdUZgHvqrsBy2xiFwH3oX9waqQ4BZus8TDt12xqTI/3klYVp+KSB9o
7bLsk3SvqqMPCW4jWyTsDJvNkaweEmMEtrMDIZ3exmxrQV42Ry3i7VFaJfh7mFT1nydzQvEWp7bA
UOumn7wJN9MK1pC3xy8EvhrkmxnUht7/CJFMbLqRMyCF0UavYmtlWM2XIqbpOAzc/l2bOkeUNA8k
wSqazf294fbVs1qIGz0AhWjl9h4rVoKLYzdqTcnalEXZfcxt8lyP+riKw37eQ3AljpzxY3xnzqR4
XXSag12z7CrkeuC57Bcy+aavlesxQsdxC11twGik2H7CpgPGWeEQ4nCj1tglXRCPsChWY9ghHsQU
nH2KazFwEX1YXJPJ9omaxTSIc+3Sm+TM6PMXXF/JKOQGospDtqD8ogXqF5/5fkSPWYfO5phqnPl/
1YICRFagkxcHHjBZQIFJGaltpEtcyvgTHgb7EHLJtzMcbZwyzmWT6/op1wd7M+QKVZWvA24tyKnL
DYTuLuCqmwapbKAJ48olO+aKmLlwVSt9uA0XrmG6EA7TM+ywNdhjyak3gSC69eAGPQ5lpgQwEo1x
VKeozgcYHVjf830OWfZSzRSLK8Vx5sk5UxfnM4HRnApN4IXWWxiISqAHWHCNNWsdO9jk3GG3MpPA
6qgSaa8VGYYqzfM1TrnAHxME4ldMIORN5LbL0TeaJkbg0zhfePT6XnD0iEeM19NJZC5sSRvx3RO8
GueWxY4Wdl7r8hMPsL61pqGghD4TKhdWpbtQKys8gqyoC8vSnyvvAm6DfPVFn7c4AyK3DlLqzUMx
5NAwszMZ03bbRt9XCzAT2WeDdyyrrIJVcyI0r2scrHARIEiITDoouHUbRRZU4sYlA82zHIgDs02e
iWY39wUqSmtN9JIWVDCjrmc36z6VrpiqoO6n4rLz3HVte6LF3qFR4kx2r197jcg+NSk9WAjDSZJf
N+SFYYpFRu4EjmT4BxIhDEGe9iO9T72QjbUfK8NG186tvA97038O3Y6DTu/ilFqlwNksUML1Eiif
4U0JqmJCKSlm47lpNDvategljv40DOM6MaP4sdS8fLrNS0Wb3kag9dooG9kEjSo1bUO9JX4AIVzU
BhltTnndWjZHjiwrkXR50pjZ9DLkKKY33fHMDCvHQm62buVMrcHqf2xlv1ddXhxHz7KfWZacO1Gy
HcRJ6B+LfmrviY5sQJBk8/MwRySE+RLvLMtvQqii1OlisiTNfw0b/9u6Hz83P/7zf1CQr4EHx3QX
rea/75BcLktxp37pj/y/f/YX48qGtY5IlkYHKnybscvf7REYVwu4HXYTzgzaxL82SFD3Mrc3bKLo
HB6PfzVIrH9gJkD5q9NVWcav4r/SIEGr/muDhOY0ywkSAcd3HN2gSfJrI9epsbdregoKUsX5fpJL
oEjsX9gtJy12B9SaTjQ+pFhKdxwwHHaBeXzMm1a7Z/z5TMZofanV3nwXhfl4dM2hv2t6G9NhDj93
NiS6Cjtm6yz1rZM3Ub2SKoTk5uWXaDYOjVoSsTuvO+IVv9NwSnMuHuVXR0vnlQPReW322U3ioQZZ
kfqach4gUHJl1529JRrJp7XoiP6Bo723HkNQnfMwVZcqsUcJOnMiEI3sU8RVIUfvKnX3GqA4Z+83
/nifdbl84dz9I521wg0iRvU0nuPkc2wmXwfEePvYtq8SaIN0ObL0OGB3CIjVxJRpT6+6VmCf6Yqa
ASciiIZ8u7sEwzEwVmc/ASdeuik4NmNnXM9qoCdfx5QRMn7px4QclbYi/1srFmcspdVq4Byr4999
AshORrHe0XExaX833CLpamjz6k4fku+D09ioX0NGlXLKmjUtmIY0Ff1zbhA+D3ui6AFIgF/AsRDd
96xbrTVo933nZrd9JrRdNjhhEVRkmNw6g+uxa0SDzNYMlbAfGWr5neaAY4Yk4ZS8CPDoxZ4TxHQb
mgwEW5o9LY141QdYooWJH1xG2kHNWXasxqxNtuFsUpPa+PbC4wwfqd9Kj/5GXzbdUuKFMETYKeXO
nxgv1y2yPkgwbJ5B7zCYXCGf7kMYD1Vmo/S19W+itkbiXceiX3l+4wIUcut6WvcYYX1aCZPPXDBN
BZudHeEeBTFBIT5AbIYBk8QvLZiOy7ltbXD5lMDxOjJC+1oiqDWCFiwkaHRytuJKoQn1i/7asaHJ
3k5p65VrP2nwoTJtyVzwmwbVv6+MYbhLlBvKPfVERx7upAPUxT8YQZh1axOX6FC8llWcH6m7o2jT
TpWqdowkG77zKXYv2iat/dVgKLpuYvBvmUgdvFTHP43IakVi7IZqIccia+kroFrRxrauaLq+ZI17
MyaLbzTWzXUTq71sbYKClX6ZYalfUUHd9Vb/Nazs+w5gwmTY01XsW3snx/Y6dDXHTGzxaXkQEoU1
DaFiEWFSxq1bBcfTNgeED/mUH4A1WzfxZGk/uJ0hGAOg7vUbmJb0/EfvVtdruHfDuLA79C3R81XA
R3215tuc+JHG49+gMX/JNTO5bXT9UAlam4NSKcgyjj5mk4gAPvF3O85SfGZauBJac+OJKWhQW6zq
QdGpcADAZw6NCCrrh9zq5S5NXUCe4Iv3tRulKyHyaeVPwD2NvGzW0zzrm5Rgwi+2TelN/YliVW5m
i3K4x8K8Lzy9WMTVgWsDMlgnvlXSoirKSz1OxGd/iu7xE8c0kMxuN4Rgckgf2qY2wTaG5bb0HEL3
22zPRHUa04a2QnMyzQQQSOgdJEgQgPfuPUvfJVgNEgjoxF2kMVJnIiSmJMu29mQKTr9ql1det7OF
/p2oIqDyYvoRpeG1JQdYsDM6D7vxHrS5N34MrZd+7ebo9afd6a/++P8quvymjIu2+T//YZ4NpP/q
h3v4EAkXwfpi4tpaXHhvBGFFNaJ/gxqx1yLUzDJnOuvPGXyhaKyca1kKnhKNzMxq49Rpc6mXY/zC
uJjibux70a9yMUjWSWRhYiXKECWgWXX+JhpTBX82jj3AGUYKkyDu0+mpVIXxrZ9CnmeDjl24dqvl
3J6RMCeCibmgCQdE9RepITu5k5HQ1EEZDotFUYXHfkp6FCfn1UQ7ryz1eZVplgUH24TUDl07ueae
55JID7Ucszrdpi0h0+SONPLJXWX0qg6qrlmmBhF9M8MF+NtGRGiL7pSFzXbwoR91gNtXFloQ3ZbD
0dGLo5mk8ggTO9mgkBs5O/sSWFMEfrfwmRl31t2cG+0KlW5zIk1+CbQG0+b3LVyVMiZEdQQ3XRTm
xVLe/zDIln1UfUTot8VocJM2NVJIevHduEsgAHRrQcMak+LM0yL0RHF3M+wt6a0aSXofT40xHDlV
5gRtDM5KgqNB5MDIS681AuP9qHiStT/fiFDgL9VzIklUciS22L6h/zpDHwij4hOLQrPOanfeOkB6
UAIhA+ULrZPrvsKaG7VOh+wzuVVZaV4IPS6CEp61canbRnqV+zH1bataPVlnePnjU46s+ChHzb2G
IaPt3F7a37wQ9DPz0vYm1Eh1Lt0o+hbWhBJwQK+7zxNNKsBWvXkdOp1+GzPvDErD+GpnIam7Y5Nv
MKTVOMVy0kMlNpnYMXdZjmrbqGFxDFCL3U7rj14EOV2MCsWpbFBxEQBKt49exnSqWudFRjMhhUby
nGEnh/0Vc/aM/GmjAWYGNmY85H5b4vYd93QPMafRNvBH63ukG8MWueg3bOGFXBW2satke2EhfJQG
KCHTODZ5+BxGJMvX8sBc9WtsCPIjfXrwPSKWrnO249x9zwH5XjHr/lHakQ/0oLIDw9XVljBxb48x
5osDIORCetCKGpHK75PvDxe98BoOF+Z0aP4ve2e2G7mVZe1XKfQ9EyQPD4eLbuCPCMaoGKTQfENI
qRTneebT/x9ld9lOV1e177qBLhgFpzOVkiieYe+91rdqOS2iIiTrII0Zf3b1dy6LcplJ8dEZM5aN
5vMS7RH8MC0MD0akvEyYnDeEamiQrJ0jxeO4FNAd3CyjHQZ7NV/j9/OgfpFUA8JhWppFS95DlzDm
ZreCouA2NmH2aBbyom6OU0EA90ifbGMZRb1MB/0KsWo4JpoWMsDVIVtqI+SvWoMAwbz+FkhZzVTe
d4XThTulsZmB9OCzABFY4Z6IYJ3ShzrrB7OnztVbrfjElY6tJzbztQENe0UVT1RQqvO7ofRX9GzI
bO8H4sNAV48vCC1RkZnDqDO4aGfEb5Wqz6EMm0cgM+QbgF+IPgMvpIGcepgPI1Ik5pExWbEb0iUC
383LKj148xldzad1/HVwF1+HOIZ2DnRhAarc2l8Hffd16E9fF4CCGSKCv6+LAeNOLgnmfF9gkNP8
ohz5v2rrXw2kSWuk2EKQ9l9XW6u3j+rtb8yj/3Z6IzPrb9u37kcS/lR8/fq3/FJ8WeKbLhDgaBqS
99n8//fZtEXxpRloV5hLs5MykfhtOq0ytsbeiFFKatLUmVv/53Ba/abCtlQZQqKr5gj9S3zhn0fT
s2IY89ecz4UvH4vPHyuvCLj+IBi8uj14migaNqYRrDX2sngwNr97Tv/g3Nd+Ev7xvVMrzgKcWfro
8Ms/fi4/VQo80bUHGjIn66K7G9NyW8fWOkM0RL7LC9e5ZdM/OYK6ajr76aQuA/Gc+PpCh+g+JMXa
zPR/pSPmSf5xOD9/VXQX6f/wL+bPtAuvCHMH+bznFsHoNnG5S8weMpNurTW/AqgDi1VJlyb5e/Yc
hOJ3q9GbIzx8ULINd9bi9p8/Jv3rmf92PZrfEbDpZJxIwTUJNvVP16M0sAoFLJzn1hMXEj0yduiL
jDsgA955CAJoT1IhjivpAFgN5oTPDvtyM0nIxnFn7KYge1WqTN56jZYcBEHDB8MId4WVrQuYVyuR
9a/W8D0Zs1XXkFGSZ0fuVCGJzoNN6zSTWFd99ACQgmuVVCAIGuBvSExalfQi8S8cOfBXTEbWhZGt
osSg3mzX5IHsTeWu1/O7yUsJpTBWRon1yubEU9sVVNRFpup73/Q2bZnf1FRusNrpfT6PqbJTyBue
unclO5h0x/BxiH1B20o3trHz2LXdU9fGsC5HLIDFYO2M5hHOKrysDh9/vhFQJNOaxnrj307GPrSi
U2JLeoDT0pYj4BVvLwNAk7RpHS+5GSVa2y7bMwxcDzToTAKN0UM16zKyx7XSExilWytMMuj7+tl1
cewCc41kayDqwDb4nElPHjJJo2W+qOWTaTv7KKVNm8U7LZHoldqFFnZrH1hVJHNkZ/3ST2oeD5/G
IaCi7O/ySt7y81xEiti2jZnSNOgQ5WEbjqqVVoInO+tZeZNNzYL77BLgyUJVnX1hsDI7Mlm4hSnh
NSZ+RalOY2GtGcK9dUA0DOO9HPLXuv5OiUwSKR0Q3zkTigIV5xJW2XY+8FPbWofcKH0a6yfA3sU1
bLxXn7Dn41jyk7OwsShF1NOoHwg0Qt/BfZV7toeO5LsvSi9cFAUPjRouCtCgJz/qMQtu9cnP3xwR
WiburXnREI8QzqF5Vm9cLa1lNhfr3a7u/faFZFxYAMLxN31v0aogttZ/TIs4AxUqvIXmZVO5gGnH
/YtrWnqF0N+uNbO2Vk2FzmKR9aBi+SrM4U3SM9iS/dQCwSo7/xh0RXgjWnGWVW3eVlNn3TWMuddf
6/T/Dsn/xiGpfW2T//Uh+f8Y6L19D96Sv12qt48fdfDz+fjLX/Brc9L6xi9VgZKDcpDziD7jrwB+
4xutMFRd0O8lhvH55PwVwK/b5D4jg4T9NJ9g6Kt+OyDNbwA4CHHmdMRAB5T+rzQn8YP88YDAOu7Q
swH0D7/blnjW/nhslX5Kohla4t2clBFt26mOz1Yt22YlPEq/xTC0ScQgIivahVVUASvWZji4QiKl
77AzRi6VcDVvy9I8aipg40U3hPw/A4zwZQqZ9bJOeZtdrtT+nvxEhCiy0lUXG6bwT7mUabhVjLF4
YZEEFERaiLKAfpmP/cknkcZFymY9sqyMtdZYPY2nonMJVtahk9nGezERf+Qy7GQ+hKOhSVaZ7tuM
f3qnZxNqo3A75FjLlvqgjvq2HKJqU0HzEgulg497ETpJFyS9FhB7R6n5x4zw7Fvk+YW3iMuOcBHS
mwq5LJWyJgvJTtXPIFTzCcqNjUDTMBTjLgs8I9kwivefS7DboIBsb/wuTKW5FERMzqC8rF3aUdG3
C1EZ3VsQ1cNO2vRrYQCb4Qsj8prRpYHeus9VFXu3Wa36VDfRIzTAKDOsBmjQMp29B8bsfWPq4zOu
f7tZkP7pNYA/cnrAtoXLQ0wVnQNjZNNGaWeJI23O/tgPk3IQaQJJbjLC6STCtNWuepULenQG++La
cArhPHWELO7GMqg1N3FUUDJT5uvlZhw0gngWid9U4a6kfGJcND+X2C0nUTvrCHytfV9D9Z1l5EA5
PKj6z3oNGaweu/lhBXQSggxeSdG7/DXGgUtUubVjBj5nZn6Zv0ytoNPOPvOdbh5wI/ZD97NirywX
RqsOd02ofkaIsNwshn7VI0/d5QqmXqx/xIuWmg5iuaZ1OXrTCUV1sEhFKCHWGs06jDUUhD5c0XDh
mz3oRKe1rvhhd32haPMlyHMYUbWpa0TeFUW8f0J69qQXAt2aCbyC94OWr/zQ0nSXddWuH3wixxI1
3TBf1pczetIV+C6Pvi6yvclrc5eKQtmZQxcvSULm0ZWlvUkN5A5OXuxbE0aMrxhLE2nDYvLsI76S
+mgbOTSvjmDWJOgtfqpG8GF0dbKxjSx9ChuZnTpB/7vtZvY1I1+op0z1JSq8c2wXliuIurmzqLlP
4C/AqsRyciduxjMHTPUe/GS4xnTGSUyM/d3Y9oQ1W1a1p4c4ZyznJI4OQllQsr/nWiSuZa7F6Nx9
MhR83VubtJlcI0O4wdVOW3SMFkKtaY8lWI8S/CgGuWiU7X0SFJeuYH6ONYw7BlhgTA9Bc/YC2t9y
Iq5xKQFxSTrqOe2HjrmAP3Z3mIsS5nvMPbLiByqkSwwWZyE9qMJJQyBsFtXWuWlYZb6twFfjdxYl
6vZnNtmCzUjcGx3vP1euhUy9j0QLNlqbOSgRJ/UHKV+86XlxKLiELbSeCErVUXIydoZPK2sODCvU
JeJEfvKF4P6RMrWA5+gvpqQlKtWTBHCIRCF2A13NNOb1DcovC5Y38Zj4s4Zlb1kMckc5PSt83eso
8ibsNEa5IUyb+LcgBuRpK/0VLOSVBJ5on8gUvaaadJh6KsQ5RA26sRiy26oOa5esIB8BVDqdwE21
xgo1mCQ5z2NoQH+xXZmRLtSlYWT+iuRbRGKqp4+PYdTkxDN5/clxSFQ1Yyt2nYBkrqasPotSiJXa
2uV+MEnSCjQitvFiEZwdd+lFOliJ/abW9wNAv3cigrO1iuWIb74nnt1oVB+moorHVffYCUl7rF05
lvYToxz/o4g7CJL/vFj4kwtSpXBksIexlCmdppk/mamUKG6yfsytnd6FOqnbje/sbZH7p6LPjH4p
kbaNS5yH2qJoBdj9sbV2BMl4/5Jw9ydjmzrHOxsSPwaFLrahn6q7qvXKIdWsYTeitIm6unlHCt+T
BdAZTn227UwzL7EKHtcFfN7fEVJWVQsI0w12rE7PGah3j/3AiPCpG/XKX6c0yDUgwzIt30w5WdQT
tSKfSqibF0x02XEyRfJslwpAwa+dPO077d1iTsPAzg7KJ9aNsh6aRlz1rle+V4EH3L21/QdLpR8K
29xnOBOKGX7XUcOgT/OBfKtPdkXdF4TBcFvmZgS13TaY80xqfAA1TPk05uKGw9E/92A2lw325DvL
SscDLBFxbKlWl5z0yVoMybNOhuBto/t7q9fspT6fdtZ87hVfRyAkKJMzFr5L4HJWo8X4Oi/9r7MT
c7f6WXydqLpRWh+kQtiXQcbV3eQjDjCFSjhvCXiefXMYitVA45Q8Ed8OtyGGCZRX6LmpVGbSlVbF
qDgduxChO2Rl3y/nxvh3hmiqa6udfY76UoGZ1uSCqOqUOgq5nL4RQJqteRsy37AsJgsZO/ZO8fQH
DBHtrhiYkjBylG6MjgTpkZPP/sTMf8V76MDkHILqmJatPALV5ZeAJzZeMDSBa09Deo3yEVa31jdo
nyPzagdWR1R5H66qIpUbvaw43OajdBlIobwnBd1ud4g8axEFmfnuFI046ag7TwzgihdkJkzk2AR0
gG9OoE9XU9bxi9ST4k1acC1WGfkDwxMYMB6SzBN5aqahDza9YXKJ4gZWPFdeYWYfCi350A1k6382
os3Lyz9fr/qfMEyqRRCFBAeoG46h0fP5422SuVjUwahud6GU2rFQBh9YfVii+0celqWqvSvtKu2X
Xpt77lDlZzvJvZsAmWK+UMwe4mXjE7JWToq/skmxYIiWxv1dhdItWxkcsM9Y1Aoqv1CUV6MH64yI
2ODwCHvXtIYzYIFzDxsVdHCvdTcaE2Vkr2LwvsN5EGuCpEzGc2UMUk0O3AXNaE+b4krIMOgC70Ik
DTBWz8eAiapcU/0ra1ycoIIey5DDzlQMtVtboYpQnI2+7VdVaZvbICyZijZmoxG1GalbBmLJhSxm
9SJyDe9+bkj/Hqt5tvHB7DPJaZWveWLPpo3e5MTmUl7sqgbA7ttds5JcSvpFaNDndeWQxHvkwGm5
bDUIzkuCG7MPq62xacZ2e24T2Vx0p6tJYO9pwjNiWeIlTlYONMoUNqvlvQRcR2nujiRz9mhr1l4T
B5sQLC+J2Z5hcdmNmnVkjfMUT7LkDKRyfH8VEKMxjbqPFB/B3CJW6W7kZkYcJVL/GewAVIBpQeds
TbXybr3OCd4xgXhwFvzQ9bxMuRvAO20chUY76vpuTzQmXggVbRhn0sRbafenJHIINHQC5RWRcuHy
1zX4wVAwEgJu61wQCrKR0dGjdxKE2/cNUkBKgGCN8Jxx1yS79QhZ7qXTtfBeCWr9kSlOtoW3qQbL
vCvZmoY+up3qxl8R/SQOEOzw0FtW4+ZcUqE/ASy3GD88ZGods4sGDhI9cJL0WvDeJG7amN4NSDR1
Y1qByrp2InFTpPmVmQI4+8TQEJnOJxFmbuOWAZt/7CciCJdVpbY0QUBk2pcs9lrkHnP1oX0VIloz
tNMSxwgFCsaX/rbiOjDhYZtLGK9OKGeccCSxlK7gu/ZV7jgUPvpXCVSjaFljOLMek68SKdMVRS7Q
Rs7IZnbvbMXuVrz4mCjCrTBMzT8BItVUdz7HPoy2HypXDDr9k2Yu06LZwLYoKiK9F5loBLLQvmVO
mJB00/dS2+GibspVhwaA+Z8zYb9uHCiQ28g2EfuPU1vKVRVqOQ05Qeh7+XUZGOZ7QSy159IuQHk0
/j3BIM9hNS8QPaKkYGpRetOcoelY60LL2/mrBuuObugwBNQWtZLLLXm09ds/36h+6opiVUImJNik
0KILjOpzUfx7yxJXulgk3CscH1i0cy7j6qbofml1/qUWyjH8XuV1/tl8OdL+7lD78lf99qv7POWf
n//I/In+/mf+h3ja5hECQqrfPe3ZOPerIe70lv749387hlNevaU/90R++bBfeyLimwHRFA/Nr6a1
3xIJZ5oKSw+94lfv/+8NEYOPYMrA/zDFajjNfmuIYGdj3E6rH2suH2v+JbXWn04waRg2UwxoTfRC
kGv9dNEbtHpCI5V226xD1whbq9j0skw3VaSdRFU7O9S+rBdtQC7a/tA90zv6Mv1XzBPnT6Kx+evQ
dWaOFto2w/yZqUzrUMm13Ovo39bJtrG0tSFi4hCx22C3PlA6lyYdy/DUhrDSR4kNS/e9Y8QdhLaz
uG9LInR0dMWPU3gSjNtFBA4xtBt8UoSW9KZ1KLTCX/RM/AzZ3I4tE2APG5ckGIAi4aEnP5Zesjt4
mRul9WWIhzOx1ntd0AkCCuLV6ZOR+mclKtJFJOP7NhSVWwv/zbDifAXa3lyhHBsK8l+qwp2dYqvW
Bn7DNvVc18W9GAFYeCO5VeLSOxzZBnnNCx5sLUTzHJhUmX4+qWsqz0U+QH1AU7SWgb8c9WOu5IyR
BYPuJ3Rsd34UXZEJ7EmJ2urC2mc0GsARUUuW12GQL+TSWYtxiE8wV1oUWR3R60Zub4UMn5w8PVX2
tDcH+SMPGE2qr0qtPswaGL+xjpWs7kxP2+hN7mqDsuoxAi10iy8DmPqSpG13Dh7Kk+4jLIVJ/0zg
aInNT92ZvB3j1mCXTiJlR6RnNljTgTvCUbFBrEFYR8KG3UaM5jVN/F2l3tWZtaSXaIJF7a8lemq8
6GvQoxFPC5Vako0uwP7G7PdlJB5SoNcLVcHiUF/LbPjsUns31OrLVBsAvziogr7AxheuRxke9FJI
CDr+KvVyt7GcB16vRSzJJaNGMDTocTDI3VHtTr7iPXvFdOhMcVfNsWOD1T5oyHk07SNP01OtdocW
jR2qQn+VDxT4WkPSeKXjf/C4dwzNaySapY6+caFSJli8mmVgPsCKURcENn4wI/YWY5Cu8jpiGgFA
PY2a72pTBPy2h11h3Ddm5lraXOEFT1Gq3Rvpk0X07DmCaPbUTemhjo1bb+i6jY1lY1GZfr8zdHMF
nu9AINbKLLNtE8TPZuv9iJX8OE7nQj7URgpbsVRCFArqLScpl85+2hV+9GRoWU9XJV91ZB1MnnXT
DeUKpvka/9vZwGxiF0cIk8u6CjhnjTG/oe4jAVrzV60ZXJrBS1w/ajhrEYY3zSBhRsp4aweXztdu
spzLgLOrM3LoiZtcsB1cwjnbjXn/U0Fc4hSb7xgq3ajPEio2rTqWjkZ+tB8nGPSFOw4oI22S2xJ7
XcYXekXLvtBu0zRdabmxTtTpEYPNttMTBHeMdQA+Pikhtxwl2fBqWCsVjP1O5AwROk1tl15nnvJW
2wc60hJ9egg7Xa7K1noJyXpcIkwnxkkS0MYlIx3Oll5vCCdYZpNtHbqsd2HIfDc746J50byc9LOj
tgRdN/IcOv4OnuFrxqgxbOVHHmu7CMAF1DBCb4hsXsdJtpWZ2t/QtAAsYQHxQ5Z5N/u6l5Onnn34
9m6mXSpzWqq1ypNHb+arys4uwmMaZv2K3gU4japD9EVWimLKi+T2mSYRbS3ivelPbzoasstQBhri
z+I9l7jSRvMxRfhp8h9WSI/WCY7M1TjkkASqB2uqzl7WvLRjWtBkaRnEWfYjUtcrnjx/NThk+jSH
3EfZnlb3quKcJ1G+NAl+L8T6FDM36ti+lGP8FI9WumkKvg9Y1KOSu1U3upMV6nejodw5No8nBaBg
W9m+aWm9tKQkLUojR6ZpVdHWsvtdT49F18VmqopPEaebrI3ebPx1i370dlkR6MfSY+VnZTEstdL+
wTzvcZCAAeCJuWU/rksxZzQYpMjRAY0XtcZcbHLe9BafJ6Ye3r9G3SQm/S7cag86Ff8cIOeywk7N
qD2VTgayE+yVkeJsUtP6LYpxaLAOF0HTv8A7uZANdK/09o3aNadJV8mHp3zY1MQooY3dTb7xA8SC
XKgVkVNaWN9MPFZUtUfuhWu60yEdRlqP40wMwa9gL4MKXG01eK6gEcHS2zU07tzWUC5VQad+xEwL
bVk5GqrMCBAJP2jkbRCp3SF/IZRM8W/rBPebxftQ2TzJ2K1M69g6YpczMu1rWs7V3gyaZUzYyTaf
543EdpjypRXxg5fWbthUG9pHmNcyhsFsQmrurZvA2xTI6Ir8Nagz9FnWU1dpuyFxVk1iHPqaSPeu
WHsiW2kwc5ZQtHZqODA3iBrMD9fS61cIZ7ZjeCrz5mlMAf/1ydbhTbcT7Rk8wRlJI3QfB5ORs2FK
SRxU7W0nJZghM9W96TXwA6ghAmOI92b1ZDvVSjKAJc9hkTn6tk/aG826GSaBCT4N0TtXt8okjuPA
zlUM5sKJWPKKtC5yCH4U48HvLDe31HMwfKbddEI9QKMSto0qPqFKgJBpo1WbaAfub0saep+hnn0E
vnEWZnMSZrUNY/+e2YurIvZBG+s82xHBTe1nA12ixEkzUWPWsjrJcmAR5s8skcdylHsree1s0my6
7NWHCVjH0U2rtmcLuoUAkL7RveAI7+pp0jranzktpeHU4p8ai/RcyvQ19ZVkNSrGu2OVp67Vt/kw
Hqky01UTCdSm2jYVNZyg9q2d2mdiv1zUrVuQfN9hPL2nYjwECoE/3iIbdEBKuVyYxO3VJAWQSF8v
I3vRh1c93Qs2hQAWIttyC8CsSaG7tW4zkCcvjlNk73o9OatO+AOJHc12PyQnkvMzh5I00B1NUN/H
6pE0LI8Uy/LGN+LbKjOJwjLv2pQeEKONMG1egmOW3Oj1QwQOWJTKuqijUwEnDEhIvhAd3NLQous0
oS4L+LaiCzS1rLU2ydBv87T+AMZ9CMJ4O8zZkJV+Y6Q6ReiQ7BxcsX6dHIwBbKJlPlZD9e6Urec2
BrIO8CyPslTowcfNtByi9GEgUPgWObe2xFhKlIuqcrHJc+DMnWAuX+FLTZZxo6P9MuQFSecLgBM0
nu0TycYbAhCwgBnVYxUXmGpncX3lyll4rXcbNGtoLu+7BrYjGy9BmEsh07uyQM/h1ZtRk67VKUvd
P3a9JBI0GG7ofBK7jDK8/0wC5AThbVOSegQNE7v5Oar3SjiuMGMth7thCtZ5vQ7M7Fx6BAIqcHNX
cRBwfoSzJuOu5SiaBbCLqN9MzoNv6U+o5e7CVmU/sDch1WgYbxrom21oXCYQhkXV3gxqettpl1Tw
AhFGNoWviooGoNQwobYMkzAu9M3W7PUbNO0+kV3DfnBqAmFK89NBIsraHHN/3zM3iIgp8hwKiaIk
uuEm1EZ/kdj3Jqxu22jeQlKIED20K2xdtBu4P7SK9RQ3gv59+VhOPumPqG/1AwB6QsfYsgyupINn
7svUvGrpfSddPx9pg7dfinfPQtKhpumDzwRlmXXk/ziQTluLExkW3bS3yFI4FrZJOpgMHJiGU77z
PEGOnVo5zbPs4xyZH2btKZQtSSnN+Jk1dC6cCFQNZoXuo+vz2IURrm6kjKgdJtPraOXRYLHl4DLJ
xU6QJcGtLVLzoJY+Sm02+3Tr6EX8mEOQdBMtde5oL/MklSZ4TbkNbxOYnzQ+Ydm4DcyOPcR9vV3i
kgncRID9GJJwp83NKcZa6g8+pf0d8NT0rqSmuk3l2BAEFWnX3Kzw+Fl+c7YDkPlqFqUHVbGqK/Ue
92MuZgN6xqy+LdNY3Nt8xUvFKTlboqDHGVIXh7wz/F2LCXxtIcS8ZJMyrLxRs3c+/eOYjMKEHLG8
KI8ZTgeXs6ZYDtKZdgqJYkc9Q4cDVa3eM1nsMKIolF5D5fDc6TIdG8PSUBeNx9zWySgFhhJdwcBZ
j2ql0jHPs/IQ0WZa++YEZmCY8heCo50TvaPygUKH9WPXfvpuR2b7jNNb4m3rggggQSPv8ZkGd45Q
x9u6d4qT1tNs7wxICFXuBIfReOwYg9Z2V22cqRnuvFwzHhTDGDv0nKP+IhlKrYeyYCuja3VbdVZL
MuFk3YwcmK+BDK1tmrc2iLpheEf2ml3apG8ukmDQc9Jq0Q5YBDYX6cwkPvzfQW6jZRkzf4O0GQWW
KBjkd5jmhIdjFateunEC9GXpXGBn8QhqIvCZ4MYJJh6oMfJJEHaxHNieXiOZ6Cd0XWJrgDo5MMgb
2VMy5KdJeMmH1yFol1GIcKtrkvGs6yMnaZGO3bXmzRy1EMtDuslzLVu15fRdJhGN1x4qzarwuntP
wd6ZTWezjF/MMNkaMt0FOZGFU5uw7aNKMIdDGUZuWGAdlsiDFdX2V4biMPfi/FWtZ2AMOzT0pCVr
xoeZcJjp0ZsBOXkEQAYrdN1AlifLr+dgMORA/x73wMn2DXWTedXToOf3embsQjzLidGuDG1aBpHg
K243XQxrrXrUNHw4ECieQUUGi9EPuVGm5n1ndA+eop2LEZ4VHccFjI6bcVB2vj1CHfS7XaGVxkoq
erJNs5mWOunn0W4XsMiTZR5lrlMGNLX7GiIwl3J8BYtWN9Zd1ayzWtFXhYuhCE7BoslrfNo202F7
DZ7ls8jqh9/1h/6BdFJ8wdp+0wQCjgUbpOJmMUnWsAlv+qnpwpyMG5M0+62ZPFHmh4dpaIfz0Bc6
MXXJuFfN2QaW+9Mt+1Nw14emvNeIaztXMGR6HGtZ92wzw3y3vpZKPK+acV4/cl5Jwbym4nl1MUUo
D9rXipvXXj758bVHMcjVmaXZzmvUnlfrOK/bZF7B3tdiHnxRk/seK3vfY62P86q35/VPyqjvpulU
HlOndjY9nAkAPeQO7yIvHkFbVGTd0ohcMyf00XKwy5CA3O98j51HBZ+AC7cX95Yc2ZcQphJ/EgTN
VY3y+qrmdXrAAMB0fqqasz9RjYENQbThAYDz5t3PnPdBOe+Iip9rP/R5l6zGJtwFeDCcogxchlps
pu28ryqhTwTd12ZLhH2/HWM7eM0K7hmQMZw7I4rx4oMLeGSCQ8FA35cGStBjrx774NZwcu275yiD
mxJGIJDPLc2vQyBvYw2VGydDPZ8R3nxa5PO5EYUOLr75LKnmU4V+Tv6ozScN4GYOHX6a+c4njdhl
hJJia+B0qudzCqxgsBsAS+TzGRbMpxmqi4fwS3ZuT/X0QZPwMKOvqkWpa/VjP6vU7S/B+hgm+tMo
LZpa6axo753BZ9UIGzmnTwMq5t10W7PDsZhygdNJJwArk52sOslOASgEyMx6cCpoUC8E4aYFRdvW
VAIHKQWutDcjlQSlg7ubKG7yRlsjhLEqkiK+PqOoqPOt1K4tzmnFmqkQWRDApciTS55F5ptd6voh
jdgkNvBqqFeZOXNTAMSZ9QuyzeJ3oRa3nUgg+RWqLst1wJy+qKgWli3jGhpeKaEQUQNAQYW05HYl
8CKqzW2vGC9VRiunVTsqiYl75cTrOyJp4bAZXIzb9yBT7pMmSF2lR4aJJzM9kVBH0AAF+w+KmCfF
VuVRtI7j1oXx0IVcPTtFF66aImLpmsBewhFP7uzeVG5sWB4uBz0gIjUO7y21CRYmoIt9YJr3oRbd
20SEHqLSibeZxTW7TdW9L7TGBeo6MLsZOi49DTidDoZOiHAM6Wb4CfYhxj8zBdyK49bVtfGm4v6B
1ZM/3vNiLCOre5atlu8zEKzrzByAfVS5vinHBGlph+u8noyNHeSEYGW9skCTItc0U2mrqNUbM6xb
7oX6QjUHZh9a/1DkwyM09OzaKwXlmJ0EG6NtO5uEyJgIC6sIVkmMBb0ZR0ZFiqZtRGQWa9uapgVq
2Xrd6ay13KavCSiFCszHEuUP9WufddZu1GImHlP2KjXoQqlEEwPRqNmkjkBOwhiC1yrEk5ciV620
WVVRoEtBwER0DFnnyyaSBqejk3K1KFTK+QueW0IjYW9SFFPyB7aXP+Zew094pGol6dJc1k53z8fJ
nS9kwrGL9vChts3skDdQP/TCgTHAsXvMPetDK+r0PtaVibeADUVJsw+qmM9ImPcA/8AdayEyJMU3
TqjbwVmYPLvECT6Ik5D4hTFdxmWdrrgVoGsaw/dx1J/75AXdyJFwGt4Iwo3BU1wmDQzCGGefZj3d
jVpuchVu4ZgkDTGvim3phBmH/qmu9G4lIjZHTaXw6DI8Ljm8ymuH3e6BpLSa6lX7jtdZuLKMHixS
5Zj/O64CYpXKuEB04WvBjW+Jw2j1YI0E62uoOCRyhesADelT50l8U62VlxhvCSwOdCXY+r0/PUf2
XGT6YlxPA86ZxYDjdFpGTTe9emGcIhqDlY+CW1ky0NXPVhMVb1Ewip2vmOoh6J1olzRGffZyq7l0
eIUv0lOGd4/956DppbUd5htVN9+tEBa2JzHft/qvm9d8B9MV8r6UPoeM9nU7Y8c1Huz5ylbNl7eW
J/518P6lCdU/nj39fvT0H/+9Idb/Pu7APyUzHn/4KHzfRiaLP76gkbuPf/83Bo800wQf+OsgS/9m
4acTptSACKBT4nd+mWXZzjcsDoDFNYcshF9+5z/Fvea3WdProFq1TVQmzu/cL/KbqjPfAiXFQIto
J+uviHuZbDDH/O1eZdmqqc5zThX0gcFfZvwsx/CCBo2pZW4rpzL8rV7GjPQJDBgqAI1h8DHESUKv
HYXNDrtGezW00fZds9eiaQ18WjyUYEB2WWOSZ14gEsOTHCp4TGXfDOUmVQLxMHvGj17fq+eUEXRz
ETIzxdIipYLOsGFEkO/y3CaGZLTL4kZVciRUZKEspfSxi9keU+FaWphfgbvPNmBNuUe0Wx7s1mqf
SY1IFllkO66mJvGyzOw7FUclZ4Z6GkcssGjcSoJq6q76XiZlgapG1Cgl+Gb9GzUiGhltqzbdyADD
+6o3uEEDBQVmPSXp1morekt6qG+9/8/eeSzHjbTp+lY6ZnF2UCDhEoiJMxFTnsUiWTSSKG4QJZGC
9x5Xfx4UxW5Srnt+ama0OLUTSaGARJrPvMa08T03R51K3QCM1iDCgdTXA0mNB+uy83Xnxs4ce92J
qCOFjp15OCTtTCfpWiJwmM9ilNMgk1iIKcCZeddmdteQaPW5pOCaXQlHyaE55MGQLDM6oCrkZjeg
TJB27WUBI3BAZBcm464IasoVrt1S9Oy7mITfSekDLSrY8fnCU/TUpr7AjrTyxEDnPW4dRVyOAuze
Remxx18KQyXHwarALTdRqJQusaAtxpNGrQG7uC0Sm4ssdEW7bBqAZyuo3/EtLvWFeWknJcVsMdqT
FISPQuycinE0IFVYtc3KRdxuLWvVv1ez3JPzJE+cdVo24p2JM1WJELDnTe4inx1qU43SFXsttbUd
Ui55NNNVZaNAwLmVFuZxIFH3iFtDby469JWorjlnetktkqEILnF3V1eWigtzhksIBWtT7daVkVb3
etLKTcZuHawDKjNiEWcqKjpWbt+YMsRmfiDVHhYJHljXuFIPuw4x+rkB8GQRVHV8XWNDv4CUgfoe
cdkaVe1sq0pUJjBH8pZqYG+bcpjAcGK8cdNArNoiM7fgeFA2DJV1kAqq+nYzj7Kquh4MxKh8KBsX
CpIHqy7qvAQwBdVWhKMGqkWZLxMOdn6+zpQu3pm0vgFt6nA+kzjZlQWUX9BCRnDDbG1OOdEE9ita
NnRItQfhyeBFHUJzbrMAqM1xmaNT57VddOHAAP6AahPEfi9zKV56Wk9paej6Ht8jpQOUVOIrnyR0
BYIguSyGbE1tLl4iDje+A88T3IMd7JalLfPrpPGqtfSbkHEPh7UVesUH6dTGCdlPc5bXw0PWNDR4
c6QUCRHceoOZbriy0D2ObkEpWdddRpAzF34k7/Kh5oBWE8s46eIWeCLkgUUAiHppKVqzNNuiWalF
WVCPkx3lfhM0k6CrHfdk0Aa9gk3sKFsVvA07TNKfQYRobl21othdefHec/RiW+VhiiqE71DoKwjI
u9atH6W+//+x+HfcF7IN0v+Jkfdj8svbmpbD4Yeaxfzfx6PRFm9URGaQQ0DhHV8zE9DI49Eo5RtT
QkRRhZDiuSSPLtAstnDQ0dEnFsj2cJw90ULtNxJ+CiYkx8N0+l9faRT/TLPYkhOr5dnBaAhUk4F3
SA5i9BroGvH7ZwAg30U1hBNPWyMnkcQIqlod3UYzUyBxSPNQDa52KQYYz0UeqXPAnWk/V6PBQpjL
qOpVZ8puB2QBP+sWjV66oAWSs28bzLvTFqqJxGdo4VtFfCLrvP3oB02NTCVQU1I3D7dAB5NADO5t
k+IhNpTR3AZTeOXGgoymLsYLMBYVhAGj3oQpmp0zq7H9GaW/fqlGHRI7efng0Vec13JqDqHW6ixi
R9jnao3soYcT5nLQwmChyKZYJRpCzEadBMuqDu3TUBfO3PERai5oqK2pNjn3IZF+MiOzUCHHusY6
GxoVDbMguIhyq1jzZuQi0XukzI26G7cE0tpCdapqpY0yBcCABkAwAw14QJyXG+28OFwnNlI2M68d
oo5WZKvNhNnYl10cejTn82zf2kb+UcXm4dyI1J0xWne1o56NWYBYgBFvxiHG5kOejuZw6SuwWkyj
2UNBPAMQWy56Q9YrvQzWo+XBxaAHVa8yxYonUeAk54TuO0TWIte6qcF195wkrasuQLpjtBCegvjH
XdFOjIWbmjVgwqlg6ScDuWPtlDQz00bL0KNUBgpBpXvnhL15gqZivh8r0WTzUVOsmxiZk20ZDhVB
vaKe9b4fk7PVOj0Hu8aADn5XdGIlvdy0FZF/7DXtW+reFlB1NGgSfNioUeiK2KnSVk4yDU2ESq9R
ro9MnDiZadWsSTv5vkMF6DRFoxK3PV+fo6YK5xOKbnAfWF25VJmVG8fPZApQ0k/XKmq6d62pWReS
KsUsJo36WObZh9oe5AfU8+VaJml0lURGu68GGkRgBuNZHvjqLg0KuQtjQB2FsPwFcNQdEYy3a9U+
XZWIfm4cFT85FxnXSwn1BRtfFG6p/CLpR0OJTpBwm3M79aOzuDcQQYgjMAMgS8RuGEuoKiZ+ue9q
qfnI6zgd6g5FMFwjVNufJF0l9pqIG2PpmXl7wFul27qRZUBmqkJKoWN91yVut3NTUBfQWfSbSrUV
f4azZ3ehY+9+F1suLJIoHKtijsGLicKoGkGadTt8IymsotKPjpECwaLD4cTtbBrSddRjpKDwNZDX
un2L5s07I1NKKooKr6KIeomGuYdPFJwcPTsdPWJLvULHVYaau1Qo216wXYD4iAItOA995Pzt0Yj3
XT3Wuxb9sX0vWhvaKwW+a2CTYmtEdUUnpxDZJxV45IVaD8CANBFqlF4L+tC9RDNXF1I5TVwUWWlp
dpngS9PwQht19E/bMdpXZUdT0u3TZR0LOuy20W+k7GSxrpUuv7Tzzr2wUZXY+YntY1YBPGVWgblb
QRhG4MOx4mCnhS6NjmywdsKv+lMV3Mha1bV6l6p5d+YTo9yZaOiheIcUtz7XUHt2jcyZm7nu3ogy
AZSqjZiqdgTLBFbltYnyzSIw2hQPM2ybJMwgABldEp27Xtxd2o3oLweagzULrqwREJZywZa6FLLe
KIVabmTW+ruIdhiGJWCFa6kUe2E5yT6g9v6uAB8OyEXNHjp90saEu0vkPtrKNVoV2kVbaeY74RYK
6jC4OpyCacZ0oZbhKekRUzrV9c9gcDHYFF3+zsxUsVAA+b8LfBDxEUIe9SymrbTU0dxYhbCboKZH
/kqt/I42oFdRqC1DeGmY614bMnFXvm/XsIHsbjjJolTfeUkwrofEMtfQAm3QCiUi0iIE/lI2zm2q
TF5ildZcIVI04ScIzPO6k7dBJ5J14pX+qoYSfa5ZcJbRbJkQGET5aNcld9jFOneOnSR7KpfBGp0w
ENgjFLgIfdVl0qJCDbFIaidlNDnUUEzCoS+OfIw/42ZL5blYdI1dnhijSPY5/GmwccEn+qX23Eqr
be4TkUlONZBhd7k+Fj2wNnnlFYh5Jf1wAnnBuynCuH3A0g70Tan367qcgEqy0QqxtIYxwZ0JzpdP
ttV1K2XQLQ/RKz3f5VKpJ9upcFY2iKbFNtG/q2oggLBNIZk0Z4Z+W9KuM5tAORNZu0k89LBk4J31
CursbNVLMeHWkxA1BSdPymVdCnTIegipy7JEhJxKkanH20ivK9SW7DohWG9SepJ+A76wDuMTotvp
WYSXLss+6dDHK+9UsvNN22SymNudDkhxVOHNl9U4LBpDG5da0Zmr1EnaK10BmL1svMzZ9CKHbw/K
g2i7R2MsvJIjfdkYx9S9WnGewUKK6Plq+cfCHpJtnzM8KXP+JlGBiI59bpyRieq0pVG7F1U6nIpO
owc9jhuQkuM6BV1wK3r3fsrT48Q9+L2sNl0CtsxOlQ2tmFltePPCzNwTFC8yUIyKfgWQqdmilqle
09OjiV8q9P58zGyhhdomqHPTV42FlfZihQOA5k+Qu8+9W1pboWXlO9ZHsUOprtnAr6BI6TXZfVKD
gLW1HDk1LR8PgN5AxPjp3o1ApcXxMC69NnGveQEJY4rWIGSd0j7YGr61RlX458IDgMAf6gjT94j8
qGO2p5ur7mg0Jbddq7bLliYgTl1KC4Smw5pwo1k4F7M5qbjKKro+dxUF6fcoMopZqZeQ7T27C5bC
Ti1jDQvBP0kNGAYANSEb+L1Bp518Q50rVWoBTXDS7Ir4IkjP0ApV/IWSxKT/bANz/0StyHIXWlGE
3YWD3uyWBDZGUUIPHhJ2HBqShtXN4x4z1Eq3grd6kqBSRbg7tyMhbirZxqteQ76Af0t9k+CrtUJR
GoZQFlARgG01L9D53ahJgN2X7PKrqusulCyZpTmJfV9WJyVO3IsGdujMVvtoVhNazCsEh+boKfT3
XdD3n2l/3VeBWd7JuD1YeatGMxM11AtH8SagaQNsUAbBPM30bif1MiZYBZo5Glq5yNxBzmUFhqKL
OZ4qtdG3emHfaGMHdlJDW1drFDyA6Ycv/Ar+XJxXHvVTM135SGef4ifRXdTCVdZu1ilkzkkNDFpY
c0NLrTMrHNx7Wy9QMilLb51ilsFraJKbwMygDui2t0egtgeg1dYrBdwY4JLYuvakV+70lKMTsdcx
XJhGHeczrXW8LUYa7aqSNVCFXhYfRdj2Sxte7z4Jymapdpmcl2xRMxCj5nmTBdFciV0dHCI8IRfh
82De2SmA1yDozeUY4wlpwpLM5lrQSVyOVX9FzwSD0CbqlJPEyYxTicTvUpS9sUl6GEBu7fhLSuzm
WYOq1sYcjAg8WCfe1aWXQTJCSCOy2u4kiN1sL7t4ELPGGqGge6oS3JpBWW+KLsqvVLDLi14LaOIH
qZzRJjDecdDFrL/SJjsILG1pdHa0DURib6QLuKiB8vHZTiP7zKrM+G2L09TaqlN1WYDFBxlKId8p
BmNFiUOFe5yLhRG5DkfNkCI0NUb6IlDTflep9aWpViviVHWH+2KIgXT5XsEqqKDwdd4Oyoe0pSKu
e5n5Vk9pDFh2SesqI2mBEjv5S6r9NkdKZFm6mF3NegNSVVOhkGE1CURZJga95gSb5Ss1Mq0b1RhN
quW1yxP0uBy5lbt9lll+pzGsfe2m902eNgn8PMvTsEEfw04N/A3MFPrcEzpLgSwC5sYOcBrHZC2k
yfMWPl9/Ywvh3A52m19o/uidIpZffMAJIlwalOOArJuat/abIb/pdWeE2apQO5JRsEjwb93D6dZ8
Fm0A0MPgDUAoNAgl4AMGt5R9FYWgJgXsotXpOofdDQs6OrVxTPrkWZm3wGo9AwkfVxt0w941RSVO
MEkxkSVwxK3WNBLcN3o6tMMQhePe5ymet+dGjP1abOqluUgQeD0pfSnviNS9tTmBRODXH7LW3Dc1
lVkilBn9E7SJHW1YmKM/XLZNuqMvMe7gO8JkxELRn6l0WD2yUh9Nl7gv0TcHfW/eo6QegFaCvsPh
nhAULltFZO9HLYlp9Qd2xBbrW+3OlRLZ/oJoF7qOZl1iRtdeVNCAJq6pcM8GP9Ie0JUL7nN3bJE5
VZDuxG72KhsjGI8I3cBlp9e/zIbWOgU6p2ywfUcAIRyzApgQzhJAI9T+oa3628ofC6T8zWBllEmM
CmERr8BM0DXKTR2dhDGgsGza7aKgMCmhkdNya7K2WlLSDS7GKOWExg1k65K/7gMYaAgM0la8YqE7
J73TdydaZrQn0MBiFGuG6jNSc4SCSdf1NLc6fDIb4gVcWFC7l3MbgQMgecTZ7THkjo/htzZF4pzC
BOWoN1STJL22UsnlIap3oM30KZLXj0G9PcX34hjpY0nRsz8Q/3eKXe+cKSeIpuwgnvKEJm41LPQ8
xb6oQpjiOb4FN8mUYJTHXIMSKS+onFIQ/ZiNNFNikkwpSnLMVuDv9euuxBghAYk2B++Ev5pOg3iJ
IQi0sWPKYx/TH9wJ0nxTF7Kf26Ultn1pUuE0cnrPZcTEpYCOkIAp5CFHwAhgepjOtLSt90ZfQtGy
BxzV7CnfGovxOi8NaxEr+ZWiBcEmVxgwHdWrKwqUBsL8RMoAAntllhEKbyVc3NPWJ0kzSheVuCZs
ACXbhGFIddcOUEhVvKfsbM4bW9f3jg2ZreAd4PczpYxIPKAJecwjscaIzvyoplJAkmmkeIZ2x8zT
OmahzpSQ5tQR18WUpKIUka6omFJMJ4PNp1Q2mJLaZEpvuckp0SXlLafkN57SYGtKiO0pNTYVz/6Q
GsWHvgqjj9aUQDdTKj1OSXU6pdf0lcm0YUsPG39Kv50pER+OOXk8pefJlKhTz9dOIa7L9/2UxuMv
QEZfTsl9OqX545Twh2zSGP/wW6zXEqSCpspANBUJYHZKNGUpHGh14yx+vqMe7Ue/LXwRG2pT1Uaa
X2lR45bhDUY/oEQxk9fjrX5bHJTb4qo7ry6DWZVeKPH5/2yP8TdkwUmOJWzryc91tjKQ+FPf7ccV
093hnnrp8zbidy/wWDaVDso/9BNNfRILl/ak1/OlbGq+0TWL/YZmo05FczKB+9JR1M03MNUIjHmf
9KBNRPOeCqe6htKexDuOwMNBA44T9r9QOGWWvCicKsirSwOOt/HVQWzENUyOqPY3cSeTaXkh0cqG
iFqrnSfQsHUnHU+lktrrRi+rrUrdbUuny0cNyKrD8y6fEqXUHkx85zkENt2Ii5HwwwLUeKQBMa4a
eEDYqCI7E6bOsjVy/7TFeBDR8WSsNhTWwjvddPsLdCeTe3PM60vNTQRmOiWsFKgP4eAvoNCXNFWa
zr0rZCOQJEHZdOW0GD3MWgM3hZWjjcp7eOMeq02aErEaNGurVWVo1OQGJfXPCy/H2x5GGIgcqETX
QAa8cxp5Jt1AEZp4CGiCVEGFdd3mqnPTYQkSXXuG04pZHWtxv3CyMx0VFP5V9v1CtUJAyG5rXCCb
gTzyMJoXdiYnPFlqrxyRVdgqFKUerrB/jT4mWNJlM+HrXo43gxeehjnmQSmp98oi594KJWjRCM7c
4qI3VA+NzirTr4EHR2+5D5deZ4k807zqWyAiNDw9b6EZldXM+zzx36ZKqp56QimitRZFdIm8Ti/d
OYxA37iI4aqfocCZLfPOCZKZ41AXnKu9p6VrQuZIoWmbqe9DFE4HkG/JVDJv9GZVl0V/C+DcPyP7
RNUwki32kWnhlcBbXNWuNw4wonKHomv3QUWCAWZxJ+3oXE+Vcd2a+kSDDuy3flWk56YWTOhZOx+q
VWK7+UcE/v12Hcdx3a1UJCu2elsp+azrGwv34oz811C0Aby68N7mo12/i+o8j+eplxg3iebUQHIy
3wDXlcY9GlQZbhsdaUOAqUPJi8f+/RzejIJEhpI90DDXqg+jaVvmos8Vo6nmpM1WvQj8xG3mapw2
iAiCqunfRcjkm6eKZhXqLEwTj+lBbA6JQ1G2dZSLu8q0A+w8JwVgPJxwmdCEXzSbKMACcc0RaYX8
pIO0ZajjbQtWB5Xdqee7dDrNv2nyrEAKFpGtNAJgvIG4DdnLUyIEtxM4VNZZ61RIgyMaPMBdxC4Z
peTG1C8FkdZ9XblNv4BaM6QoY3QwJbWoSvfYGaV3nZHQOQ5KzfxsO0lqgMutQMU5Hp3q+UDzd7go
UmdAnq8LTW2Dy4j2fpRZedngJYyPRpnuRAqeaDVQvwmhSggNiRl6xrbaRPbMsir34HSFdqWmjPyy
Eb6jzMvEMeNln1vkupQDlc8A00Zw1rDMOXljbTbSbF0pbtovS6kb5cxQahVuR9+IZRGq2UFHxULb
hy0WgpDXaAvnWr/P1Dgf5mmedSC68tL1J+0pbe4mhb/Hu8k40RGgvYhAxZeTCRLwTkKvAroLRWAk
jbik9xYjVe5JUK16lzMrq0WBiuLnjEjtqtRjOrmxGhH1uEWzUEKcomWDMnRZ9pRj9LJeQkbLcSuE
SAxu38MYzwM0v2xGuIKIb0bmzGSRHvxYKU+jfkQ4txdUe5RaOJ8HQ7rD2lUS2Z+hpa/coOvDVWwf
Zy2P9UETgY12qg817jarg/LTEDvNVE8T+LyrHQh8HQTjKRCwlGKiioYksEl9rSoV+P0C22ap2/3S
K7ViaWmYwQGlkOOJEfrhTIGfu3QyZIOaoWowAK+NraFr6q0M6klZwklXkQh0ZWHWcQYryh3pMxGq
gL+D89KHUXOVGQ3BZgKPvgJ3BsA5LdTgEkfJeClyEN4zE8GsUzXRzCUVKnepWe7HHjXJtRrwJ1lT
E8g7jneHikT9cQAeDBAMPcWFN2jRnVdl8hIpmAp7JSMJt6Ci4vWoTBpt5DA3fe/uB78WH8CF+Jek
386i1XpCM9cy+61dtN3GyGPvFHeeiHG3gq3tA1vD9jgw11mkau+LckQmHd0RC3sCBRdOX1VJkaRh
0O2uvbD95CAr89EEMLEJlMoDSduH1RlbMMDCVoclVbaoX2gKikvg8cb4BNA2uwoln+wm83x7FYeZ
hQpIb1wbI+ZLgCCVfVbBlO2sjAXohVZ7Uyi5h9IHTPATy7Ptpexb/yYXAZodljb6c9ttcAQEVh/P
qqZ10JdK1eQ8HXJ/q7u+tQdtYoGCZc0iTWep0Zmp6A16JL5+HmgjbS6XaPmijAuPnFHFbN5XkUhC
p24At9mE9fWgxcFbJD3bPVUl8xNrV+yFXzoPReVXK7CXLpRJbfAVmLIG8Xqd1exKUXhiFlYII1at
+xmIU2Oe1DaFiKbREIiwE4BwaeMvmjRJQLMUsH9ADgM9tHLKNUZ/qsQ8LAdwYWHIlALhqb0MiD2V
nPdlobKOwY/E5FliKm4A3XA1mDO136BYMjRUY2Y5wGSYsCEpha71ZxnovsneuGvMuSH99EZwVq8s
ow33maF9lrLUoQl6KAUC1YzKGxRY6h2BsAS80lj2yYACE9a1vdG9owiWPZSEf5xCJVaSC4A/4Rxq
cH0fETn/92AN/hvAdV/gEJN+wzfGx38206ffHp0ObrJ/7Y+egs3vX+gLtO5vcQlEvV9F2MebOvo4
/+wa8aEO6uYeVQqBR5AAkGDgMXn8ECLHWep9+bW0UOnE+MUkSj5+UBojon82Rj8ahZ8/4Lcm099e
58UDfMqatC4xp4bIkT7PGcSUyr1IMn4wBF9d4a8h0EgFyDQt8eURHRKI50PgvCGdQdlsslKaPo9D
/j8/BId7WNwTIqsMPtXPh2BKPv7ZGHx1iWdjYDEGKK0Chnh8zwA2n40BflE2vVjkwv+Xp8FXD/AX
ApUU0AKs8k8mwlfX+GsQBNAcYUHlnFLIZ08v7TcGAl4AUH+7V/8IvDXgBb3qydHVtQyWuAoi6fj5
ahdAq1eQItsgcI+fR6Gb32kJSM34h/vAD1+/Zr05GrVbQLCOH0oMz2cB7mfEXSpi9o+D8DjdfqNB
gJLsULd61UwQ6husCWyUhrjS86e3WANA1gzxZYYwOHzRb/T0huD2Xvv0zhsDhUWg4c531wGnoWo7
OiJ+v+kU0KCTvnodqG+opKmGwSg8fl7MBBvJKdrjnIZfxug3XAfC1jVCltfOBvnGVtWJcPDVeeC8
UVWHzcD8Mg/49e+1FhDGmjgNr9oJ2A4p5FJe50A8fl6eCTazxIKXCir/cZI8jvZvtCHo3PprQwKN
TZ/isG7DYvneIMg3jhTMA7gkx8/j9vuPBuEf/NGf6cbcD+L7Y6IRPFTH6P4xgP7bP3iKwr+9wJfo
+sjeIYR+8YdT3vF46ccAa/r3f7w4N48b/7NfPh0Ex+/58t+/POC3X/3iu56e6umHm+ChPJSfcF05
sou+3OajhN5/oqmCDc/33AUwcXkKib+bNf25FH56/Z8ZGKC79yu+oqpeagA+Bu9/DeX//bcXA/1s
Ef/szqGxH8qnAZjeqe5onNCvvezmUA6H9PB0oeNkAWPKMfvqKwfJj60iDFUnon3tV2wPSdL88X8O
Sf7vf5wewPQEL0aInHY6Kl/7LaeHMqUYEL0cpKkf9QuuzVKIv7rwMcR77U3vDlHlH+67h4f86S6P
71ZCiHv6wb++jM4O9/7w/WXK9X/BuFzcB9z+041Od/4l7nntuOyb++aT/1CWw4uLo4Uqnn7wrw/L
vknDw8en6xzvGqTDL5iCV4fwUNX+4UVdhD72lBG9dkSugygKXoiW6pis/IJ3eHNIghg3tfvm6San
EfmSxr/2ro9knO+dE18Co9de//1DVf8xe0i9Q/zi7h8jjtde/ezAZs6GVZcv5viXBOe1V1+jilce
XhSQJNNQ03/BebHOXtzxdF1L+wVbOQf/ITmkjwZ8wafsIxZ8J1WMH1/1fPwpVOJC8Atm/X/+LBCg
5kKZ6JdslD+VBD7GP//6dnNTTv7wL97HdOfoDf+C1ftf8kN85YNMjovTq37+ph/rXpMbxWuXw9kh
ncbp6ULHY/CRzf4LhunvyPKvHJnFQ+wH3975VA587bAs/lxvNKeeLvfX4Bi/4Dycc2LdB7hp+t+5
/i9YxBhHHOo6qL75hi90zl/wfv8B6fOVr3jLUfBDUukvyEduHlha3tcxvvVnAeW18+ifgrxeOUzf
34/+4Nz444czWVIrUy2QZJox+cyZQvvbSf29lPbPIui3ie5Tl+t7/+1lFj/9xaf44VD+x/8DAAD/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chart" Target="../charts/chart11.xml"/><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7.xml"/><Relationship Id="rId12" Type="http://schemas.microsoft.com/office/2014/relationships/chartEx" Target="../charts/chartEx4.xml"/><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hyperlink" Target="#KPIs!A1"/><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hyperlink" Target="#'Dashboard Data'!A1"/></Relationships>
</file>

<file path=xl/drawings/drawing1.xml><?xml version="1.0" encoding="utf-8"?>
<xdr:wsDr xmlns:xdr="http://schemas.openxmlformats.org/drawingml/2006/spreadsheetDrawing" xmlns:a="http://schemas.openxmlformats.org/drawingml/2006/main">
  <xdr:twoCellAnchor editAs="oneCell">
    <xdr:from>
      <xdr:col>0</xdr:col>
      <xdr:colOff>292272</xdr:colOff>
      <xdr:row>83</xdr:row>
      <xdr:rowOff>52260</xdr:rowOff>
    </xdr:from>
    <xdr:to>
      <xdr:col>1</xdr:col>
      <xdr:colOff>1194798</xdr:colOff>
      <xdr:row>96</xdr:row>
      <xdr:rowOff>98169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C90454-6D87-8F9A-B7DF-4089FFF53B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2272" y="15581412"/>
              <a:ext cx="1834027" cy="247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168447</xdr:colOff>
      <xdr:row>83</xdr:row>
      <xdr:rowOff>60068</xdr:rowOff>
    </xdr:from>
    <xdr:to>
      <xdr:col>4</xdr:col>
      <xdr:colOff>775129</xdr:colOff>
      <xdr:row>96</xdr:row>
      <xdr:rowOff>107694</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153985C-5E55-5A83-C95D-D586EB6878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45590" y="15589220"/>
              <a:ext cx="1831325" cy="247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349422</xdr:colOff>
      <xdr:row>83</xdr:row>
      <xdr:rowOff>42735</xdr:rowOff>
    </xdr:from>
    <xdr:to>
      <xdr:col>7</xdr:col>
      <xdr:colOff>260566</xdr:colOff>
      <xdr:row>96</xdr:row>
      <xdr:rowOff>88644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7A40E47-7DDC-FADF-C3B3-85D76EE232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52681" y="15571887"/>
              <a:ext cx="1827904" cy="247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225597</xdr:colOff>
      <xdr:row>83</xdr:row>
      <xdr:rowOff>69593</xdr:rowOff>
    </xdr:from>
    <xdr:to>
      <xdr:col>9</xdr:col>
      <xdr:colOff>740742</xdr:colOff>
      <xdr:row>96</xdr:row>
      <xdr:rowOff>117219</xdr:rowOff>
    </xdr:to>
    <mc:AlternateContent xmlns:mc="http://schemas.openxmlformats.org/markup-compatibility/2006" xmlns:a14="http://schemas.microsoft.com/office/drawing/2010/main">
      <mc:Choice Requires="a14">
        <xdr:graphicFrame macro="">
          <xdr:nvGraphicFramePr>
            <xdr:cNvPr id="5" name="OrderChannel">
              <a:extLst>
                <a:ext uri="{FF2B5EF4-FFF2-40B4-BE49-F238E27FC236}">
                  <a16:creationId xmlns:a16="http://schemas.microsoft.com/office/drawing/2014/main" id="{155BC815-46F1-6B8C-FFA7-CB959FE73980}"/>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7046177" y="15598745"/>
              <a:ext cx="1828612" cy="247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1254640</xdr:colOff>
      <xdr:row>83</xdr:row>
      <xdr:rowOff>98168</xdr:rowOff>
    </xdr:from>
    <xdr:to>
      <xdr:col>13</xdr:col>
      <xdr:colOff>896926</xdr:colOff>
      <xdr:row>90</xdr:row>
      <xdr:rowOff>136268</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7F5BF507-1CC0-BF50-D930-D9088D54A1C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282854" y="15627320"/>
              <a:ext cx="3319994" cy="13477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18</xdr:row>
      <xdr:rowOff>82323</xdr:rowOff>
    </xdr:from>
    <xdr:to>
      <xdr:col>2</xdr:col>
      <xdr:colOff>428625</xdr:colOff>
      <xdr:row>32</xdr:row>
      <xdr:rowOff>158523</xdr:rowOff>
    </xdr:to>
    <xdr:graphicFrame macro="">
      <xdr:nvGraphicFramePr>
        <xdr:cNvPr id="7" name="Chart 6">
          <a:extLst>
            <a:ext uri="{FF2B5EF4-FFF2-40B4-BE49-F238E27FC236}">
              <a16:creationId xmlns:a16="http://schemas.microsoft.com/office/drawing/2014/main" id="{85813538-C138-2541-8044-421485416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1079844</xdr:colOff>
      <xdr:row>33</xdr:row>
      <xdr:rowOff>103261</xdr:rowOff>
    </xdr:from>
    <xdr:to>
      <xdr:col>7</xdr:col>
      <xdr:colOff>328741</xdr:colOff>
      <xdr:row>47</xdr:row>
      <xdr:rowOff>179461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6FF3AB8-F520-1DB1-51BF-69FE6FCE0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03769" y="6389761"/>
              <a:ext cx="464957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365555</xdr:colOff>
      <xdr:row>38</xdr:row>
      <xdr:rowOff>86570</xdr:rowOff>
    </xdr:from>
    <xdr:to>
      <xdr:col>12</xdr:col>
      <xdr:colOff>437637</xdr:colOff>
      <xdr:row>56</xdr:row>
      <xdr:rowOff>136684</xdr:rowOff>
    </xdr:to>
    <xdr:graphicFrame macro="">
      <xdr:nvGraphicFramePr>
        <xdr:cNvPr id="10" name="Chart 9">
          <a:extLst>
            <a:ext uri="{FF2B5EF4-FFF2-40B4-BE49-F238E27FC236}">
              <a16:creationId xmlns:a16="http://schemas.microsoft.com/office/drawing/2014/main" id="{24A3F217-49CB-71F9-E4A7-0AC0E0E81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417041</xdr:colOff>
      <xdr:row>11</xdr:row>
      <xdr:rowOff>155220</xdr:rowOff>
    </xdr:from>
    <xdr:to>
      <xdr:col>13</xdr:col>
      <xdr:colOff>446217</xdr:colOff>
      <xdr:row>20</xdr:row>
      <xdr:rowOff>136684</xdr:rowOff>
    </xdr:to>
    <xdr:graphicFrame macro="">
      <xdr:nvGraphicFramePr>
        <xdr:cNvPr id="11" name="Chart 10">
          <a:extLst>
            <a:ext uri="{FF2B5EF4-FFF2-40B4-BE49-F238E27FC236}">
              <a16:creationId xmlns:a16="http://schemas.microsoft.com/office/drawing/2014/main" id="{46F1F687-B1DC-5577-AB80-3E34F97F3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219675</xdr:colOff>
      <xdr:row>9</xdr:row>
      <xdr:rowOff>129477</xdr:rowOff>
    </xdr:from>
    <xdr:to>
      <xdr:col>18</xdr:col>
      <xdr:colOff>274594</xdr:colOff>
      <xdr:row>21</xdr:row>
      <xdr:rowOff>119523</xdr:rowOff>
    </xdr:to>
    <xdr:graphicFrame macro="">
      <xdr:nvGraphicFramePr>
        <xdr:cNvPr id="13" name="Chart 12">
          <a:extLst>
            <a:ext uri="{FF2B5EF4-FFF2-40B4-BE49-F238E27FC236}">
              <a16:creationId xmlns:a16="http://schemas.microsoft.com/office/drawing/2014/main" id="{C6FA393B-B2B0-D3DE-2FAE-F10532F0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282492</xdr:colOff>
      <xdr:row>31</xdr:row>
      <xdr:rowOff>72270</xdr:rowOff>
    </xdr:from>
    <xdr:to>
      <xdr:col>21</xdr:col>
      <xdr:colOff>276794</xdr:colOff>
      <xdr:row>42</xdr:row>
      <xdr:rowOff>35618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91EDC0F4-BC44-1AA7-419A-77ED6AE57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960767" y="5977770"/>
              <a:ext cx="2870852" cy="20588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225506</xdr:colOff>
      <xdr:row>8</xdr:row>
      <xdr:rowOff>108741</xdr:rowOff>
    </xdr:from>
    <xdr:to>
      <xdr:col>23</xdr:col>
      <xdr:colOff>1291004</xdr:colOff>
      <xdr:row>18</xdr:row>
      <xdr:rowOff>11195</xdr:rowOff>
    </xdr:to>
    <xdr:graphicFrame macro="">
      <xdr:nvGraphicFramePr>
        <xdr:cNvPr id="15" name="Chart 14">
          <a:extLst>
            <a:ext uri="{FF2B5EF4-FFF2-40B4-BE49-F238E27FC236}">
              <a16:creationId xmlns:a16="http://schemas.microsoft.com/office/drawing/2014/main" id="{9A99BB13-8B9F-3577-40A7-2BB291EC8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0</xdr:colOff>
      <xdr:row>5</xdr:row>
      <xdr:rowOff>146538</xdr:rowOff>
    </xdr:from>
    <xdr:to>
      <xdr:col>26</xdr:col>
      <xdr:colOff>1725898</xdr:colOff>
      <xdr:row>8</xdr:row>
      <xdr:rowOff>8140</xdr:rowOff>
    </xdr:to>
    <xdr:sp macro="" textlink="$AA$2">
      <xdr:nvSpPr>
        <xdr:cNvPr id="16" name="TextBox 15">
          <a:extLst>
            <a:ext uri="{FF2B5EF4-FFF2-40B4-BE49-F238E27FC236}">
              <a16:creationId xmlns:a16="http://schemas.microsoft.com/office/drawing/2014/main" id="{4420056B-8F79-465E-2B0B-186DA6306F63}"/>
            </a:ext>
          </a:extLst>
        </xdr:cNvPr>
        <xdr:cNvSpPr txBox="1"/>
      </xdr:nvSpPr>
      <xdr:spPr>
        <a:xfrm>
          <a:off x="28273782" y="1082756"/>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C1422C-202D-4356-9EFB-4423B3B1525B}" type="TxLink">
            <a:rPr lang="en-US" sz="1100" b="0" i="0" u="none" strike="noStrike">
              <a:solidFill>
                <a:srgbClr val="000000"/>
              </a:solidFill>
              <a:latin typeface="Calibri"/>
              <a:ea typeface="Calibri"/>
              <a:cs typeface="Calibri"/>
            </a:rPr>
            <a:pPr/>
            <a:t> 10,366,526 </a:t>
          </a:fld>
          <a:endParaRPr lang="en-US" sz="1100"/>
        </a:p>
      </xdr:txBody>
    </xdr:sp>
    <xdr:clientData/>
  </xdr:twoCellAnchor>
  <xdr:twoCellAnchor>
    <xdr:from>
      <xdr:col>27</xdr:col>
      <xdr:colOff>244230</xdr:colOff>
      <xdr:row>5</xdr:row>
      <xdr:rowOff>162820</xdr:rowOff>
    </xdr:from>
    <xdr:to>
      <xdr:col>29</xdr:col>
      <xdr:colOff>65128</xdr:colOff>
      <xdr:row>8</xdr:row>
      <xdr:rowOff>24422</xdr:rowOff>
    </xdr:to>
    <xdr:sp macro="" textlink="$AC$2">
      <xdr:nvSpPr>
        <xdr:cNvPr id="17" name="TextBox 16">
          <a:extLst>
            <a:ext uri="{FF2B5EF4-FFF2-40B4-BE49-F238E27FC236}">
              <a16:creationId xmlns:a16="http://schemas.microsoft.com/office/drawing/2014/main" id="{5BC56E5F-F22F-E42A-AF47-E2C4CE05BD79}"/>
            </a:ext>
          </a:extLst>
        </xdr:cNvPr>
        <xdr:cNvSpPr txBox="1"/>
      </xdr:nvSpPr>
      <xdr:spPr>
        <a:xfrm>
          <a:off x="30252051" y="1099038"/>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3F1F0E-B813-485F-AF7E-0E7795008F63}" type="TxLink">
            <a:rPr lang="en-US" sz="1100" b="0" i="0" u="none" strike="noStrike">
              <a:solidFill>
                <a:srgbClr val="000000"/>
              </a:solidFill>
              <a:latin typeface="Calibri"/>
              <a:ea typeface="Calibri"/>
              <a:cs typeface="Calibri"/>
            </a:rPr>
            <a:pPr/>
            <a:t>5.21</a:t>
          </a:fld>
          <a:endParaRPr lang="en-US" sz="1100"/>
        </a:p>
      </xdr:txBody>
    </xdr:sp>
    <xdr:clientData/>
  </xdr:twoCellAnchor>
  <xdr:twoCellAnchor>
    <xdr:from>
      <xdr:col>29</xdr:col>
      <xdr:colOff>586154</xdr:colOff>
      <xdr:row>5</xdr:row>
      <xdr:rowOff>73269</xdr:rowOff>
    </xdr:from>
    <xdr:to>
      <xdr:col>31</xdr:col>
      <xdr:colOff>138399</xdr:colOff>
      <xdr:row>7</xdr:row>
      <xdr:rowOff>122115</xdr:rowOff>
    </xdr:to>
    <xdr:sp macro="" textlink="$AE$4">
      <xdr:nvSpPr>
        <xdr:cNvPr id="18" name="TextBox 17">
          <a:extLst>
            <a:ext uri="{FF2B5EF4-FFF2-40B4-BE49-F238E27FC236}">
              <a16:creationId xmlns:a16="http://schemas.microsoft.com/office/drawing/2014/main" id="{C2E7C126-9935-7433-86DA-9559AA342EA2}"/>
            </a:ext>
          </a:extLst>
        </xdr:cNvPr>
        <xdr:cNvSpPr txBox="1"/>
      </xdr:nvSpPr>
      <xdr:spPr>
        <a:xfrm>
          <a:off x="32498975" y="1009487"/>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0F7413-C085-42B6-81F8-B53FC6320A2F}" type="TxLink">
            <a:rPr lang="en-US" sz="1100" b="0" i="0" u="none" strike="noStrike">
              <a:solidFill>
                <a:srgbClr val="000000"/>
              </a:solidFill>
              <a:latin typeface="Calibri"/>
              <a:ea typeface="Calibri"/>
              <a:cs typeface="Calibri"/>
            </a:rPr>
            <a:pPr/>
            <a:t>3</a:t>
          </a:fld>
          <a:endParaRPr lang="en-US" sz="1100"/>
        </a:p>
      </xdr:txBody>
    </xdr:sp>
    <xdr:clientData/>
  </xdr:twoCellAnchor>
  <xdr:twoCellAnchor>
    <xdr:from>
      <xdr:col>12</xdr:col>
      <xdr:colOff>730248</xdr:colOff>
      <xdr:row>47</xdr:row>
      <xdr:rowOff>11761</xdr:rowOff>
    </xdr:from>
    <xdr:to>
      <xdr:col>20</xdr:col>
      <xdr:colOff>141109</xdr:colOff>
      <xdr:row>64</xdr:row>
      <xdr:rowOff>164631</xdr:rowOff>
    </xdr:to>
    <xdr:graphicFrame macro="">
      <xdr:nvGraphicFramePr>
        <xdr:cNvPr id="9" name="Chart 8">
          <a:extLst>
            <a:ext uri="{FF2B5EF4-FFF2-40B4-BE49-F238E27FC236}">
              <a16:creationId xmlns:a16="http://schemas.microsoft.com/office/drawing/2014/main" id="{C1556684-EF45-9B14-BD85-AE9A14AEF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13607</xdr:colOff>
      <xdr:row>0</xdr:row>
      <xdr:rowOff>0</xdr:rowOff>
    </xdr:from>
    <xdr:to>
      <xdr:col>26</xdr:col>
      <xdr:colOff>13607</xdr:colOff>
      <xdr:row>38</xdr:row>
      <xdr:rowOff>16858</xdr:rowOff>
    </xdr:to>
    <xdr:sp macro="" textlink="">
      <xdr:nvSpPr>
        <xdr:cNvPr id="36" name="Rectangle 35">
          <a:extLst>
            <a:ext uri="{FF2B5EF4-FFF2-40B4-BE49-F238E27FC236}">
              <a16:creationId xmlns:a16="http://schemas.microsoft.com/office/drawing/2014/main" id="{F3C1DC34-69F7-6E33-AC03-9EEF5A788081}"/>
            </a:ext>
          </a:extLst>
        </xdr:cNvPr>
        <xdr:cNvSpPr/>
      </xdr:nvSpPr>
      <xdr:spPr>
        <a:xfrm>
          <a:off x="13607" y="0"/>
          <a:ext cx="15920357" cy="7255858"/>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11284</xdr:colOff>
      <xdr:row>11</xdr:row>
      <xdr:rowOff>176893</xdr:rowOff>
    </xdr:from>
    <xdr:to>
      <xdr:col>17</xdr:col>
      <xdr:colOff>0</xdr:colOff>
      <xdr:row>22</xdr:row>
      <xdr:rowOff>163286</xdr:rowOff>
    </xdr:to>
    <xdr:sp macro="" textlink="">
      <xdr:nvSpPr>
        <xdr:cNvPr id="16" name="Rectangle 15">
          <a:extLst>
            <a:ext uri="{FF2B5EF4-FFF2-40B4-BE49-F238E27FC236}">
              <a16:creationId xmlns:a16="http://schemas.microsoft.com/office/drawing/2014/main" id="{E2561FE6-5785-64F5-23F1-2BE312EF408D}"/>
            </a:ext>
          </a:extLst>
        </xdr:cNvPr>
        <xdr:cNvSpPr/>
      </xdr:nvSpPr>
      <xdr:spPr>
        <a:xfrm>
          <a:off x="7359141" y="2272393"/>
          <a:ext cx="3050323" cy="2081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26</xdr:row>
      <xdr:rowOff>38101</xdr:rowOff>
    </xdr:from>
    <xdr:to>
      <xdr:col>12</xdr:col>
      <xdr:colOff>0</xdr:colOff>
      <xdr:row>38</xdr:row>
      <xdr:rowOff>28575</xdr:rowOff>
    </xdr:to>
    <xdr:sp macro="" textlink="">
      <xdr:nvSpPr>
        <xdr:cNvPr id="14" name="Rectangle 13">
          <a:extLst>
            <a:ext uri="{FF2B5EF4-FFF2-40B4-BE49-F238E27FC236}">
              <a16:creationId xmlns:a16="http://schemas.microsoft.com/office/drawing/2014/main" id="{92587758-09FE-E40B-A760-510C9967E420}"/>
            </a:ext>
          </a:extLst>
        </xdr:cNvPr>
        <xdr:cNvSpPr/>
      </xdr:nvSpPr>
      <xdr:spPr>
        <a:xfrm>
          <a:off x="0" y="4991101"/>
          <a:ext cx="7315200" cy="2276474"/>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31060</xdr:colOff>
      <xdr:row>25</xdr:row>
      <xdr:rowOff>19050</xdr:rowOff>
    </xdr:from>
    <xdr:to>
      <xdr:col>26</xdr:col>
      <xdr:colOff>16859</xdr:colOff>
      <xdr:row>38</xdr:row>
      <xdr:rowOff>42145</xdr:rowOff>
    </xdr:to>
    <xdr:sp macro="" textlink="">
      <xdr:nvSpPr>
        <xdr:cNvPr id="34" name="Rectangle 33">
          <a:extLst>
            <a:ext uri="{FF2B5EF4-FFF2-40B4-BE49-F238E27FC236}">
              <a16:creationId xmlns:a16="http://schemas.microsoft.com/office/drawing/2014/main" id="{1A27C5E7-4ECC-B92B-3EA4-0370E88926D1}"/>
            </a:ext>
          </a:extLst>
        </xdr:cNvPr>
        <xdr:cNvSpPr/>
      </xdr:nvSpPr>
      <xdr:spPr>
        <a:xfrm>
          <a:off x="10415381" y="4678017"/>
          <a:ext cx="5483380" cy="2445758"/>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23</xdr:row>
      <xdr:rowOff>0</xdr:rowOff>
    </xdr:from>
    <xdr:to>
      <xdr:col>17</xdr:col>
      <xdr:colOff>31059</xdr:colOff>
      <xdr:row>38</xdr:row>
      <xdr:rowOff>50575</xdr:rowOff>
    </xdr:to>
    <xdr:sp macro="" textlink="">
      <xdr:nvSpPr>
        <xdr:cNvPr id="32" name="Rectangle 31">
          <a:extLst>
            <a:ext uri="{FF2B5EF4-FFF2-40B4-BE49-F238E27FC236}">
              <a16:creationId xmlns:a16="http://schemas.microsoft.com/office/drawing/2014/main" id="{2AC64096-13F0-EB18-7F86-647165F2DBC8}"/>
            </a:ext>
          </a:extLst>
        </xdr:cNvPr>
        <xdr:cNvSpPr/>
      </xdr:nvSpPr>
      <xdr:spPr>
        <a:xfrm>
          <a:off x="7315200" y="4381500"/>
          <a:ext cx="3079059" cy="2908075"/>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4</xdr:row>
      <xdr:rowOff>161926</xdr:rowOff>
    </xdr:from>
    <xdr:to>
      <xdr:col>5</xdr:col>
      <xdr:colOff>571500</xdr:colOff>
      <xdr:row>26</xdr:row>
      <xdr:rowOff>28575</xdr:rowOff>
    </xdr:to>
    <xdr:sp macro="" textlink="">
      <xdr:nvSpPr>
        <xdr:cNvPr id="30" name="Rectangle 29">
          <a:extLst>
            <a:ext uri="{FF2B5EF4-FFF2-40B4-BE49-F238E27FC236}">
              <a16:creationId xmlns:a16="http://schemas.microsoft.com/office/drawing/2014/main" id="{EEF72B5A-91A0-6E3A-D499-5129A2D3F104}"/>
            </a:ext>
          </a:extLst>
        </xdr:cNvPr>
        <xdr:cNvSpPr/>
      </xdr:nvSpPr>
      <xdr:spPr>
        <a:xfrm>
          <a:off x="9525" y="923926"/>
          <a:ext cx="3609975" cy="4057649"/>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12</xdr:col>
      <xdr:colOff>0</xdr:colOff>
      <xdr:row>4</xdr:row>
      <xdr:rowOff>161925</xdr:rowOff>
    </xdr:to>
    <xdr:sp macro="" textlink="">
      <xdr:nvSpPr>
        <xdr:cNvPr id="2" name="Rectangle 1">
          <a:extLst>
            <a:ext uri="{FF2B5EF4-FFF2-40B4-BE49-F238E27FC236}">
              <a16:creationId xmlns:a16="http://schemas.microsoft.com/office/drawing/2014/main" id="{F9C8A2E7-C3E2-30AC-E6FA-3E07B8258BA5}"/>
            </a:ext>
          </a:extLst>
        </xdr:cNvPr>
        <xdr:cNvSpPr/>
      </xdr:nvSpPr>
      <xdr:spPr>
        <a:xfrm>
          <a:off x="0" y="9525"/>
          <a:ext cx="7330109" cy="89783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clientData/>
  </xdr:twoCellAnchor>
  <xdr:twoCellAnchor>
    <xdr:from>
      <xdr:col>12</xdr:col>
      <xdr:colOff>47624</xdr:colOff>
      <xdr:row>0</xdr:row>
      <xdr:rowOff>9525</xdr:rowOff>
    </xdr:from>
    <xdr:to>
      <xdr:col>26</xdr:col>
      <xdr:colOff>20706</xdr:colOff>
      <xdr:row>4</xdr:row>
      <xdr:rowOff>161925</xdr:rowOff>
    </xdr:to>
    <xdr:sp macro="" textlink="">
      <xdr:nvSpPr>
        <xdr:cNvPr id="3" name="Rectangle 2">
          <a:extLst>
            <a:ext uri="{FF2B5EF4-FFF2-40B4-BE49-F238E27FC236}">
              <a16:creationId xmlns:a16="http://schemas.microsoft.com/office/drawing/2014/main" id="{F63B4139-C89F-06B4-1941-85307B05ACF8}"/>
            </a:ext>
          </a:extLst>
        </xdr:cNvPr>
        <xdr:cNvSpPr/>
      </xdr:nvSpPr>
      <xdr:spPr>
        <a:xfrm>
          <a:off x="7377733" y="9525"/>
          <a:ext cx="8524875" cy="897835"/>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noFill/>
            </a:rPr>
            <a:t>z</a:t>
          </a:r>
        </a:p>
      </xdr:txBody>
    </xdr:sp>
    <xdr:clientData/>
  </xdr:twoCellAnchor>
  <xdr:twoCellAnchor>
    <xdr:from>
      <xdr:col>13</xdr:col>
      <xdr:colOff>104774</xdr:colOff>
      <xdr:row>1</xdr:row>
      <xdr:rowOff>187569</xdr:rowOff>
    </xdr:from>
    <xdr:to>
      <xdr:col>16</xdr:col>
      <xdr:colOff>247650</xdr:colOff>
      <xdr:row>4</xdr:row>
      <xdr:rowOff>39402</xdr:rowOff>
    </xdr:to>
    <xdr:sp macro="" textlink="KPIs!$AA$2">
      <xdr:nvSpPr>
        <xdr:cNvPr id="4" name="TextBox 3">
          <a:extLst>
            <a:ext uri="{FF2B5EF4-FFF2-40B4-BE49-F238E27FC236}">
              <a16:creationId xmlns:a16="http://schemas.microsoft.com/office/drawing/2014/main" id="{309E9E61-FCA5-4C0B-8A0B-E9CE05A28594}"/>
            </a:ext>
          </a:extLst>
        </xdr:cNvPr>
        <xdr:cNvSpPr txBox="1"/>
      </xdr:nvSpPr>
      <xdr:spPr>
        <a:xfrm>
          <a:off x="8029574" y="378069"/>
          <a:ext cx="1971676"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6E3E69-6C10-403C-BC9B-CE830E341FCF}" type="TxLink">
            <a:rPr lang="en-US" sz="2000" b="1" i="0" u="none" strike="noStrike">
              <a:solidFill>
                <a:srgbClr val="000000"/>
              </a:solidFill>
              <a:latin typeface="Calibri"/>
              <a:ea typeface="Calibri"/>
              <a:cs typeface="Calibri"/>
            </a:rPr>
            <a:pPr algn="ctr"/>
            <a:t> 10,366,526 </a:t>
          </a:fld>
          <a:endParaRPr lang="en-US" sz="2000" b="1"/>
        </a:p>
      </xdr:txBody>
    </xdr:sp>
    <xdr:clientData/>
  </xdr:twoCellAnchor>
  <xdr:twoCellAnchor>
    <xdr:from>
      <xdr:col>17</xdr:col>
      <xdr:colOff>495300</xdr:colOff>
      <xdr:row>2</xdr:row>
      <xdr:rowOff>3826</xdr:rowOff>
    </xdr:from>
    <xdr:to>
      <xdr:col>21</xdr:col>
      <xdr:colOff>28575</xdr:colOff>
      <xdr:row>4</xdr:row>
      <xdr:rowOff>46159</xdr:rowOff>
    </xdr:to>
    <xdr:sp macro="" textlink="KPIs!$AC$2">
      <xdr:nvSpPr>
        <xdr:cNvPr id="5" name="TextBox 4">
          <a:extLst>
            <a:ext uri="{FF2B5EF4-FFF2-40B4-BE49-F238E27FC236}">
              <a16:creationId xmlns:a16="http://schemas.microsoft.com/office/drawing/2014/main" id="{506496BA-827B-436B-88B6-6C31D5B17F2F}"/>
            </a:ext>
          </a:extLst>
        </xdr:cNvPr>
        <xdr:cNvSpPr txBox="1"/>
      </xdr:nvSpPr>
      <xdr:spPr>
        <a:xfrm>
          <a:off x="10858500" y="384826"/>
          <a:ext cx="1971675"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24C3DF-1BE4-4D65-A719-0E55F9C9EFB0}" type="TxLink">
            <a:rPr lang="en-US" sz="2000" b="1" i="0" u="none" strike="noStrike">
              <a:solidFill>
                <a:srgbClr val="000000"/>
              </a:solidFill>
              <a:latin typeface="Calibri"/>
              <a:ea typeface="Calibri"/>
              <a:cs typeface="Calibri"/>
            </a:rPr>
            <a:pPr algn="ctr"/>
            <a:t>5.21</a:t>
          </a:fld>
          <a:endParaRPr lang="en-US" sz="2000" b="1"/>
        </a:p>
      </xdr:txBody>
    </xdr:sp>
    <xdr:clientData/>
  </xdr:twoCellAnchor>
  <xdr:twoCellAnchor>
    <xdr:from>
      <xdr:col>22</xdr:col>
      <xdr:colOff>238126</xdr:colOff>
      <xdr:row>2</xdr:row>
      <xdr:rowOff>19050</xdr:rowOff>
    </xdr:from>
    <xdr:to>
      <xdr:col>25</xdr:col>
      <xdr:colOff>400050</xdr:colOff>
      <xdr:row>4</xdr:row>
      <xdr:rowOff>61383</xdr:rowOff>
    </xdr:to>
    <xdr:sp macro="" textlink="KPIs!$AE$2">
      <xdr:nvSpPr>
        <xdr:cNvPr id="6" name="TextBox 5">
          <a:extLst>
            <a:ext uri="{FF2B5EF4-FFF2-40B4-BE49-F238E27FC236}">
              <a16:creationId xmlns:a16="http://schemas.microsoft.com/office/drawing/2014/main" id="{6D48A4C9-F517-4509-874B-774ECD06671F}"/>
            </a:ext>
          </a:extLst>
        </xdr:cNvPr>
        <xdr:cNvSpPr txBox="1"/>
      </xdr:nvSpPr>
      <xdr:spPr>
        <a:xfrm>
          <a:off x="13649326" y="400050"/>
          <a:ext cx="1990724"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A10B67-A4DC-46FC-AC6E-AADDA8BD5F2A}" type="TxLink">
            <a:rPr lang="en-US" sz="2000" b="1" i="0" u="none" strike="noStrike">
              <a:solidFill>
                <a:srgbClr val="000000"/>
              </a:solidFill>
              <a:latin typeface="Calibri"/>
              <a:ea typeface="Calibri"/>
              <a:cs typeface="Calibri"/>
            </a:rPr>
            <a:pPr algn="ctr"/>
            <a:t>2.78</a:t>
          </a:fld>
          <a:endParaRPr lang="en-US" sz="2000" b="1"/>
        </a:p>
      </xdr:txBody>
    </xdr:sp>
    <xdr:clientData/>
  </xdr:twoCellAnchor>
  <xdr:twoCellAnchor>
    <xdr:from>
      <xdr:col>13</xdr:col>
      <xdr:colOff>257175</xdr:colOff>
      <xdr:row>0</xdr:row>
      <xdr:rowOff>161925</xdr:rowOff>
    </xdr:from>
    <xdr:to>
      <xdr:col>16</xdr:col>
      <xdr:colOff>133350</xdr:colOff>
      <xdr:row>2</xdr:row>
      <xdr:rowOff>47625</xdr:rowOff>
    </xdr:to>
    <xdr:sp macro="" textlink="">
      <xdr:nvSpPr>
        <xdr:cNvPr id="9" name="Rectangle 8">
          <a:extLst>
            <a:ext uri="{FF2B5EF4-FFF2-40B4-BE49-F238E27FC236}">
              <a16:creationId xmlns:a16="http://schemas.microsoft.com/office/drawing/2014/main" id="{9BD55B31-BF5C-844B-1389-2F6255EDBA4E}"/>
            </a:ext>
          </a:extLst>
        </xdr:cNvPr>
        <xdr:cNvSpPr/>
      </xdr:nvSpPr>
      <xdr:spPr>
        <a:xfrm>
          <a:off x="8181975" y="161925"/>
          <a:ext cx="170497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Sales</a:t>
          </a:r>
        </a:p>
      </xdr:txBody>
    </xdr:sp>
    <xdr:clientData/>
  </xdr:twoCellAnchor>
  <xdr:twoCellAnchor>
    <xdr:from>
      <xdr:col>17</xdr:col>
      <xdr:colOff>600075</xdr:colOff>
      <xdr:row>0</xdr:row>
      <xdr:rowOff>161925</xdr:rowOff>
    </xdr:from>
    <xdr:to>
      <xdr:col>20</xdr:col>
      <xdr:colOff>533400</xdr:colOff>
      <xdr:row>2</xdr:row>
      <xdr:rowOff>47625</xdr:rowOff>
    </xdr:to>
    <xdr:sp macro="" textlink="">
      <xdr:nvSpPr>
        <xdr:cNvPr id="10" name="Rectangle 9">
          <a:extLst>
            <a:ext uri="{FF2B5EF4-FFF2-40B4-BE49-F238E27FC236}">
              <a16:creationId xmlns:a16="http://schemas.microsoft.com/office/drawing/2014/main" id="{0EFDE5A0-C20B-0604-F235-2FD4DB44EEEF}"/>
            </a:ext>
          </a:extLst>
        </xdr:cNvPr>
        <xdr:cNvSpPr/>
      </xdr:nvSpPr>
      <xdr:spPr>
        <a:xfrm>
          <a:off x="10963275" y="161925"/>
          <a:ext cx="176212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Average</a:t>
          </a:r>
          <a:r>
            <a:rPr lang="en-US" sz="1100" b="1" baseline="0"/>
            <a:t> Delivey Days</a:t>
          </a:r>
          <a:endParaRPr lang="en-US" sz="1100" b="1"/>
        </a:p>
      </xdr:txBody>
    </xdr:sp>
    <xdr:clientData/>
  </xdr:twoCellAnchor>
  <xdr:twoCellAnchor>
    <xdr:from>
      <xdr:col>22</xdr:col>
      <xdr:colOff>371475</xdr:colOff>
      <xdr:row>0</xdr:row>
      <xdr:rowOff>180975</xdr:rowOff>
    </xdr:from>
    <xdr:to>
      <xdr:col>25</xdr:col>
      <xdr:colOff>266700</xdr:colOff>
      <xdr:row>2</xdr:row>
      <xdr:rowOff>66675</xdr:rowOff>
    </xdr:to>
    <xdr:sp macro="" textlink="">
      <xdr:nvSpPr>
        <xdr:cNvPr id="11" name="Rectangle 10">
          <a:extLst>
            <a:ext uri="{FF2B5EF4-FFF2-40B4-BE49-F238E27FC236}">
              <a16:creationId xmlns:a16="http://schemas.microsoft.com/office/drawing/2014/main" id="{2BC21DBE-CF34-7701-4A49-9D676FE32E30}"/>
            </a:ext>
          </a:extLst>
        </xdr:cNvPr>
        <xdr:cNvSpPr/>
      </xdr:nvSpPr>
      <xdr:spPr>
        <a:xfrm>
          <a:off x="13782675" y="180975"/>
          <a:ext cx="172402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Averag</a:t>
          </a:r>
          <a:r>
            <a:rPr lang="en-US" sz="1100" b="1" baseline="0"/>
            <a:t>e Rating</a:t>
          </a:r>
          <a:endParaRPr lang="en-US" sz="1100" b="1"/>
        </a:p>
      </xdr:txBody>
    </xdr:sp>
    <xdr:clientData/>
  </xdr:twoCellAnchor>
  <xdr:twoCellAnchor editAs="oneCell">
    <xdr:from>
      <xdr:col>21</xdr:col>
      <xdr:colOff>295276</xdr:colOff>
      <xdr:row>1</xdr:row>
      <xdr:rowOff>142876</xdr:rowOff>
    </xdr:from>
    <xdr:to>
      <xdr:col>22</xdr:col>
      <xdr:colOff>197740</xdr:colOff>
      <xdr:row>4</xdr:row>
      <xdr:rowOff>83440</xdr:rowOff>
    </xdr:to>
    <xdr:pic>
      <xdr:nvPicPr>
        <xdr:cNvPr id="13" name="Graphic 12" descr="Star with solid fill">
          <a:extLst>
            <a:ext uri="{FF2B5EF4-FFF2-40B4-BE49-F238E27FC236}">
              <a16:creationId xmlns:a16="http://schemas.microsoft.com/office/drawing/2014/main" id="{E776FC22-4A02-BD0E-AF42-D73BD96C0E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96876" y="333376"/>
          <a:ext cx="512064" cy="512064"/>
        </a:xfrm>
        <a:prstGeom prst="rect">
          <a:avLst/>
        </a:prstGeom>
      </xdr:spPr>
    </xdr:pic>
    <xdr:clientData/>
  </xdr:twoCellAnchor>
  <xdr:twoCellAnchor editAs="oneCell">
    <xdr:from>
      <xdr:col>16</xdr:col>
      <xdr:colOff>531002</xdr:colOff>
      <xdr:row>1</xdr:row>
      <xdr:rowOff>178577</xdr:rowOff>
    </xdr:from>
    <xdr:to>
      <xdr:col>17</xdr:col>
      <xdr:colOff>433466</xdr:colOff>
      <xdr:row>4</xdr:row>
      <xdr:rowOff>119141</xdr:rowOff>
    </xdr:to>
    <xdr:pic>
      <xdr:nvPicPr>
        <xdr:cNvPr id="15" name="Graphic 14" descr="Truck with solid fill">
          <a:extLst>
            <a:ext uri="{FF2B5EF4-FFF2-40B4-BE49-F238E27FC236}">
              <a16:creationId xmlns:a16="http://schemas.microsoft.com/office/drawing/2014/main" id="{C6B137A2-55E7-A144-2417-54225FF84D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84602" y="369077"/>
          <a:ext cx="512064" cy="512064"/>
        </a:xfrm>
        <a:prstGeom prst="rect">
          <a:avLst/>
        </a:prstGeom>
      </xdr:spPr>
    </xdr:pic>
    <xdr:clientData/>
  </xdr:twoCellAnchor>
  <xdr:twoCellAnchor editAs="oneCell">
    <xdr:from>
      <xdr:col>12</xdr:col>
      <xdr:colOff>147601</xdr:colOff>
      <xdr:row>1</xdr:row>
      <xdr:rowOff>128551</xdr:rowOff>
    </xdr:from>
    <xdr:to>
      <xdr:col>13</xdr:col>
      <xdr:colOff>47625</xdr:colOff>
      <xdr:row>4</xdr:row>
      <xdr:rowOff>66675</xdr:rowOff>
    </xdr:to>
    <xdr:pic>
      <xdr:nvPicPr>
        <xdr:cNvPr id="17" name="Graphic 16" descr="Bar graph with upward trend with solid fill">
          <a:extLst>
            <a:ext uri="{FF2B5EF4-FFF2-40B4-BE49-F238E27FC236}">
              <a16:creationId xmlns:a16="http://schemas.microsoft.com/office/drawing/2014/main" id="{9D31B6F8-99D1-BA28-71B6-AEF6F450DA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62801" y="319051"/>
          <a:ext cx="509624" cy="509624"/>
        </a:xfrm>
        <a:prstGeom prst="rect">
          <a:avLst/>
        </a:prstGeom>
      </xdr:spPr>
    </xdr:pic>
    <xdr:clientData/>
  </xdr:twoCellAnchor>
  <xdr:twoCellAnchor editAs="oneCell">
    <xdr:from>
      <xdr:col>19</xdr:col>
      <xdr:colOff>499482</xdr:colOff>
      <xdr:row>5</xdr:row>
      <xdr:rowOff>1096</xdr:rowOff>
    </xdr:from>
    <xdr:to>
      <xdr:col>22</xdr:col>
      <xdr:colOff>266241</xdr:colOff>
      <xdr:row>11</xdr:row>
      <xdr:rowOff>162622</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A6FD13DB-E626-428B-A193-30C536703E5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96581" y="953596"/>
              <a:ext cx="1580860" cy="128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11207</xdr:colOff>
      <xdr:row>5</xdr:row>
      <xdr:rowOff>8907</xdr:rowOff>
    </xdr:from>
    <xdr:to>
      <xdr:col>14</xdr:col>
      <xdr:colOff>396174</xdr:colOff>
      <xdr:row>11</xdr:row>
      <xdr:rowOff>151726</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A3B3E983-B830-4D17-BE6B-B5BC49DA5F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26407" y="961407"/>
              <a:ext cx="1604167" cy="128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396409</xdr:colOff>
      <xdr:row>5</xdr:row>
      <xdr:rowOff>7512</xdr:rowOff>
    </xdr:from>
    <xdr:to>
      <xdr:col>17</xdr:col>
      <xdr:colOff>173225</xdr:colOff>
      <xdr:row>11</xdr:row>
      <xdr:rowOff>155299</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733B2912-165A-4A10-B06A-BB5C2FAAA0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36802" y="970714"/>
              <a:ext cx="1606901" cy="1303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148758</xdr:colOff>
      <xdr:row>5</xdr:row>
      <xdr:rowOff>1572</xdr:rowOff>
    </xdr:from>
    <xdr:to>
      <xdr:col>19</xdr:col>
      <xdr:colOff>507721</xdr:colOff>
      <xdr:row>11</xdr:row>
      <xdr:rowOff>155298</xdr:rowOff>
    </xdr:to>
    <mc:AlternateContent xmlns:mc="http://schemas.openxmlformats.org/markup-compatibility/2006" xmlns:a14="http://schemas.microsoft.com/office/drawing/2010/main">
      <mc:Choice Requires="a14">
        <xdr:graphicFrame macro="">
          <xdr:nvGraphicFramePr>
            <xdr:cNvPr id="21" name="OrderChannel 1">
              <a:extLst>
                <a:ext uri="{FF2B5EF4-FFF2-40B4-BE49-F238E27FC236}">
                  <a16:creationId xmlns:a16="http://schemas.microsoft.com/office/drawing/2014/main" id="{CEE35AAA-6F79-4865-AEF7-2F14F66F1A9F}"/>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10511958" y="954072"/>
              <a:ext cx="1578163" cy="128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243933</xdr:colOff>
      <xdr:row>4</xdr:row>
      <xdr:rowOff>178521</xdr:rowOff>
    </xdr:from>
    <xdr:to>
      <xdr:col>26</xdr:col>
      <xdr:colOff>10353</xdr:colOff>
      <xdr:row>11</xdr:row>
      <xdr:rowOff>135785</xdr:rowOff>
    </xdr:to>
    <mc:AlternateContent xmlns:mc="http://schemas.openxmlformats.org/markup-compatibility/2006" xmlns:tsle="http://schemas.microsoft.com/office/drawing/2012/timeslicer">
      <mc:Choice Requires="tsle">
        <xdr:graphicFrame macro="">
          <xdr:nvGraphicFramePr>
            <xdr:cNvPr id="22" name="Order_date 1">
              <a:extLst>
                <a:ext uri="{FF2B5EF4-FFF2-40B4-BE49-F238E27FC236}">
                  <a16:creationId xmlns:a16="http://schemas.microsoft.com/office/drawing/2014/main" id="{4DF49CC6-F40E-4DFF-B30E-8CF4617518F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696160" y="940521"/>
              <a:ext cx="2130649" cy="12907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76200</xdr:colOff>
      <xdr:row>5</xdr:row>
      <xdr:rowOff>31794</xdr:rowOff>
    </xdr:from>
    <xdr:to>
      <xdr:col>5</xdr:col>
      <xdr:colOff>495300</xdr:colOff>
      <xdr:row>26</xdr:row>
      <xdr:rowOff>19050</xdr:rowOff>
    </xdr:to>
    <xdr:graphicFrame macro="">
      <xdr:nvGraphicFramePr>
        <xdr:cNvPr id="23" name="Chart 22">
          <a:extLst>
            <a:ext uri="{FF2B5EF4-FFF2-40B4-BE49-F238E27FC236}">
              <a16:creationId xmlns:a16="http://schemas.microsoft.com/office/drawing/2014/main" id="{9517A5CB-D633-4EE0-B4F1-E155C5264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26</xdr:row>
      <xdr:rowOff>95250</xdr:rowOff>
    </xdr:from>
    <xdr:to>
      <xdr:col>11</xdr:col>
      <xdr:colOff>601579</xdr:colOff>
      <xdr:row>38</xdr:row>
      <xdr:rowOff>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869CC923-635C-46CA-B6E9-FCC23D9FB5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7150" y="5048250"/>
              <a:ext cx="7250029"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408833</xdr:colOff>
      <xdr:row>80</xdr:row>
      <xdr:rowOff>20706</xdr:rowOff>
    </xdr:from>
    <xdr:to>
      <xdr:col>17</xdr:col>
      <xdr:colOff>180148</xdr:colOff>
      <xdr:row>106</xdr:row>
      <xdr:rowOff>20706</xdr:rowOff>
    </xdr:to>
    <xdr:graphicFrame macro="">
      <xdr:nvGraphicFramePr>
        <xdr:cNvPr id="25" name="Chart 24">
          <a:extLst>
            <a:ext uri="{FF2B5EF4-FFF2-40B4-BE49-F238E27FC236}">
              <a16:creationId xmlns:a16="http://schemas.microsoft.com/office/drawing/2014/main" id="{C75A3D4B-589D-4781-A609-40B145276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538369</xdr:colOff>
      <xdr:row>11</xdr:row>
      <xdr:rowOff>144375</xdr:rowOff>
    </xdr:from>
    <xdr:to>
      <xdr:col>26</xdr:col>
      <xdr:colOff>20707</xdr:colOff>
      <xdr:row>25</xdr:row>
      <xdr:rowOff>31060</xdr:rowOff>
    </xdr:to>
    <xdr:graphicFrame macro="">
      <xdr:nvGraphicFramePr>
        <xdr:cNvPr id="26" name="Chart 25">
          <a:extLst>
            <a:ext uri="{FF2B5EF4-FFF2-40B4-BE49-F238E27FC236}">
              <a16:creationId xmlns:a16="http://schemas.microsoft.com/office/drawing/2014/main" id="{4847E001-DE64-4E51-A8E4-A781922A3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31059</xdr:colOff>
      <xdr:row>11</xdr:row>
      <xdr:rowOff>146823</xdr:rowOff>
    </xdr:from>
    <xdr:to>
      <xdr:col>20</xdr:col>
      <xdr:colOff>534642</xdr:colOff>
      <xdr:row>25</xdr:row>
      <xdr:rowOff>10353</xdr:rowOff>
    </xdr:to>
    <xdr:graphicFrame macro="">
      <xdr:nvGraphicFramePr>
        <xdr:cNvPr id="27" name="Chart 26">
          <a:extLst>
            <a:ext uri="{FF2B5EF4-FFF2-40B4-BE49-F238E27FC236}">
              <a16:creationId xmlns:a16="http://schemas.microsoft.com/office/drawing/2014/main" id="{EECA424C-F879-4FD6-AB73-6123AF63D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581025</xdr:colOff>
      <xdr:row>4</xdr:row>
      <xdr:rowOff>171451</xdr:rowOff>
    </xdr:from>
    <xdr:to>
      <xdr:col>11</xdr:col>
      <xdr:colOff>600075</xdr:colOff>
      <xdr:row>26</xdr:row>
      <xdr:rowOff>28575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9CD0C07D-C4F8-4CDE-AACA-A641177B1E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629025" y="933451"/>
              <a:ext cx="3676650" cy="40481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68422</xdr:colOff>
      <xdr:row>23</xdr:row>
      <xdr:rowOff>95250</xdr:rowOff>
    </xdr:from>
    <xdr:to>
      <xdr:col>16</xdr:col>
      <xdr:colOff>581026</xdr:colOff>
      <xdr:row>37</xdr:row>
      <xdr:rowOff>164794</xdr:rowOff>
    </xdr:to>
    <xdr:graphicFrame macro="">
      <xdr:nvGraphicFramePr>
        <xdr:cNvPr id="35" name="Chart 34">
          <a:extLst>
            <a:ext uri="{FF2B5EF4-FFF2-40B4-BE49-F238E27FC236}">
              <a16:creationId xmlns:a16="http://schemas.microsoft.com/office/drawing/2014/main" id="{709B04A3-2C1C-439C-B504-2C67B146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123825</xdr:colOff>
      <xdr:row>12</xdr:row>
      <xdr:rowOff>152400</xdr:rowOff>
    </xdr:from>
    <xdr:to>
      <xdr:col>16</xdr:col>
      <xdr:colOff>476250</xdr:colOff>
      <xdr:row>16</xdr:row>
      <xdr:rowOff>57150</xdr:rowOff>
    </xdr:to>
    <xdr:sp macro="" textlink="">
      <xdr:nvSpPr>
        <xdr:cNvPr id="38" name="Rectangle: Beveled 37">
          <a:hlinkClick xmlns:r="http://schemas.openxmlformats.org/officeDocument/2006/relationships" r:id="rId14"/>
          <a:extLst>
            <a:ext uri="{FF2B5EF4-FFF2-40B4-BE49-F238E27FC236}">
              <a16:creationId xmlns:a16="http://schemas.microsoft.com/office/drawing/2014/main" id="{543A5F4D-8741-6397-C1E1-3180975C8A40}"/>
            </a:ext>
          </a:extLst>
        </xdr:cNvPr>
        <xdr:cNvSpPr/>
      </xdr:nvSpPr>
      <xdr:spPr>
        <a:xfrm>
          <a:off x="7439025" y="2438400"/>
          <a:ext cx="2790825" cy="66675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Data</a:t>
          </a:r>
        </a:p>
      </xdr:txBody>
    </xdr:sp>
    <xdr:clientData/>
  </xdr:twoCellAnchor>
  <xdr:twoCellAnchor>
    <xdr:from>
      <xdr:col>12</xdr:col>
      <xdr:colOff>133350</xdr:colOff>
      <xdr:row>17</xdr:row>
      <xdr:rowOff>95249</xdr:rowOff>
    </xdr:from>
    <xdr:to>
      <xdr:col>16</xdr:col>
      <xdr:colOff>476250</xdr:colOff>
      <xdr:row>20</xdr:row>
      <xdr:rowOff>190499</xdr:rowOff>
    </xdr:to>
    <xdr:sp macro="" textlink="">
      <xdr:nvSpPr>
        <xdr:cNvPr id="39" name="Rectangle: Beveled 38">
          <a:hlinkClick xmlns:r="http://schemas.openxmlformats.org/officeDocument/2006/relationships" r:id="rId15"/>
          <a:extLst>
            <a:ext uri="{FF2B5EF4-FFF2-40B4-BE49-F238E27FC236}">
              <a16:creationId xmlns:a16="http://schemas.microsoft.com/office/drawing/2014/main" id="{4F699798-2E18-A438-CC22-D6BD1E3D447A}"/>
            </a:ext>
          </a:extLst>
        </xdr:cNvPr>
        <xdr:cNvSpPr/>
      </xdr:nvSpPr>
      <xdr:spPr>
        <a:xfrm>
          <a:off x="7448550" y="3333749"/>
          <a:ext cx="2781300" cy="66675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KPI's</a:t>
          </a:r>
        </a:p>
      </xdr:txBody>
    </xdr:sp>
    <xdr:clientData/>
  </xdr:twoCellAnchor>
  <xdr:twoCellAnchor>
    <xdr:from>
      <xdr:col>0</xdr:col>
      <xdr:colOff>57150</xdr:colOff>
      <xdr:row>0</xdr:row>
      <xdr:rowOff>76201</xdr:rowOff>
    </xdr:from>
    <xdr:to>
      <xdr:col>11</xdr:col>
      <xdr:colOff>600075</xdr:colOff>
      <xdr:row>4</xdr:row>
      <xdr:rowOff>90237</xdr:rowOff>
    </xdr:to>
    <xdr:sp macro="" textlink="">
      <xdr:nvSpPr>
        <xdr:cNvPr id="7" name="Rectangle 6">
          <a:extLst>
            <a:ext uri="{FF2B5EF4-FFF2-40B4-BE49-F238E27FC236}">
              <a16:creationId xmlns:a16="http://schemas.microsoft.com/office/drawing/2014/main" id="{47EF45BF-E8F0-6F69-747A-EEAD519A09C6}"/>
            </a:ext>
          </a:extLst>
        </xdr:cNvPr>
        <xdr:cNvSpPr/>
      </xdr:nvSpPr>
      <xdr:spPr>
        <a:xfrm>
          <a:off x="57150" y="76201"/>
          <a:ext cx="7270583" cy="77603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3600" b="1"/>
            <a:t>Sales Analysis</a:t>
          </a:r>
          <a:r>
            <a:rPr lang="en-US" sz="3600" b="1" baseline="0"/>
            <a:t> Dashboard 2026</a:t>
          </a:r>
          <a:endParaRPr lang="en-US" sz="3600" b="1"/>
        </a:p>
      </xdr:txBody>
    </xdr:sp>
    <xdr:clientData/>
  </xdr:twoCellAnchor>
  <xdr:twoCellAnchor editAs="oneCell">
    <xdr:from>
      <xdr:col>11</xdr:col>
      <xdr:colOff>0</xdr:colOff>
      <xdr:row>58</xdr:row>
      <xdr:rowOff>0</xdr:rowOff>
    </xdr:from>
    <xdr:to>
      <xdr:col>12</xdr:col>
      <xdr:colOff>104775</xdr:colOff>
      <xdr:row>61</xdr:row>
      <xdr:rowOff>142875</xdr:rowOff>
    </xdr:to>
    <xdr:pic>
      <xdr:nvPicPr>
        <xdr:cNvPr id="12" name="Graphic 11" descr="Statistics with solid fill">
          <a:extLst>
            <a:ext uri="{FF2B5EF4-FFF2-40B4-BE49-F238E27FC236}">
              <a16:creationId xmlns:a16="http://schemas.microsoft.com/office/drawing/2014/main" id="{88AB4E9B-CBFA-B432-03D1-EB3805D9726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705600" y="11049000"/>
          <a:ext cx="714375" cy="714375"/>
        </a:xfrm>
        <a:prstGeom prst="rect">
          <a:avLst/>
        </a:prstGeom>
      </xdr:spPr>
    </xdr:pic>
    <xdr:clientData/>
  </xdr:twoCellAnchor>
  <xdr:twoCellAnchor>
    <xdr:from>
      <xdr:col>17</xdr:col>
      <xdr:colOff>134591</xdr:colOff>
      <xdr:row>25</xdr:row>
      <xdr:rowOff>72473</xdr:rowOff>
    </xdr:from>
    <xdr:to>
      <xdr:col>25</xdr:col>
      <xdr:colOff>569429</xdr:colOff>
      <xdr:row>37</xdr:row>
      <xdr:rowOff>176005</xdr:rowOff>
    </xdr:to>
    <xdr:graphicFrame macro="">
      <xdr:nvGraphicFramePr>
        <xdr:cNvPr id="8" name="Chart 7">
          <a:extLst>
            <a:ext uri="{FF2B5EF4-FFF2-40B4-BE49-F238E27FC236}">
              <a16:creationId xmlns:a16="http://schemas.microsoft.com/office/drawing/2014/main" id="{64BEA970-822C-48EC-A7C6-9BCC55E7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4884257" backgroundQuery="1" createdVersion="8" refreshedVersion="8" minRefreshableVersion="3" recordCount="0" supportSubquery="1" supportAdvancedDrill="1" xr:uid="{815AE383-2866-46BE-84FC-3B76CDB80AC0}">
  <cacheSource type="external" connectionId="2"/>
  <cacheFields count="3">
    <cacheField name="[Range].[Order_date (Month)].[Order_date (Month)]" caption="Order_date (Month)" numFmtId="0" hierarchy="26" level="1">
      <sharedItems count="9">
        <s v="Jan"/>
        <s v="Feb"/>
        <s v="Mar"/>
        <s v="Apr"/>
        <s v="May"/>
        <s v="Jun"/>
        <s v="Jul"/>
        <s v="Aug"/>
        <s v="Sep"/>
      </sharedItems>
    </cacheField>
    <cacheField name="[Measures].[Sum of TotalAmount]" caption="Sum of TotalAmount" numFmtId="0" hierarchy="30"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DiscountAmount]" caption="DiscountAmount" attribute="1" defaultMemberUniqueName="[Range].[DiscountAmount].[All]" allUniqueName="[Range].[DiscountAmount].[All]" dimensionUniqueName="[Range]" displayFolder="" count="2" memberValueDatatype="20" unbalanced="0"/>
    <cacheHierarchy uniqueName="[Range].[Tax]" caption="Tax" attribute="1" defaultMemberUniqueName="[Range].[Tax].[All]" allUniqueName="[Range].[Tax].[All]" dimensionUniqueName="[Range]" displayFolder="" count="2" memberValueDatatype="5" unbalanced="0"/>
    <cacheHierarchy uniqueName="[Range].[shippingCost]" caption="shippingCost" attribute="1" defaultMemberUniqueName="[Range].[shippingCost].[All]" allUniqueName="[Range].[shippingCos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2" memberValueDatatype="20" unbalanced="0"/>
    <cacheHierarchy uniqueName="[Range].[ReturnStatus]" caption="ReturnStatus" attribute="1" defaultMemberUniqueName="[Range].[ReturnStatus].[All]" allUniqueName="[Range].[ReturnStatus].[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0"/>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5810188" backgroundQuery="1" createdVersion="8" refreshedVersion="8" minRefreshableVersion="3" recordCount="0" supportSubquery="1" supportAdvancedDrill="1" xr:uid="{8C98B7DD-E5D9-48A3-95B1-31010FF6357B}">
  <cacheSource type="external" connectionId="2"/>
  <cacheFields count="3">
    <cacheField name="[Measures].[Sum of TotalAmount]" caption="Sum of TotalAmount" numFmtId="0" hierarchy="30" level="32767"/>
    <cacheField name="[Range].[Brand].[Brand]" caption="Brand" numFmtId="0" hierarchy="9" level="1">
      <sharedItems count="33">
        <s v="Acer"/>
        <s v="Adidas"/>
        <s v="Agaro"/>
        <s v="American Tourister"/>
        <s v="Apple"/>
        <s v="Bajaj"/>
        <s v="Boat"/>
        <s v="Cello"/>
        <s v="Dell"/>
        <s v="Fire-Boltt"/>
        <s v="Green Soul"/>
        <s v="HP"/>
        <s v="Ikea"/>
        <s v="JBL"/>
        <s v="Lee"/>
        <s v="Lenovo"/>
        <s v="Levis"/>
        <s v="Nike"/>
        <s v="Nilkamal"/>
        <s v="Noise"/>
        <s v="OnePlus"/>
        <s v="Pepe Jeans"/>
        <s v="Philips"/>
        <s v="Prestige"/>
        <s v="Puma"/>
        <s v="Samsung"/>
        <s v="Skechers"/>
        <s v="Skybags"/>
        <s v="Sony"/>
        <s v="Vivo"/>
        <s v="Wakefit"/>
        <s v="Wildcraft"/>
        <s v="Wrangler"/>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6157404" backgroundQuery="1" createdVersion="8" refreshedVersion="8" minRefreshableVersion="3" recordCount="0" supportSubquery="1" supportAdvancedDrill="1" xr:uid="{A29ADF08-2FC9-483B-B96A-064E184347A7}">
  <cacheSource type="external" connectionId="2"/>
  <cacheFields count="2">
    <cacheField name="[Measures].[Average of DeliveryDays]" caption="Average of DeliveryDays" numFmtId="0" hierarchy="32"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6620374" backgroundQuery="1" createdVersion="8" refreshedVersion="8" minRefreshableVersion="3" recordCount="0" supportSubquery="1" supportAdvancedDrill="1" xr:uid="{608EFB6A-8BBF-4492-BEE5-1255E0D20393}">
  <cacheSource type="external" connectionId="2"/>
  <cacheFields count="2">
    <cacheField name="[Measures].[Sum of TotalAmount]" caption="Sum of TotalAmount" numFmtId="0" hierarchy="30" level="32767"/>
    <cacheField name="[Range].[OrderChannel].[OrderChannel]" caption="OrderChannel" numFmtId="0" hierarchy="18" level="1">
      <sharedItems count="4">
        <s v="Marketplace"/>
        <s v="Mobile App"/>
        <s v="Store"/>
        <s v="Website"/>
      </sharedItems>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7430559" backgroundQuery="1" createdVersion="8" refreshedVersion="8" minRefreshableVersion="3" recordCount="0" supportSubquery="1" supportAdvancedDrill="1" xr:uid="{3E32D47F-75F0-44B0-84B3-3BBE1009AE0E}">
  <cacheSource type="external" connectionId="2"/>
  <cacheFields count="3">
    <cacheField name="[Measures].[Sum of TotalAmount]" caption="Sum of TotalAmount" numFmtId="0" hierarchy="30" level="32767"/>
    <cacheField name="[Range].[PaymentMethod].[PaymentMethod]" caption="PaymentMethod" numFmtId="0" hierarchy="17" level="1">
      <sharedItems count="5">
        <s v="Cash on Delivery"/>
        <s v="Credit Card"/>
        <s v="Debit Card"/>
        <s v="Net Banking"/>
        <s v="UPI"/>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7777775" backgroundQuery="1" createdVersion="8" refreshedVersion="8" minRefreshableVersion="3" recordCount="0" supportSubquery="1" supportAdvancedDrill="1" xr:uid="{6734035A-DC11-4023-86CE-A35E98B48FC5}">
  <cacheSource type="external" connectionId="2"/>
  <cacheFields count="2">
    <cacheField name="[Measures].[Average of Rating]" caption="Average of Rating" numFmtId="0" hierarchy="34"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8472221" backgroundQuery="1" createdVersion="8" refreshedVersion="8" minRefreshableVersion="3" recordCount="0" supportSubquery="1" supportAdvancedDrill="1" xr:uid="{DFAC6921-C25A-40CF-9D11-6611077D047F}">
  <cacheSource type="external" connectionId="2"/>
  <cacheFields count="3">
    <cacheField name="[Measures].[Sum of TotalAmount]" caption="Sum of TotalAmount" numFmtId="0" hierarchy="30" level="32767"/>
    <cacheField name="[Range].[Product].[Product]" caption="Product" numFmtId="0" hierarchy="6" level="1">
      <sharedItems count="12">
        <s v="Air Fryer"/>
        <s v="Backpack"/>
        <s v="Headphones"/>
        <s v="Jeans"/>
        <s v="Laptop"/>
        <s v="Mixer Grinder"/>
        <s v="Office Chair"/>
        <s v="Shoes"/>
        <s v="Smartphone"/>
        <s v="Smartwatch"/>
        <s v="Table"/>
        <s v="T-Shirt"/>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9166668" backgroundQuery="1" createdVersion="8" refreshedVersion="8" minRefreshableVersion="3" recordCount="0" supportSubquery="1" supportAdvancedDrill="1" xr:uid="{21A173AE-1A85-4D71-A2A3-7216E745E4FF}">
  <cacheSource type="external" connectionId="2"/>
  <cacheFields count="3">
    <cacheField name="[Measures].[Sum of TotalAmount]" caption="Sum of TotalAmount" numFmtId="0" hierarchy="30" level="32767"/>
    <cacheField name="[Range].[ReturnStatus].[ReturnStatus]" caption="ReturnStatus" numFmtId="0" hierarchy="23" level="1">
      <sharedItems count="3">
        <s v="Exchange"/>
        <s v="Not Returned"/>
        <s v="Returned"/>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30092592" backgroundQuery="1" createdVersion="8" refreshedVersion="8" minRefreshableVersion="3" recordCount="0" supportSubquery="1" supportAdvancedDrill="1" xr:uid="{7FC731CB-9AC5-47EE-B87A-C6B59F2C63B9}">
  <cacheSource type="external" connectionId="2"/>
  <cacheFields count="3">
    <cacheField name="[Measures].[Sum of TotalAmount]" caption="Sum of TotalAmount" numFmtId="0" hierarchy="30" level="32767"/>
    <cacheField name="[Range].[State].[State]" caption="State" numFmtId="0" hierarchy="20" level="1">
      <sharedItems count="11">
        <s v="Assam"/>
        <s v="Delhi"/>
        <s v="Karnataka"/>
        <s v="Kerala"/>
        <s v="Maharashtra"/>
        <s v="Odisha"/>
        <s v="Rajasthan"/>
        <s v="Tamil Nadu"/>
        <s v="Telangana"/>
        <s v="Uttar Pradesh"/>
        <s v="West Bengal"/>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30555553" backgroundQuery="1" createdVersion="8" refreshedVersion="8" minRefreshableVersion="3" recordCount="0" supportSubquery="1" supportAdvancedDrill="1" xr:uid="{0A0C8AC7-0661-42E2-B47A-6D06B809F015}">
  <cacheSource type="external" connectionId="2"/>
  <cacheFields count="2">
    <cacheField name="[Measures].[Sum of TotalAmount]" caption="Sum of TotalAmount" numFmtId="0" hierarchy="30"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2.95579537037" backgroundQuery="1" createdVersion="3" refreshedVersion="8" minRefreshableVersion="3" recordCount="0" supportSubquery="1" supportAdvancedDrill="1" xr:uid="{3A90418B-E079-464A-AAB8-3DFA2DB0AF14}">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59096478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2.956177199078" backgroundQuery="1" createdVersion="3" refreshedVersion="8" minRefreshableVersion="3" recordCount="0" supportSubquery="1" supportAdvancedDrill="1" xr:uid="{00EE014E-DCAB-45D6-9DD8-C2E4966CCE12}">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8097664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D93BC2-675E-4EDB-B9AC-454E9097645E}" name="Paymenr Method" cacheId="10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M3:N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Amount" fld="0" showDataAs="percentOfTotal" baseField="0" baseItem="0" numFmtId="10"/>
  </dataFields>
  <formats count="1">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7A4D3-DC3E-4095-9C98-42D3C8413E57}" name="Brand" cacheId="9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I3:J37" firstHeaderRow="1" firstDataRow="1" firstDataCol="1"/>
  <pivotFields count="3">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TotalAmount" fld="0" showDataAs="percentOfTotal" baseField="0" baseItem="0" numFmtId="10"/>
  </dataFields>
  <formats count="1">
    <format dxfId="1">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FC7EC-0C33-4251-8B33-8166ECA8ECEB}" name="PivotTable11" cacheId="10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3:A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1">
    <format dxfId="2">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3CA0A-583A-4D8E-BB1E-BEE714D16DD2}" name="Return status" cacheId="10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W3:X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Amount" fld="0" showDataAs="percentOfTotal" baseField="0" baseItem="0" numFmtId="10"/>
  </dataFields>
  <formats count="1">
    <format dxfId="3">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B20B4-6C02-47D4-8B92-29234C40E7FE}" name="Total sales" cacheId="10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A3:A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1">
    <format dxfId="4">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D30611-E896-4E08-B3CC-E154AAF721CA}" name="Delivery Days" cacheId="99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C3:A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numFmtId="2"/>
  </dataFields>
  <formats count="1">
    <format dxfId="5">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60E7A6-B251-44BE-87CF-4B15E8605CAA}" name="Product" cacheId="10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3:F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TotalAmount" fld="0" showDataAs="percentOfTotal" baseField="0" baseItem="0" numFmtId="10"/>
  </dataFields>
  <formats count="1">
    <format dxfId="6">
      <pivotArea outline="0" fieldPosition="0">
        <references count="1">
          <reference field="4294967294" count="1">
            <x v="0"/>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D54B7-34C3-4313-AEA1-95AAE14E7730}" name="Month" cacheId="99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3:B13" firstHeaderRow="1" firstDataRow="1" firstDataCol="1"/>
  <pivotFields count="3">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Amount" fld="1" showDataAs="percentOfTotal" baseField="0" baseItem="0" numFmtId="10"/>
  </dataFields>
  <formats count="2">
    <format dxfId="8">
      <pivotArea collapsedLevelsAreSubtotals="1" fieldPosition="0">
        <references count="1">
          <reference field="0" count="0"/>
        </references>
      </pivotArea>
    </format>
    <format dxfId="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B10A54-C7BE-4DA2-8ADD-B449D28E6119}" name="State" cacheId="10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T3:U14"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Sum of TotalAmount" fld="0" showDataAs="percentOfTotal" baseField="0" baseItem="0" numFmtId="10"/>
  </dataFields>
  <formats count="1">
    <format dxfId="9">
      <pivotArea outline="0" fieldPosition="0">
        <references count="1">
          <reference field="4294967294" count="1">
            <x v="0"/>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0E328-05A9-4128-917A-2417CA775F49}" name="Order channel" cacheId="10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Q3:R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Amount" fld="0" showDataAs="percentOfTotal" baseField="0" baseItem="0" numFmtId="10"/>
  </dataFields>
  <formats count="1">
    <format dxfId="10">
      <pivotArea outline="0" fieldPosition="0">
        <references count="1">
          <reference field="4294967294" count="1">
            <x v="0"/>
          </reference>
        </references>
      </pivotArea>
    </format>
  </formats>
  <chartFormats count="10">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609D452-789A-4C90-88AE-FDD8C2AF3DFE}" autoFormatId="16" applyNumberFormats="0" applyBorderFormats="0" applyFontFormats="0" applyPatternFormats="0" applyAlignmentFormats="0" applyWidthHeightFormats="0">
  <queryTableRefresh nextId="29">
    <queryTableFields count="28">
      <queryTableField id="1" name="Range[Order_Id]" tableColumnId="1"/>
      <queryTableField id="2" name="Range[Order_date]" tableColumnId="2"/>
      <queryTableField id="3" name="Range[Customer_ID]" tableColumnId="3"/>
      <queryTableField id="4" name="Range[CustomerName]" tableColumnId="4"/>
      <queryTableField id="5" name="Range[Gender]" tableColumnId="5"/>
      <queryTableField id="6" name="Range[Age]" tableColumnId="6"/>
      <queryTableField id="7" name="Range[Product]" tableColumnId="7"/>
      <queryTableField id="8" name="Range[Category]" tableColumnId="8"/>
      <queryTableField id="9" name="Range[Subcategory]" tableColumnId="9"/>
      <queryTableField id="10" name="Range[Brand]" tableColumnId="10"/>
      <queryTableField id="11" name="Range[Quantity]" tableColumnId="11"/>
      <queryTableField id="12" name="Range[UnitPrice]" tableColumnId="12"/>
      <queryTableField id="13" name="Range[Discount]" tableColumnId="13"/>
      <queryTableField id="14" name="Range[DiscountAmount]" tableColumnId="14"/>
      <queryTableField id="15" name="Range[Tax]" tableColumnId="15"/>
      <queryTableField id="16" name="Range[shippingCost]" tableColumnId="16"/>
      <queryTableField id="17" name="Range[TotalAmount]" tableColumnId="17"/>
      <queryTableField id="18" name="Range[PaymentMethod]" tableColumnId="18"/>
      <queryTableField id="19" name="Range[OrderChannel]" tableColumnId="19"/>
      <queryTableField id="20" name="Range[City]" tableColumnId="20"/>
      <queryTableField id="21" name="Range[State]" tableColumnId="21"/>
      <queryTableField id="22" name="Range[region]" tableColumnId="22"/>
      <queryTableField id="23" name="Range[DeliveryDays]" tableColumnId="23"/>
      <queryTableField id="24" name="Range[ReturnStatus]" tableColumnId="24"/>
      <queryTableField id="25" name="Range[Rating]" tableColumnId="25"/>
      <queryTableField id="26" name="Range[Status]" tableColumnId="26"/>
      <queryTableField id="27" name="Range[Order_date (Month)]" tableColumnId="27"/>
      <queryTableField id="28" name="Range[Order_date (Month Index)]" tableColumnId="2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B0A483-3112-4EDA-A366-0A57F0CE9145}" sourceName="[Range].[Category]">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Category].[(All)]" sourceCaption="(All)" count="0"/>
        <level uniqueName="[Range].[Category].[Category]" sourceCaption="Category" count="4">
          <ranges>
            <range startItem="0">
              <i n="[Range].[Category].&amp;[Electronics]" c="Electronics"/>
              <i n="[Range].[Category].&amp;[Fashion]" c="Fashion"/>
              <i n="[Range].[Category].&amp;[Furniture]" c="Furniture"/>
              <i n="[Range].[Category].&amp;[Home Appliances]" c="Home Appliances"/>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43A2E3-D28C-48E3-8BA1-F7CA34D68CA0}" sourceName="[Range].[Gender]">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E8E97-1B07-4AB4-A112-C4ED1CB4997B}" sourceName="[Range].[region]">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A4C8FDB8-05D1-4BEE-84B9-C9E40603716D}" sourceName="[Range].[OrderChannel]">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OrderChannel].[(All)]" sourceCaption="(All)" count="0"/>
        <level uniqueName="[Range].[OrderChannel].[OrderChannel]" sourceCaption="OrderChannel" count="4">
          <ranges>
            <range startItem="0">
              <i n="[Range].[OrderChannel].&amp;[Marketplace]" c="Marketplace"/>
              <i n="[Range].[OrderChannel].&amp;[Mobile App]" c="Mobile App"/>
              <i n="[Range].[OrderChannel].&amp;[Store]" c="Store"/>
              <i n="[Range].[OrderChannel].&amp;[Website]" c="Website"/>
            </range>
          </ranges>
        </level>
      </levels>
      <selections count="1">
        <selection n="[Range].[Order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4123E5-4B82-4B6F-8228-B0AE30932458}" cache="Slicer_Category" caption="Category" level="1" rowHeight="241300"/>
  <slicer name="Gender" xr10:uid="{C82BB9D7-13AD-4E74-9246-A78D80AA5965}" cache="Slicer_Gender" caption="Gender" level="1" rowHeight="241300"/>
  <slicer name="region" xr10:uid="{C1FAD316-66AF-428F-93A3-18EE81CC1D8B}" cache="Slicer_region" caption="region" level="1" rowHeight="241300"/>
  <slicer name="OrderChannel" xr10:uid="{2EB45875-D359-4F80-A8AF-947C3047C142}" cache="Slicer_OrderChannel" caption="OrderChannel"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3982987-E6EE-4D29-8F19-09A207D02D17}" cache="Slicer_Category" caption="Category" startItem="1" level="1" style="SlicerStyleDark5" rowHeight="241300"/>
  <slicer name="Gender 1" xr10:uid="{62490213-6DD4-489A-9F83-CBBCD3AE40D6}" cache="Slicer_Gender" caption="Gender" level="1" style="SlicerStyleDark5" rowHeight="241300"/>
  <slicer name="region 1" xr10:uid="{1F78176F-25D6-452F-9CB1-206432741AEF}" cache="Slicer_region" caption="region" level="1" style="SlicerStyleDark5" rowHeight="241300"/>
  <slicer name="OrderChannel 1" xr10:uid="{3F6C8633-AAE0-4EEA-8ADF-C873C6BF2B8D}" cache="Slicer_OrderChannel" caption="OrderChannel" startItem="1" level="1"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974FE-B44C-4985-958A-CB92BAF780C7}" name="Table_ExternalData_1" displayName="Table_ExternalData_1" ref="A3:AB6" tableType="queryTable" totalsRowShown="0">
  <autoFilter ref="A3:AB6" xr:uid="{AD8974FE-B44C-4985-958A-CB92BAF780C7}"/>
  <tableColumns count="28">
    <tableColumn id="1" xr3:uid="{E2A92B92-07F4-4AD3-826C-5EDD6F173388}" uniqueName="1" name="Range[Order_Id]" queryTableFieldId="1"/>
    <tableColumn id="2" xr3:uid="{A5E53450-5E35-4F6E-B28F-A6C798CBB7A7}" uniqueName="2" name="Range[Order_date]" queryTableFieldId="2" dataDxfId="11"/>
    <tableColumn id="3" xr3:uid="{8D2D301E-FB63-4605-9FB1-E1DAD7F21C49}" uniqueName="3" name="Range[Customer_ID]" queryTableFieldId="3"/>
    <tableColumn id="4" xr3:uid="{0F182A65-BE3C-44AE-983C-CD7277DB6AB8}" uniqueName="4" name="Range[CustomerName]" queryTableFieldId="4"/>
    <tableColumn id="5" xr3:uid="{407A1636-1F43-4E6A-8647-B52D85573212}" uniqueName="5" name="Range[Gender]" queryTableFieldId="5"/>
    <tableColumn id="6" xr3:uid="{A1D5B0A3-2360-4D07-BE42-FB12B8B87608}" uniqueName="6" name="Range[Age]" queryTableFieldId="6"/>
    <tableColumn id="7" xr3:uid="{F0D89E7F-BD74-447F-B2D1-38D5B97C63F9}" uniqueName="7" name="Range[Product]" queryTableFieldId="7"/>
    <tableColumn id="8" xr3:uid="{032DA0B4-7C7A-43A6-8DFF-91F44B38FB36}" uniqueName="8" name="Range[Category]" queryTableFieldId="8"/>
    <tableColumn id="9" xr3:uid="{58F65272-9F7D-4480-8A13-B85BB1409D21}" uniqueName="9" name="Range[Subcategory]" queryTableFieldId="9"/>
    <tableColumn id="10" xr3:uid="{C8BD021F-684C-48CD-932E-805D7845A43D}" uniqueName="10" name="Range[Brand]" queryTableFieldId="10"/>
    <tableColumn id="11" xr3:uid="{652EC7E6-C901-4C2C-B72C-8F330BE92D6A}" uniqueName="11" name="Range[Quantity]" queryTableFieldId="11"/>
    <tableColumn id="12" xr3:uid="{359975F2-3DC1-42F4-B61C-2D44159CDB55}" uniqueName="12" name="Range[UnitPrice]" queryTableFieldId="12"/>
    <tableColumn id="13" xr3:uid="{15C7C4C8-3241-4F67-9CAF-E6ADE7383CC1}" uniqueName="13" name="Range[Discount]" queryTableFieldId="13"/>
    <tableColumn id="14" xr3:uid="{E29DFFA8-717A-48A0-9489-E3D163909C24}" uniqueName="14" name="Range[DiscountAmount]" queryTableFieldId="14"/>
    <tableColumn id="15" xr3:uid="{4A678658-A829-45F4-9861-316FFD5B3A3D}" uniqueName="15" name="Range[Tax]" queryTableFieldId="15"/>
    <tableColumn id="16" xr3:uid="{F30CA060-D842-4EC3-A622-ECC99B4BD8C4}" uniqueName="16" name="Range[shippingCost]" queryTableFieldId="16"/>
    <tableColumn id="17" xr3:uid="{F1231A3C-7821-45D1-B869-29824C7903F2}" uniqueName="17" name="Range[TotalAmount]" queryTableFieldId="17"/>
    <tableColumn id="18" xr3:uid="{9E84991D-BC84-4598-A9DF-7CCA44233D8F}" uniqueName="18" name="Range[PaymentMethod]" queryTableFieldId="18"/>
    <tableColumn id="19" xr3:uid="{83E38BC7-73A6-4CEB-B876-C615C82426DB}" uniqueName="19" name="Range[OrderChannel]" queryTableFieldId="19"/>
    <tableColumn id="20" xr3:uid="{A356183C-EC29-4849-A642-4433F1B90413}" uniqueName="20" name="Range[City]" queryTableFieldId="20"/>
    <tableColumn id="21" xr3:uid="{46A444AE-A22D-455B-BE2E-97982CAD88F1}" uniqueName="21" name="Range[State]" queryTableFieldId="21"/>
    <tableColumn id="22" xr3:uid="{7A2F3C4E-4337-47D5-A0D8-2C3E1ED7DEFA}" uniqueName="22" name="Range[region]" queryTableFieldId="22"/>
    <tableColumn id="23" xr3:uid="{E0B4802E-4F3C-4ED2-A189-C9F6D59E907D}" uniqueName="23" name="Range[DeliveryDays]" queryTableFieldId="23"/>
    <tableColumn id="24" xr3:uid="{119CF27C-ECBA-4C67-BF37-F55FE63361FB}" uniqueName="24" name="Range[ReturnStatus]" queryTableFieldId="24"/>
    <tableColumn id="25" xr3:uid="{2916B546-7CE5-4EF6-9D08-9D3A9F0170B7}" uniqueName="25" name="Range[Rating]" queryTableFieldId="25"/>
    <tableColumn id="26" xr3:uid="{D655169D-F1FD-47F3-BD6E-F975916511CE}" uniqueName="26" name="Range[Status]" queryTableFieldId="26"/>
    <tableColumn id="27" xr3:uid="{DCF9F903-68F6-4A4E-B92B-BF16DEA65105}" uniqueName="27" name="Range[Order_date (Month)]" queryTableFieldId="27"/>
    <tableColumn id="28" xr3:uid="{81B951C1-A73F-4CEE-98B1-DA7F5D771748}" uniqueName="28" name="Range[Order_date (Month Index)]" queryTableField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6D82B96-F67A-4CBF-B005-F9E2500A1197}" sourceName="[Range].[Order_date]">
  <pivotTables>
    <pivotTable tabId="3" name="Month"/>
  </pivotTables>
  <state minimalRefreshVersion="6" lastRefreshVersion="6" pivotCacheId="80976640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C37F06-421F-4C2F-AAB1-6CB592FD97CC}" cache="Timeline_Order_date" caption="Order_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0BA883F-E6CC-4B84-88F3-8B47712137DA}" cache="Timeline_Order_date" caption="Order_date" level="2" selectionLevel="2" scrollPosition="2026-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2E17-CA82-4A20-BC38-2A0285B95559}">
  <dimension ref="A1:AB6"/>
  <sheetViews>
    <sheetView workbookViewId="0">
      <selection activeCell="D21" sqref="D21"/>
    </sheetView>
  </sheetViews>
  <sheetFormatPr defaultRowHeight="15" x14ac:dyDescent="0.25"/>
  <cols>
    <col min="1" max="1" width="18.140625" bestFit="1" customWidth="1"/>
    <col min="2" max="2" width="20.5703125" bestFit="1" customWidth="1"/>
    <col min="3" max="3" width="21.85546875" bestFit="1" customWidth="1"/>
    <col min="4" max="4" width="24.42578125" bestFit="1" customWidth="1"/>
    <col min="5" max="5" width="17" bestFit="1" customWidth="1"/>
    <col min="6" max="6" width="13.5703125" bestFit="1" customWidth="1"/>
    <col min="7" max="7" width="17.140625" bestFit="1" customWidth="1"/>
    <col min="8" max="8" width="18.140625" bestFit="1" customWidth="1"/>
    <col min="9" max="9" width="21.28515625" bestFit="1" customWidth="1"/>
    <col min="10" max="10" width="15.42578125" bestFit="1" customWidth="1"/>
    <col min="11" max="11" width="18" bestFit="1" customWidth="1"/>
    <col min="12" max="12" width="18.5703125" bestFit="1" customWidth="1"/>
    <col min="13" max="13" width="18" bestFit="1" customWidth="1"/>
    <col min="14" max="14" width="25.42578125" bestFit="1" customWidth="1"/>
    <col min="15" max="15" width="13.140625" bestFit="1" customWidth="1"/>
    <col min="16" max="16" width="21.85546875" bestFit="1" customWidth="1"/>
    <col min="17" max="17" width="22" bestFit="1" customWidth="1"/>
    <col min="18" max="18" width="25.5703125" bestFit="1" customWidth="1"/>
    <col min="19" max="19" width="22.85546875" bestFit="1" customWidth="1"/>
    <col min="20" max="20" width="13.5703125" bestFit="1" customWidth="1"/>
    <col min="21" max="21" width="14.7109375" bestFit="1" customWidth="1"/>
    <col min="22" max="22" width="16" bestFit="1" customWidth="1"/>
    <col min="23" max="23" width="22" bestFit="1" customWidth="1"/>
    <col min="24" max="24" width="21.85546875" bestFit="1" customWidth="1"/>
    <col min="25" max="25" width="15.85546875" bestFit="1" customWidth="1"/>
    <col min="26" max="26" width="15.7109375" bestFit="1" customWidth="1"/>
    <col min="27" max="27" width="28.7109375" bestFit="1" customWidth="1"/>
    <col min="28" max="28" width="34.28515625" bestFit="1" customWidth="1"/>
  </cols>
  <sheetData>
    <row r="1" spans="1:28" x14ac:dyDescent="0.25">
      <c r="A1" s="13" t="s">
        <v>573</v>
      </c>
    </row>
    <row r="3" spans="1:28" x14ac:dyDescent="0.25">
      <c r="A3" t="s">
        <v>545</v>
      </c>
      <c r="B3" t="s">
        <v>546</v>
      </c>
      <c r="C3" t="s">
        <v>547</v>
      </c>
      <c r="D3" t="s">
        <v>548</v>
      </c>
      <c r="E3" t="s">
        <v>549</v>
      </c>
      <c r="F3" t="s">
        <v>550</v>
      </c>
      <c r="G3" t="s">
        <v>551</v>
      </c>
      <c r="H3" t="s">
        <v>552</v>
      </c>
      <c r="I3" t="s">
        <v>553</v>
      </c>
      <c r="J3" t="s">
        <v>554</v>
      </c>
      <c r="K3" t="s">
        <v>555</v>
      </c>
      <c r="L3" t="s">
        <v>556</v>
      </c>
      <c r="M3" t="s">
        <v>557</v>
      </c>
      <c r="N3" t="s">
        <v>558</v>
      </c>
      <c r="O3" t="s">
        <v>559</v>
      </c>
      <c r="P3" t="s">
        <v>560</v>
      </c>
      <c r="Q3" t="s">
        <v>561</v>
      </c>
      <c r="R3" t="s">
        <v>562</v>
      </c>
      <c r="S3" t="s">
        <v>563</v>
      </c>
      <c r="T3" t="s">
        <v>564</v>
      </c>
      <c r="U3" t="s">
        <v>565</v>
      </c>
      <c r="V3" t="s">
        <v>566</v>
      </c>
      <c r="W3" t="s">
        <v>567</v>
      </c>
      <c r="X3" t="s">
        <v>568</v>
      </c>
      <c r="Y3" t="s">
        <v>569</v>
      </c>
      <c r="Z3" t="s">
        <v>570</v>
      </c>
      <c r="AA3" t="s">
        <v>571</v>
      </c>
      <c r="AB3" t="s">
        <v>572</v>
      </c>
    </row>
    <row r="4" spans="1:28" x14ac:dyDescent="0.25">
      <c r="A4" t="s">
        <v>96</v>
      </c>
      <c r="B4" s="12">
        <v>46175</v>
      </c>
      <c r="C4" t="s">
        <v>97</v>
      </c>
      <c r="D4" t="s">
        <v>98</v>
      </c>
      <c r="E4" t="s">
        <v>44</v>
      </c>
      <c r="F4">
        <v>53</v>
      </c>
      <c r="G4" t="s">
        <v>99</v>
      </c>
      <c r="H4" t="s">
        <v>69</v>
      </c>
      <c r="I4" t="s">
        <v>100</v>
      </c>
      <c r="J4" t="s">
        <v>101</v>
      </c>
      <c r="K4">
        <v>5</v>
      </c>
      <c r="L4">
        <v>83400</v>
      </c>
      <c r="M4">
        <v>0.1</v>
      </c>
      <c r="N4">
        <v>41700</v>
      </c>
      <c r="O4">
        <v>67554</v>
      </c>
      <c r="P4">
        <v>75</v>
      </c>
      <c r="Q4">
        <v>442929</v>
      </c>
      <c r="R4" t="s">
        <v>88</v>
      </c>
      <c r="S4" t="s">
        <v>60</v>
      </c>
      <c r="T4" t="s">
        <v>95</v>
      </c>
      <c r="U4" t="s">
        <v>62</v>
      </c>
      <c r="V4" t="s">
        <v>63</v>
      </c>
      <c r="W4">
        <v>5</v>
      </c>
      <c r="X4" t="s">
        <v>39</v>
      </c>
      <c r="Y4">
        <v>5</v>
      </c>
      <c r="Z4" t="s">
        <v>40</v>
      </c>
      <c r="AA4" t="s">
        <v>538</v>
      </c>
      <c r="AB4">
        <v>6</v>
      </c>
    </row>
    <row r="5" spans="1:28" x14ac:dyDescent="0.25">
      <c r="A5" t="s">
        <v>265</v>
      </c>
      <c r="B5" s="12">
        <v>46267</v>
      </c>
      <c r="C5" t="s">
        <v>266</v>
      </c>
      <c r="D5" t="s">
        <v>169</v>
      </c>
      <c r="E5" t="s">
        <v>44</v>
      </c>
      <c r="F5">
        <v>52</v>
      </c>
      <c r="G5" t="s">
        <v>99</v>
      </c>
      <c r="H5" t="s">
        <v>69</v>
      </c>
      <c r="I5" t="s">
        <v>100</v>
      </c>
      <c r="J5" t="s">
        <v>101</v>
      </c>
      <c r="K5">
        <v>2</v>
      </c>
      <c r="L5">
        <v>77300</v>
      </c>
      <c r="M5">
        <v>0.25</v>
      </c>
      <c r="N5">
        <v>38650</v>
      </c>
      <c r="O5">
        <v>13914</v>
      </c>
      <c r="P5">
        <v>50</v>
      </c>
      <c r="Q5">
        <v>129914</v>
      </c>
      <c r="R5" t="s">
        <v>72</v>
      </c>
      <c r="S5" t="s">
        <v>89</v>
      </c>
      <c r="T5" t="s">
        <v>36</v>
      </c>
      <c r="U5" t="s">
        <v>37</v>
      </c>
      <c r="V5" t="s">
        <v>38</v>
      </c>
      <c r="W5">
        <v>2</v>
      </c>
      <c r="X5" t="s">
        <v>39</v>
      </c>
      <c r="Y5">
        <v>5</v>
      </c>
      <c r="Z5" t="s">
        <v>40</v>
      </c>
      <c r="AA5" t="s">
        <v>541</v>
      </c>
      <c r="AB5">
        <v>9</v>
      </c>
    </row>
    <row r="6" spans="1:28" x14ac:dyDescent="0.25">
      <c r="A6" t="s">
        <v>439</v>
      </c>
      <c r="B6" s="12">
        <v>46070</v>
      </c>
      <c r="C6" t="s">
        <v>440</v>
      </c>
      <c r="D6" t="s">
        <v>132</v>
      </c>
      <c r="E6" t="s">
        <v>29</v>
      </c>
      <c r="F6">
        <v>51</v>
      </c>
      <c r="G6" t="s">
        <v>99</v>
      </c>
      <c r="H6" t="s">
        <v>69</v>
      </c>
      <c r="I6" t="s">
        <v>100</v>
      </c>
      <c r="J6" t="s">
        <v>101</v>
      </c>
      <c r="K6">
        <v>1</v>
      </c>
      <c r="L6">
        <v>84100</v>
      </c>
      <c r="M6">
        <v>0</v>
      </c>
      <c r="N6">
        <v>0</v>
      </c>
      <c r="O6">
        <v>10092</v>
      </c>
      <c r="P6">
        <v>50</v>
      </c>
      <c r="Q6">
        <v>94242</v>
      </c>
      <c r="R6" t="s">
        <v>88</v>
      </c>
      <c r="S6" t="s">
        <v>35</v>
      </c>
      <c r="T6" t="s">
        <v>165</v>
      </c>
      <c r="U6" t="s">
        <v>166</v>
      </c>
      <c r="V6" t="s">
        <v>82</v>
      </c>
      <c r="W6">
        <v>4</v>
      </c>
      <c r="X6" t="s">
        <v>39</v>
      </c>
      <c r="Y6">
        <v>4</v>
      </c>
      <c r="Z6" t="s">
        <v>40</v>
      </c>
      <c r="AA6" t="s">
        <v>534</v>
      </c>
      <c r="AB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DED5-99A4-4B28-A3C5-1295041113FD}">
  <dimension ref="A2:AE37"/>
  <sheetViews>
    <sheetView tabSelected="1" topLeftCell="I26" zoomScale="81" zoomScaleNormal="10" workbookViewId="0"/>
  </sheetViews>
  <sheetFormatPr defaultRowHeight="15" x14ac:dyDescent="0.25"/>
  <cols>
    <col min="1" max="1" width="13.85546875" bestFit="1" customWidth="1"/>
    <col min="2" max="2" width="19.5703125" bestFit="1" customWidth="1"/>
    <col min="5" max="5" width="14.42578125" bestFit="1" customWidth="1"/>
    <col min="6" max="6" width="19.5703125" bestFit="1" customWidth="1"/>
    <col min="9" max="9" width="19.7109375" bestFit="1" customWidth="1"/>
    <col min="10" max="10" width="19.5703125" bestFit="1" customWidth="1"/>
    <col min="13" max="13" width="17.28515625" bestFit="1" customWidth="1"/>
    <col min="14" max="14" width="19.5703125" bestFit="1" customWidth="1"/>
    <col min="17" max="17" width="13.85546875" bestFit="1" customWidth="1"/>
    <col min="18" max="18" width="19.5703125" bestFit="1" customWidth="1"/>
    <col min="20" max="20" width="14.42578125" bestFit="1" customWidth="1"/>
    <col min="21" max="21" width="19.5703125" bestFit="1" customWidth="1"/>
    <col min="23" max="23" width="14.140625" bestFit="1" customWidth="1"/>
    <col min="24" max="24" width="19.5703125" bestFit="1" customWidth="1"/>
    <col min="27" max="27" width="19.5703125" bestFit="1" customWidth="1"/>
    <col min="29" max="29" width="19.42578125" bestFit="1" customWidth="1"/>
    <col min="31" max="31" width="17.140625" bestFit="1" customWidth="1"/>
  </cols>
  <sheetData>
    <row r="2" spans="1:31" x14ac:dyDescent="0.25">
      <c r="AA2" s="15">
        <f>AA4</f>
        <v>10366526.25</v>
      </c>
      <c r="AC2" s="11">
        <f>AC4</f>
        <v>5.21</v>
      </c>
      <c r="AE2" s="11">
        <f>AE4</f>
        <v>2.7749999999999999</v>
      </c>
    </row>
    <row r="3" spans="1:31" x14ac:dyDescent="0.25">
      <c r="A3" s="6" t="s">
        <v>531</v>
      </c>
      <c r="B3" t="s">
        <v>542</v>
      </c>
      <c r="E3" s="6" t="s">
        <v>531</v>
      </c>
      <c r="F3" t="s">
        <v>542</v>
      </c>
      <c r="I3" s="6" t="s">
        <v>531</v>
      </c>
      <c r="J3" t="s">
        <v>542</v>
      </c>
      <c r="M3" s="6" t="s">
        <v>531</v>
      </c>
      <c r="N3" t="s">
        <v>542</v>
      </c>
      <c r="Q3" s="6" t="s">
        <v>531</v>
      </c>
      <c r="R3" t="s">
        <v>542</v>
      </c>
      <c r="T3" s="6" t="s">
        <v>531</v>
      </c>
      <c r="U3" t="s">
        <v>542</v>
      </c>
      <c r="W3" s="6" t="s">
        <v>531</v>
      </c>
      <c r="X3" t="s">
        <v>542</v>
      </c>
      <c r="AA3" t="s">
        <v>542</v>
      </c>
      <c r="AC3" t="s">
        <v>543</v>
      </c>
      <c r="AE3" t="s">
        <v>544</v>
      </c>
    </row>
    <row r="4" spans="1:31" x14ac:dyDescent="0.25">
      <c r="A4" s="7" t="s">
        <v>533</v>
      </c>
      <c r="B4" s="10">
        <v>0.1708377866693773</v>
      </c>
      <c r="E4" s="7" t="s">
        <v>55</v>
      </c>
      <c r="F4" s="10">
        <v>4.3261868940909685E-2</v>
      </c>
      <c r="I4" s="7" t="s">
        <v>218</v>
      </c>
      <c r="J4" s="10">
        <v>5.8455323932643299E-2</v>
      </c>
      <c r="M4" s="7" t="s">
        <v>48</v>
      </c>
      <c r="N4" s="10">
        <v>0.23509862814460147</v>
      </c>
      <c r="Q4" s="7" t="s">
        <v>133</v>
      </c>
      <c r="R4" s="10">
        <v>0.21513147183705822</v>
      </c>
      <c r="T4" s="7" t="s">
        <v>174</v>
      </c>
      <c r="U4" s="10">
        <v>8.1753354938931447E-2</v>
      </c>
      <c r="W4" s="7" t="s">
        <v>51</v>
      </c>
      <c r="X4" s="10">
        <v>0.10311225517805445</v>
      </c>
      <c r="AA4" s="16">
        <v>10366526.25</v>
      </c>
      <c r="AC4" s="11">
        <v>5.21</v>
      </c>
      <c r="AE4" s="9">
        <v>2.7749999999999999</v>
      </c>
    </row>
    <row r="5" spans="1:31" x14ac:dyDescent="0.25">
      <c r="A5" s="7" t="s">
        <v>534</v>
      </c>
      <c r="B5" s="10">
        <v>0.1218694786983248</v>
      </c>
      <c r="E5" s="7" t="s">
        <v>45</v>
      </c>
      <c r="F5" s="10">
        <v>1.2354476023248386E-2</v>
      </c>
      <c r="I5" s="7" t="s">
        <v>170</v>
      </c>
      <c r="J5" s="10">
        <v>7.990593763267613E-3</v>
      </c>
      <c r="M5" s="7" t="s">
        <v>34</v>
      </c>
      <c r="N5" s="10">
        <v>0.13352585201817244</v>
      </c>
      <c r="Q5" s="7" t="s">
        <v>60</v>
      </c>
      <c r="R5" s="10">
        <v>0.24578529861919754</v>
      </c>
      <c r="T5" s="7" t="s">
        <v>49</v>
      </c>
      <c r="U5" s="10">
        <v>7.4600216248909806E-2</v>
      </c>
      <c r="W5" s="7" t="s">
        <v>39</v>
      </c>
      <c r="X5" s="10">
        <v>0.83002070245083304</v>
      </c>
    </row>
    <row r="6" spans="1:31" x14ac:dyDescent="0.25">
      <c r="A6" s="7" t="s">
        <v>535</v>
      </c>
      <c r="B6" s="10">
        <v>0.17844558585861875</v>
      </c>
      <c r="E6" s="7" t="s">
        <v>125</v>
      </c>
      <c r="F6" s="10">
        <v>3.6244412153010275E-2</v>
      </c>
      <c r="I6" s="7" t="s">
        <v>235</v>
      </c>
      <c r="J6" s="10">
        <v>1.5117359105708144E-2</v>
      </c>
      <c r="M6" s="7" t="s">
        <v>88</v>
      </c>
      <c r="N6" s="10">
        <v>0.28481768422667142</v>
      </c>
      <c r="Q6" s="7" t="s">
        <v>89</v>
      </c>
      <c r="R6" s="10">
        <v>0.32674722161630565</v>
      </c>
      <c r="T6" s="7" t="s">
        <v>256</v>
      </c>
      <c r="U6" s="10">
        <v>4.807917213348107E-2</v>
      </c>
      <c r="W6" s="7" t="s">
        <v>122</v>
      </c>
      <c r="X6" s="10">
        <v>6.6867042371112503E-2</v>
      </c>
    </row>
    <row r="7" spans="1:31" x14ac:dyDescent="0.25">
      <c r="A7" s="7" t="s">
        <v>536</v>
      </c>
      <c r="B7" s="10">
        <v>6.4546834094979494E-2</v>
      </c>
      <c r="E7" s="7" t="s">
        <v>177</v>
      </c>
      <c r="F7" s="10">
        <v>1.1564220946240308E-2</v>
      </c>
      <c r="I7" s="7" t="s">
        <v>47</v>
      </c>
      <c r="J7" s="10">
        <v>4.1955616521011556E-3</v>
      </c>
      <c r="M7" s="7" t="s">
        <v>59</v>
      </c>
      <c r="N7" s="10">
        <v>0.24191662563918168</v>
      </c>
      <c r="Q7" s="7" t="s">
        <v>35</v>
      </c>
      <c r="R7" s="10">
        <v>0.21233600792743854</v>
      </c>
      <c r="T7" s="7" t="s">
        <v>37</v>
      </c>
      <c r="U7" s="10">
        <v>6.6652250072679844E-2</v>
      </c>
      <c r="W7" s="7" t="s">
        <v>532</v>
      </c>
      <c r="X7" s="10">
        <v>1</v>
      </c>
    </row>
    <row r="8" spans="1:31" x14ac:dyDescent="0.25">
      <c r="A8" s="7" t="s">
        <v>537</v>
      </c>
      <c r="B8" s="10">
        <v>0.15350568856177835</v>
      </c>
      <c r="E8" s="7" t="s">
        <v>99</v>
      </c>
      <c r="F8" s="10">
        <v>0.35390428399291418</v>
      </c>
      <c r="I8" s="7" t="s">
        <v>110</v>
      </c>
      <c r="J8" s="10">
        <v>5.9764417227033989E-2</v>
      </c>
      <c r="M8" s="7" t="s">
        <v>72</v>
      </c>
      <c r="N8" s="10">
        <v>0.10464120997137301</v>
      </c>
      <c r="Q8" s="7" t="s">
        <v>532</v>
      </c>
      <c r="R8" s="10">
        <v>1</v>
      </c>
      <c r="T8" s="7" t="s">
        <v>62</v>
      </c>
      <c r="U8" s="10">
        <v>0.37154199074159483</v>
      </c>
    </row>
    <row r="9" spans="1:31" x14ac:dyDescent="0.25">
      <c r="A9" s="7" t="s">
        <v>538</v>
      </c>
      <c r="B9" s="10">
        <v>0.12193233485517871</v>
      </c>
      <c r="E9" s="7" t="s">
        <v>86</v>
      </c>
      <c r="F9" s="10">
        <v>1.982627980129795E-2</v>
      </c>
      <c r="I9" s="7" t="s">
        <v>87</v>
      </c>
      <c r="J9" s="10">
        <v>7.225371179665898E-3</v>
      </c>
      <c r="M9" s="7" t="s">
        <v>532</v>
      </c>
      <c r="N9" s="10">
        <v>1</v>
      </c>
      <c r="T9" s="7" t="s">
        <v>166</v>
      </c>
      <c r="U9" s="10">
        <v>6.5440822088305622E-2</v>
      </c>
    </row>
    <row r="10" spans="1:31" x14ac:dyDescent="0.25">
      <c r="A10" s="7" t="s">
        <v>539</v>
      </c>
      <c r="B10" s="10">
        <v>9.5278589585397519E-2</v>
      </c>
      <c r="E10" s="7" t="s">
        <v>104</v>
      </c>
      <c r="F10" s="10">
        <v>5.7697413345188797E-2</v>
      </c>
      <c r="I10" s="7" t="s">
        <v>271</v>
      </c>
      <c r="J10" s="10">
        <v>9.600303669708066E-3</v>
      </c>
      <c r="T10" s="7" t="s">
        <v>135</v>
      </c>
      <c r="U10" s="10">
        <v>4.9951795568935156E-2</v>
      </c>
    </row>
    <row r="11" spans="1:31" x14ac:dyDescent="0.25">
      <c r="A11" s="7" t="s">
        <v>540</v>
      </c>
      <c r="B11" s="10">
        <v>7.7052879695356E-2</v>
      </c>
      <c r="E11" s="7" t="s">
        <v>78</v>
      </c>
      <c r="F11" s="10">
        <v>1.284836856512084E-2</v>
      </c>
      <c r="I11" s="7" t="s">
        <v>107</v>
      </c>
      <c r="J11" s="10">
        <v>2.7617901416108412E-2</v>
      </c>
      <c r="T11" s="7" t="s">
        <v>145</v>
      </c>
      <c r="U11" s="10">
        <v>8.6647395505316929E-2</v>
      </c>
    </row>
    <row r="12" spans="1:31" x14ac:dyDescent="0.25">
      <c r="A12" s="7" t="s">
        <v>541</v>
      </c>
      <c r="B12" s="10">
        <v>1.6530821980989052E-2</v>
      </c>
      <c r="E12" s="7" t="s">
        <v>142</v>
      </c>
      <c r="F12" s="10">
        <v>0.25538471964029413</v>
      </c>
      <c r="I12" s="7" t="s">
        <v>101</v>
      </c>
      <c r="J12" s="10">
        <v>6.4349906990299674E-2</v>
      </c>
      <c r="T12" s="7" t="s">
        <v>121</v>
      </c>
      <c r="U12" s="10">
        <v>6.5561026288820712E-2</v>
      </c>
    </row>
    <row r="13" spans="1:31" x14ac:dyDescent="0.25">
      <c r="A13" s="7" t="s">
        <v>532</v>
      </c>
      <c r="B13" s="10">
        <v>1</v>
      </c>
      <c r="E13" s="7" t="s">
        <v>68</v>
      </c>
      <c r="F13" s="10">
        <v>0.12055915066052142</v>
      </c>
      <c r="I13" s="7" t="s">
        <v>225</v>
      </c>
      <c r="J13" s="10">
        <v>3.9545464904408065E-2</v>
      </c>
      <c r="T13" s="7" t="s">
        <v>74</v>
      </c>
      <c r="U13" s="10">
        <v>4.5922359961226164E-2</v>
      </c>
    </row>
    <row r="14" spans="1:31" x14ac:dyDescent="0.25">
      <c r="E14" s="7" t="s">
        <v>198</v>
      </c>
      <c r="F14" s="10">
        <v>6.6669816227012402E-2</v>
      </c>
      <c r="I14" s="7" t="s">
        <v>181</v>
      </c>
      <c r="J14" s="10">
        <v>1.180386727907046E-2</v>
      </c>
      <c r="T14" s="7" t="s">
        <v>81</v>
      </c>
      <c r="U14" s="10">
        <v>4.3849616451798405E-2</v>
      </c>
    </row>
    <row r="15" spans="1:31" x14ac:dyDescent="0.25">
      <c r="E15" s="7" t="s">
        <v>30</v>
      </c>
      <c r="F15" s="10">
        <v>9.6849897042415728E-3</v>
      </c>
      <c r="I15" s="7" t="s">
        <v>119</v>
      </c>
      <c r="J15" s="10">
        <v>0.14461434465571338</v>
      </c>
    </row>
    <row r="16" spans="1:31" x14ac:dyDescent="0.25">
      <c r="I16" s="7" t="s">
        <v>207</v>
      </c>
      <c r="J16" s="10">
        <v>2.4810500045760266E-2</v>
      </c>
    </row>
    <row r="17" spans="5:21" x14ac:dyDescent="0.25">
      <c r="I17" s="7" t="s">
        <v>215</v>
      </c>
      <c r="J17" s="10">
        <v>8.3928982478580997E-3</v>
      </c>
    </row>
    <row r="18" spans="5:21" x14ac:dyDescent="0.25">
      <c r="I18" s="7" t="s">
        <v>280</v>
      </c>
      <c r="J18" s="10">
        <v>7.4936384789456355E-4</v>
      </c>
      <c r="T18" s="8" t="s">
        <v>531</v>
      </c>
      <c r="U18" s="8" t="s">
        <v>542</v>
      </c>
    </row>
    <row r="19" spans="5:21" x14ac:dyDescent="0.25">
      <c r="I19" s="7" t="s">
        <v>157</v>
      </c>
      <c r="J19" s="10">
        <v>8.6484708414257858E-2</v>
      </c>
      <c r="T19" t="str">
        <f>IF(T4=0, "",T4)</f>
        <v>Assam</v>
      </c>
      <c r="U19" s="14">
        <f>IF(U4=0,"",U4)</f>
        <v>8.1753354938931447E-2</v>
      </c>
    </row>
    <row r="20" spans="5:21" x14ac:dyDescent="0.25">
      <c r="E20" t="s">
        <v>531</v>
      </c>
      <c r="F20" t="s">
        <v>542</v>
      </c>
      <c r="I20" s="7" t="s">
        <v>269</v>
      </c>
      <c r="J20" s="10">
        <v>4.2371281315185015E-3</v>
      </c>
      <c r="T20" t="str">
        <f t="shared" ref="T20:T28" si="0">IF(T5=0, "",T5)</f>
        <v>Delhi</v>
      </c>
      <c r="U20" s="14">
        <f t="shared" ref="U20:U30" si="1">IF(U5=0,"",U5)</f>
        <v>7.4600216248909806E-2</v>
      </c>
    </row>
    <row r="21" spans="5:21" x14ac:dyDescent="0.25">
      <c r="E21" t="str">
        <f>IF(E4=0,"",E4)</f>
        <v>Air Fryer</v>
      </c>
      <c r="F21" s="10">
        <f>IF(F4=0,"",F4)</f>
        <v>4.3261868940909685E-2</v>
      </c>
      <c r="I21" s="7" t="s">
        <v>204</v>
      </c>
      <c r="J21" s="10">
        <v>4.2503775071229865E-3</v>
      </c>
      <c r="T21" t="str">
        <f t="shared" si="0"/>
        <v>Karnataka</v>
      </c>
      <c r="U21" s="14">
        <f t="shared" si="1"/>
        <v>4.807917213348107E-2</v>
      </c>
    </row>
    <row r="22" spans="5:21" x14ac:dyDescent="0.25">
      <c r="E22" t="str">
        <f t="shared" ref="E22:E32" si="2">IF(E5=0,"",E5)</f>
        <v>Backpack</v>
      </c>
      <c r="F22" s="10">
        <f t="shared" ref="F22:F31" si="3">IF(F5=0,"",F5)</f>
        <v>1.2354476023248386E-2</v>
      </c>
      <c r="I22" s="7" t="s">
        <v>200</v>
      </c>
      <c r="J22" s="10">
        <v>1.8564135695889449E-2</v>
      </c>
      <c r="T22" t="str">
        <f t="shared" si="0"/>
        <v>Kerala</v>
      </c>
      <c r="U22" s="14">
        <f t="shared" si="1"/>
        <v>6.6652250072679844E-2</v>
      </c>
    </row>
    <row r="23" spans="5:21" x14ac:dyDescent="0.25">
      <c r="E23" t="str">
        <f t="shared" si="2"/>
        <v>Headphones</v>
      </c>
      <c r="F23" s="10">
        <f t="shared" si="3"/>
        <v>3.6244412153010275E-2</v>
      </c>
      <c r="I23" s="7" t="s">
        <v>71</v>
      </c>
      <c r="J23" s="10">
        <v>5.4338052730055063E-2</v>
      </c>
      <c r="T23" t="str">
        <f t="shared" si="0"/>
        <v>Maharashtra</v>
      </c>
      <c r="U23" s="14">
        <f t="shared" si="1"/>
        <v>0.37154199074159483</v>
      </c>
    </row>
    <row r="24" spans="5:21" x14ac:dyDescent="0.25">
      <c r="E24" t="str">
        <f t="shared" si="2"/>
        <v>Jeans</v>
      </c>
      <c r="F24" s="10">
        <f t="shared" si="3"/>
        <v>1.1564220946240308E-2</v>
      </c>
      <c r="I24" s="7" t="s">
        <v>403</v>
      </c>
      <c r="J24" s="10">
        <v>8.6399149377545836E-2</v>
      </c>
      <c r="T24" t="str">
        <f t="shared" si="0"/>
        <v>Odisha</v>
      </c>
      <c r="U24" s="14">
        <f t="shared" si="1"/>
        <v>6.5440822088305622E-2</v>
      </c>
    </row>
    <row r="25" spans="5:21" x14ac:dyDescent="0.25">
      <c r="E25" t="str">
        <f t="shared" si="2"/>
        <v>Laptop</v>
      </c>
      <c r="F25" s="10">
        <f t="shared" si="3"/>
        <v>0.35390428399291418</v>
      </c>
      <c r="I25" s="7" t="s">
        <v>178</v>
      </c>
      <c r="J25" s="10">
        <v>3.2014388619331382E-3</v>
      </c>
      <c r="T25" t="str">
        <f t="shared" si="0"/>
        <v>Rajasthan</v>
      </c>
      <c r="U25" s="14">
        <f t="shared" si="1"/>
        <v>4.9951795568935156E-2</v>
      </c>
    </row>
    <row r="26" spans="5:21" x14ac:dyDescent="0.25">
      <c r="E26" t="str">
        <f t="shared" si="2"/>
        <v>Mixer Grinder</v>
      </c>
      <c r="F26" s="10">
        <f t="shared" si="3"/>
        <v>1.982627980129795E-2</v>
      </c>
      <c r="I26" s="7" t="s">
        <v>245</v>
      </c>
      <c r="J26" s="10">
        <v>1.4114433945508023E-2</v>
      </c>
      <c r="T26" t="str">
        <f t="shared" si="0"/>
        <v>Tamil Nadu</v>
      </c>
      <c r="U26" s="14">
        <f t="shared" si="1"/>
        <v>8.6647395505316929E-2</v>
      </c>
    </row>
    <row r="27" spans="5:21" x14ac:dyDescent="0.25">
      <c r="E27" t="str">
        <f t="shared" si="2"/>
        <v>Office Chair</v>
      </c>
      <c r="F27" s="10">
        <f t="shared" si="3"/>
        <v>5.7697413345188797E-2</v>
      </c>
      <c r="I27" s="7" t="s">
        <v>58</v>
      </c>
      <c r="J27" s="10">
        <v>2.6630984511325576E-2</v>
      </c>
      <c r="T27" t="str">
        <f t="shared" si="0"/>
        <v>Telangana</v>
      </c>
      <c r="U27" s="14">
        <f t="shared" si="1"/>
        <v>6.5561026288820712E-2</v>
      </c>
    </row>
    <row r="28" spans="5:21" x14ac:dyDescent="0.25">
      <c r="E28" t="str">
        <f t="shared" si="2"/>
        <v>Shoes</v>
      </c>
      <c r="F28" s="10">
        <f t="shared" si="3"/>
        <v>1.284836856512084E-2</v>
      </c>
      <c r="I28" s="7" t="s">
        <v>33</v>
      </c>
      <c r="J28" s="10">
        <v>6.5313875031185109E-3</v>
      </c>
      <c r="T28" t="str">
        <f t="shared" si="0"/>
        <v>Uttar Pradesh</v>
      </c>
      <c r="U28" s="14">
        <f t="shared" si="1"/>
        <v>4.5922359961226164E-2</v>
      </c>
    </row>
    <row r="29" spans="5:21" x14ac:dyDescent="0.25">
      <c r="E29" t="str">
        <f t="shared" si="2"/>
        <v>Smartphone</v>
      </c>
      <c r="F29" s="10">
        <f t="shared" si="3"/>
        <v>0.25538471964029413</v>
      </c>
      <c r="I29" s="7" t="s">
        <v>94</v>
      </c>
      <c r="J29" s="10">
        <v>8.658857155742021E-2</v>
      </c>
      <c r="T29" t="str">
        <f>IF(T14=0, "",T14)</f>
        <v>West Bengal</v>
      </c>
      <c r="U29" s="14">
        <f t="shared" si="1"/>
        <v>4.3849616451798405E-2</v>
      </c>
    </row>
    <row r="30" spans="5:21" x14ac:dyDescent="0.25">
      <c r="E30" t="str">
        <f t="shared" si="2"/>
        <v>Smartwatch</v>
      </c>
      <c r="F30" s="10">
        <f t="shared" si="3"/>
        <v>0.12055915066052142</v>
      </c>
      <c r="I30" s="7" t="s">
        <v>468</v>
      </c>
      <c r="J30" s="10">
        <v>2.331349906146237E-3</v>
      </c>
      <c r="U30" t="str">
        <f t="shared" si="1"/>
        <v/>
      </c>
    </row>
    <row r="31" spans="5:21" x14ac:dyDescent="0.25">
      <c r="E31" t="str">
        <f t="shared" si="2"/>
        <v>Table</v>
      </c>
      <c r="F31" s="10">
        <f t="shared" si="3"/>
        <v>6.6669816227012402E-2</v>
      </c>
      <c r="I31" s="7" t="s">
        <v>260</v>
      </c>
      <c r="J31" s="10">
        <v>5.8936232375816347E-3</v>
      </c>
    </row>
    <row r="32" spans="5:21" x14ac:dyDescent="0.25">
      <c r="E32" t="str">
        <f t="shared" si="2"/>
        <v>T-Shirt</v>
      </c>
      <c r="F32" s="10">
        <f>IF(F15=0,"",F15)</f>
        <v>9.6849897042415728E-3</v>
      </c>
      <c r="I32" s="7" t="s">
        <v>164</v>
      </c>
      <c r="J32" s="10">
        <v>3.4594520030275331E-3</v>
      </c>
    </row>
    <row r="33" spans="9:10" x14ac:dyDescent="0.25">
      <c r="I33" s="7" t="s">
        <v>248</v>
      </c>
      <c r="J33" s="10">
        <v>6.4099972736768984E-2</v>
      </c>
    </row>
    <row r="34" spans="9:10" x14ac:dyDescent="0.25">
      <c r="I34" s="7" t="s">
        <v>160</v>
      </c>
      <c r="J34" s="10">
        <v>4.1570825135372615E-2</v>
      </c>
    </row>
    <row r="35" spans="9:10" x14ac:dyDescent="0.25">
      <c r="I35" s="7" t="s">
        <v>190</v>
      </c>
      <c r="J35" s="10">
        <v>2.2652911335655952E-3</v>
      </c>
    </row>
    <row r="36" spans="9:10" x14ac:dyDescent="0.25">
      <c r="I36" s="7" t="s">
        <v>294</v>
      </c>
      <c r="J36" s="10">
        <v>4.8059396946011686E-3</v>
      </c>
    </row>
    <row r="37" spans="9:10" x14ac:dyDescent="0.25">
      <c r="I37" s="7" t="s">
        <v>532</v>
      </c>
      <c r="J37" s="10">
        <v>1</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0516-C9DE-43C0-A8BD-A0CBB9BB6B65}">
  <dimension ref="A1:Z201"/>
  <sheetViews>
    <sheetView topLeftCell="A14" workbookViewId="0">
      <selection activeCell="R17" sqref="R17"/>
    </sheetView>
  </sheetViews>
  <sheetFormatPr defaultRowHeight="15" x14ac:dyDescent="0.25"/>
  <cols>
    <col min="1" max="1" width="9.85546875" bestFit="1" customWidth="1"/>
    <col min="2" max="2" width="11.140625" bestFit="1" customWidth="1"/>
    <col min="3" max="3" width="12.42578125" bestFit="1" customWidth="1"/>
    <col min="4" max="4" width="16" bestFit="1" customWidth="1"/>
    <col min="5" max="5" width="7.7109375" bestFit="1" customWidth="1"/>
    <col min="6" max="6" width="4.42578125" bestFit="1" customWidth="1"/>
    <col min="7" max="7" width="13.42578125" bestFit="1" customWidth="1"/>
    <col min="8" max="8" width="16.5703125" bestFit="1" customWidth="1"/>
    <col min="9" max="10" width="18.140625" bestFit="1" customWidth="1"/>
    <col min="11" max="11" width="8.7109375" bestFit="1" customWidth="1"/>
    <col min="12" max="12" width="9.28515625" bestFit="1" customWidth="1"/>
    <col min="13" max="13" width="8.7109375" bestFit="1" customWidth="1"/>
    <col min="14" max="14" width="16" bestFit="1" customWidth="1"/>
    <col min="16" max="16" width="12.42578125" bestFit="1" customWidth="1"/>
    <col min="17" max="17" width="12.5703125" bestFit="1" customWidth="1"/>
    <col min="18" max="18" width="16.140625" bestFit="1" customWidth="1"/>
    <col min="19" max="19" width="13.5703125" bestFit="1" customWidth="1"/>
    <col min="20" max="21" width="13.140625" bestFit="1" customWidth="1"/>
    <col min="22" max="22" width="7.42578125" bestFit="1" customWidth="1"/>
    <col min="23" max="23" width="12.5703125" bestFit="1" customWidth="1"/>
    <col min="24" max="24" width="13.140625" bestFit="1" customWidth="1"/>
    <col min="25" max="25" width="6.5703125" bestFit="1" customWidth="1"/>
    <col min="26" max="26" width="10.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t="s">
        <v>26</v>
      </c>
      <c r="B2" s="3">
        <v>46186</v>
      </c>
      <c r="C2" s="2" t="s">
        <v>27</v>
      </c>
      <c r="D2" s="2" t="s">
        <v>28</v>
      </c>
      <c r="E2" s="2" t="s">
        <v>29</v>
      </c>
      <c r="F2" s="2">
        <v>65</v>
      </c>
      <c r="G2" s="2" t="s">
        <v>30</v>
      </c>
      <c r="H2" s="2" t="s">
        <v>31</v>
      </c>
      <c r="I2" s="2" t="s">
        <v>32</v>
      </c>
      <c r="J2" s="2" t="s">
        <v>33</v>
      </c>
      <c r="K2" s="2">
        <v>2</v>
      </c>
      <c r="L2" s="4">
        <v>900</v>
      </c>
      <c r="M2" s="5">
        <v>0.25</v>
      </c>
      <c r="N2" s="4">
        <v>450</v>
      </c>
      <c r="O2" s="4">
        <v>67.5</v>
      </c>
      <c r="P2" s="4">
        <v>200</v>
      </c>
      <c r="Q2" s="4">
        <v>1617.5</v>
      </c>
      <c r="R2" s="2" t="s">
        <v>34</v>
      </c>
      <c r="S2" s="2" t="s">
        <v>35</v>
      </c>
      <c r="T2" s="2" t="s">
        <v>36</v>
      </c>
      <c r="U2" s="2" t="s">
        <v>37</v>
      </c>
      <c r="V2" s="2" t="s">
        <v>38</v>
      </c>
      <c r="W2" s="2">
        <v>9</v>
      </c>
      <c r="X2" s="2" t="s">
        <v>39</v>
      </c>
      <c r="Y2" s="2">
        <v>3</v>
      </c>
      <c r="Z2" s="2" t="s">
        <v>40</v>
      </c>
    </row>
    <row r="3" spans="1:26" x14ac:dyDescent="0.25">
      <c r="A3" s="2" t="s">
        <v>41</v>
      </c>
      <c r="B3" s="3">
        <v>46166</v>
      </c>
      <c r="C3" s="2" t="s">
        <v>42</v>
      </c>
      <c r="D3" s="2" t="s">
        <v>43</v>
      </c>
      <c r="E3" s="2" t="s">
        <v>44</v>
      </c>
      <c r="F3" s="2">
        <v>32</v>
      </c>
      <c r="G3" s="2" t="s">
        <v>45</v>
      </c>
      <c r="H3" s="2" t="s">
        <v>31</v>
      </c>
      <c r="I3" s="2" t="s">
        <v>46</v>
      </c>
      <c r="J3" s="2" t="s">
        <v>47</v>
      </c>
      <c r="K3" s="2">
        <v>3</v>
      </c>
      <c r="L3" s="4">
        <v>800</v>
      </c>
      <c r="M3" s="5">
        <v>0.05</v>
      </c>
      <c r="N3" s="4">
        <v>120</v>
      </c>
      <c r="O3" s="4">
        <v>410.4</v>
      </c>
      <c r="P3" s="4">
        <v>100</v>
      </c>
      <c r="Q3" s="4">
        <v>2790.4</v>
      </c>
      <c r="R3" s="2" t="s">
        <v>48</v>
      </c>
      <c r="S3" s="2" t="s">
        <v>35</v>
      </c>
      <c r="T3" s="2" t="s">
        <v>49</v>
      </c>
      <c r="U3" s="2" t="s">
        <v>49</v>
      </c>
      <c r="V3" s="2" t="s">
        <v>50</v>
      </c>
      <c r="W3" s="2">
        <v>5</v>
      </c>
      <c r="X3" s="2" t="s">
        <v>51</v>
      </c>
      <c r="Y3" s="2">
        <v>4</v>
      </c>
      <c r="Z3" s="2" t="s">
        <v>40</v>
      </c>
    </row>
    <row r="4" spans="1:26" x14ac:dyDescent="0.25">
      <c r="A4" s="2" t="s">
        <v>52</v>
      </c>
      <c r="B4" s="3">
        <v>46114</v>
      </c>
      <c r="C4" s="2" t="s">
        <v>53</v>
      </c>
      <c r="D4" s="2" t="s">
        <v>54</v>
      </c>
      <c r="E4" s="2" t="s">
        <v>44</v>
      </c>
      <c r="F4" s="2">
        <v>20</v>
      </c>
      <c r="G4" s="2" t="s">
        <v>55</v>
      </c>
      <c r="H4" s="2" t="s">
        <v>56</v>
      </c>
      <c r="I4" s="2" t="s">
        <v>57</v>
      </c>
      <c r="J4" s="2" t="s">
        <v>58</v>
      </c>
      <c r="K4" s="2">
        <v>5</v>
      </c>
      <c r="L4" s="4">
        <v>5000</v>
      </c>
      <c r="M4" s="5">
        <v>0.15</v>
      </c>
      <c r="N4" s="4">
        <v>3750</v>
      </c>
      <c r="O4" s="4">
        <v>1062.5</v>
      </c>
      <c r="P4" s="4">
        <v>150</v>
      </c>
      <c r="Q4" s="4">
        <v>22462.5</v>
      </c>
      <c r="R4" s="2" t="s">
        <v>59</v>
      </c>
      <c r="S4" s="2" t="s">
        <v>60</v>
      </c>
      <c r="T4" s="2" t="s">
        <v>61</v>
      </c>
      <c r="U4" s="2" t="s">
        <v>62</v>
      </c>
      <c r="V4" s="2" t="s">
        <v>63</v>
      </c>
      <c r="W4" s="2">
        <v>10</v>
      </c>
      <c r="X4" s="2" t="s">
        <v>39</v>
      </c>
      <c r="Y4" s="2">
        <v>0</v>
      </c>
      <c r="Z4" s="2" t="s">
        <v>64</v>
      </c>
    </row>
    <row r="5" spans="1:26" x14ac:dyDescent="0.25">
      <c r="A5" s="2" t="s">
        <v>65</v>
      </c>
      <c r="B5" s="3">
        <v>46203</v>
      </c>
      <c r="C5" s="2" t="s">
        <v>66</v>
      </c>
      <c r="D5" s="2" t="s">
        <v>67</v>
      </c>
      <c r="E5" s="2" t="s">
        <v>29</v>
      </c>
      <c r="F5" s="2">
        <v>60</v>
      </c>
      <c r="G5" s="2" t="s">
        <v>68</v>
      </c>
      <c r="H5" s="2" t="s">
        <v>69</v>
      </c>
      <c r="I5" s="2" t="s">
        <v>70</v>
      </c>
      <c r="J5" s="2" t="s">
        <v>71</v>
      </c>
      <c r="K5" s="2">
        <v>1</v>
      </c>
      <c r="L5" s="4">
        <v>13700</v>
      </c>
      <c r="M5" s="5">
        <v>0</v>
      </c>
      <c r="N5" s="4">
        <v>0</v>
      </c>
      <c r="O5" s="4">
        <v>1644</v>
      </c>
      <c r="P5" s="4">
        <v>75</v>
      </c>
      <c r="Q5" s="4">
        <v>15419</v>
      </c>
      <c r="R5" s="2" t="s">
        <v>72</v>
      </c>
      <c r="S5" s="2" t="s">
        <v>60</v>
      </c>
      <c r="T5" s="2" t="s">
        <v>73</v>
      </c>
      <c r="U5" s="2" t="s">
        <v>74</v>
      </c>
      <c r="V5" s="2" t="s">
        <v>50</v>
      </c>
      <c r="W5" s="2">
        <v>6</v>
      </c>
      <c r="X5" s="2" t="s">
        <v>39</v>
      </c>
      <c r="Y5" s="2">
        <v>5</v>
      </c>
      <c r="Z5" s="2" t="s">
        <v>40</v>
      </c>
    </row>
    <row r="6" spans="1:26" x14ac:dyDescent="0.25">
      <c r="A6" s="2" t="s">
        <v>75</v>
      </c>
      <c r="B6" s="3">
        <v>46159</v>
      </c>
      <c r="C6" s="2" t="s">
        <v>76</v>
      </c>
      <c r="D6" s="2" t="s">
        <v>77</v>
      </c>
      <c r="E6" s="2" t="s">
        <v>29</v>
      </c>
      <c r="F6" s="2">
        <v>47</v>
      </c>
      <c r="G6" s="2" t="s">
        <v>78</v>
      </c>
      <c r="H6" s="2" t="s">
        <v>31</v>
      </c>
      <c r="I6" s="2" t="s">
        <v>79</v>
      </c>
      <c r="J6" s="2" t="s">
        <v>33</v>
      </c>
      <c r="K6" s="2">
        <v>5</v>
      </c>
      <c r="L6" s="4">
        <v>4300</v>
      </c>
      <c r="M6" s="5">
        <v>0.25</v>
      </c>
      <c r="N6" s="4">
        <v>5375</v>
      </c>
      <c r="O6" s="4">
        <v>1935</v>
      </c>
      <c r="P6" s="4">
        <v>250</v>
      </c>
      <c r="Q6" s="4">
        <v>18310</v>
      </c>
      <c r="R6" s="2" t="s">
        <v>72</v>
      </c>
      <c r="S6" s="2" t="s">
        <v>60</v>
      </c>
      <c r="T6" s="2" t="s">
        <v>80</v>
      </c>
      <c r="U6" s="2" t="s">
        <v>81</v>
      </c>
      <c r="V6" s="2" t="s">
        <v>82</v>
      </c>
      <c r="W6" s="2">
        <v>1</v>
      </c>
      <c r="X6" s="2" t="s">
        <v>39</v>
      </c>
      <c r="Y6" s="2">
        <v>4</v>
      </c>
      <c r="Z6" s="2" t="s">
        <v>40</v>
      </c>
    </row>
    <row r="7" spans="1:26" x14ac:dyDescent="0.25">
      <c r="A7" s="2" t="s">
        <v>83</v>
      </c>
      <c r="B7" s="3">
        <v>46256</v>
      </c>
      <c r="C7" s="2" t="s">
        <v>84</v>
      </c>
      <c r="D7" s="2" t="s">
        <v>85</v>
      </c>
      <c r="E7" s="2" t="s">
        <v>44</v>
      </c>
      <c r="F7" s="2">
        <v>31</v>
      </c>
      <c r="G7" s="2" t="s">
        <v>86</v>
      </c>
      <c r="H7" s="2" t="s">
        <v>56</v>
      </c>
      <c r="I7" s="2" t="s">
        <v>57</v>
      </c>
      <c r="J7" s="2" t="s">
        <v>87</v>
      </c>
      <c r="K7" s="2">
        <v>4</v>
      </c>
      <c r="L7" s="4">
        <v>5900</v>
      </c>
      <c r="M7" s="5">
        <v>0.15</v>
      </c>
      <c r="N7" s="4">
        <v>3540</v>
      </c>
      <c r="O7" s="4">
        <v>1003</v>
      </c>
      <c r="P7" s="4">
        <v>75</v>
      </c>
      <c r="Q7" s="4">
        <v>21138</v>
      </c>
      <c r="R7" s="2" t="s">
        <v>88</v>
      </c>
      <c r="S7" s="2" t="s">
        <v>89</v>
      </c>
      <c r="T7" s="2" t="s">
        <v>90</v>
      </c>
      <c r="U7" s="2" t="s">
        <v>62</v>
      </c>
      <c r="V7" s="2" t="s">
        <v>63</v>
      </c>
      <c r="W7" s="2">
        <v>4</v>
      </c>
      <c r="X7" s="2" t="s">
        <v>39</v>
      </c>
      <c r="Y7" s="2">
        <v>0</v>
      </c>
      <c r="Z7" s="2" t="s">
        <v>91</v>
      </c>
    </row>
    <row r="8" spans="1:26" x14ac:dyDescent="0.25">
      <c r="A8" s="2" t="s">
        <v>92</v>
      </c>
      <c r="B8" s="3">
        <v>46252</v>
      </c>
      <c r="C8" s="2" t="s">
        <v>93</v>
      </c>
      <c r="D8" s="2" t="s">
        <v>85</v>
      </c>
      <c r="E8" s="2" t="s">
        <v>44</v>
      </c>
      <c r="F8" s="2">
        <v>41</v>
      </c>
      <c r="G8" s="2" t="s">
        <v>68</v>
      </c>
      <c r="H8" s="2" t="s">
        <v>69</v>
      </c>
      <c r="I8" s="2" t="s">
        <v>70</v>
      </c>
      <c r="J8" s="2" t="s">
        <v>94</v>
      </c>
      <c r="K8" s="2">
        <v>5</v>
      </c>
      <c r="L8" s="4">
        <v>27000</v>
      </c>
      <c r="M8" s="5">
        <v>0</v>
      </c>
      <c r="N8" s="4">
        <v>0</v>
      </c>
      <c r="O8" s="4">
        <v>6750</v>
      </c>
      <c r="P8" s="4">
        <v>250</v>
      </c>
      <c r="Q8" s="4">
        <v>142000</v>
      </c>
      <c r="R8" s="2" t="s">
        <v>48</v>
      </c>
      <c r="S8" s="2" t="s">
        <v>89</v>
      </c>
      <c r="T8" s="2" t="s">
        <v>95</v>
      </c>
      <c r="U8" s="2" t="s">
        <v>62</v>
      </c>
      <c r="V8" s="2" t="s">
        <v>63</v>
      </c>
      <c r="W8" s="2">
        <v>3</v>
      </c>
      <c r="X8" s="2" t="s">
        <v>39</v>
      </c>
      <c r="Y8" s="2">
        <v>4</v>
      </c>
      <c r="Z8" s="2" t="s">
        <v>40</v>
      </c>
    </row>
    <row r="9" spans="1:26" x14ac:dyDescent="0.25">
      <c r="A9" s="2" t="s">
        <v>96</v>
      </c>
      <c r="B9" s="3">
        <v>46175</v>
      </c>
      <c r="C9" s="2" t="s">
        <v>97</v>
      </c>
      <c r="D9" s="2" t="s">
        <v>98</v>
      </c>
      <c r="E9" s="2" t="s">
        <v>44</v>
      </c>
      <c r="F9" s="2">
        <v>53</v>
      </c>
      <c r="G9" s="2" t="s">
        <v>99</v>
      </c>
      <c r="H9" s="2" t="s">
        <v>69</v>
      </c>
      <c r="I9" s="2" t="s">
        <v>100</v>
      </c>
      <c r="J9" s="2" t="s">
        <v>101</v>
      </c>
      <c r="K9" s="2">
        <v>5</v>
      </c>
      <c r="L9" s="4">
        <v>83400</v>
      </c>
      <c r="M9" s="5">
        <v>0.1</v>
      </c>
      <c r="N9" s="4">
        <v>41700</v>
      </c>
      <c r="O9" s="4">
        <v>67554</v>
      </c>
      <c r="P9" s="4">
        <v>75</v>
      </c>
      <c r="Q9" s="4">
        <v>442929</v>
      </c>
      <c r="R9" s="2" t="s">
        <v>88</v>
      </c>
      <c r="S9" s="2" t="s">
        <v>60</v>
      </c>
      <c r="T9" s="2" t="s">
        <v>95</v>
      </c>
      <c r="U9" s="2" t="s">
        <v>62</v>
      </c>
      <c r="V9" s="2" t="s">
        <v>63</v>
      </c>
      <c r="W9" s="2">
        <v>5</v>
      </c>
      <c r="X9" s="2" t="s">
        <v>39</v>
      </c>
      <c r="Y9" s="2">
        <v>5</v>
      </c>
      <c r="Z9" s="2" t="s">
        <v>40</v>
      </c>
    </row>
    <row r="10" spans="1:26" x14ac:dyDescent="0.25">
      <c r="A10" s="2" t="s">
        <v>102</v>
      </c>
      <c r="B10" s="3">
        <v>46152</v>
      </c>
      <c r="C10" s="2" t="s">
        <v>103</v>
      </c>
      <c r="D10" s="2" t="s">
        <v>28</v>
      </c>
      <c r="E10" s="2" t="s">
        <v>44</v>
      </c>
      <c r="F10" s="2">
        <v>58</v>
      </c>
      <c r="G10" s="2" t="s">
        <v>104</v>
      </c>
      <c r="H10" s="2" t="s">
        <v>105</v>
      </c>
      <c r="I10" s="2" t="s">
        <v>106</v>
      </c>
      <c r="J10" s="2" t="s">
        <v>107</v>
      </c>
      <c r="K10" s="2">
        <v>2</v>
      </c>
      <c r="L10" s="4">
        <v>8900</v>
      </c>
      <c r="M10" s="5">
        <v>0.1</v>
      </c>
      <c r="N10" s="4">
        <v>1780</v>
      </c>
      <c r="O10" s="4">
        <v>801</v>
      </c>
      <c r="P10" s="4">
        <v>150</v>
      </c>
      <c r="Q10" s="4">
        <v>16971</v>
      </c>
      <c r="R10" s="2" t="s">
        <v>88</v>
      </c>
      <c r="S10" s="2" t="s">
        <v>89</v>
      </c>
      <c r="T10" s="2" t="s">
        <v>80</v>
      </c>
      <c r="U10" s="2" t="s">
        <v>81</v>
      </c>
      <c r="V10" s="2" t="s">
        <v>82</v>
      </c>
      <c r="W10" s="2">
        <v>9</v>
      </c>
      <c r="X10" s="2" t="s">
        <v>39</v>
      </c>
      <c r="Y10" s="2">
        <v>0</v>
      </c>
      <c r="Z10" s="2" t="s">
        <v>64</v>
      </c>
    </row>
    <row r="11" spans="1:26" x14ac:dyDescent="0.25">
      <c r="A11" s="2" t="s">
        <v>108</v>
      </c>
      <c r="B11" s="3">
        <v>46027</v>
      </c>
      <c r="C11" s="2" t="s">
        <v>109</v>
      </c>
      <c r="D11" s="2" t="s">
        <v>28</v>
      </c>
      <c r="E11" s="2" t="s">
        <v>44</v>
      </c>
      <c r="F11" s="2">
        <v>37</v>
      </c>
      <c r="G11" s="2" t="s">
        <v>68</v>
      </c>
      <c r="H11" s="2" t="s">
        <v>69</v>
      </c>
      <c r="I11" s="2" t="s">
        <v>70</v>
      </c>
      <c r="J11" s="2" t="s">
        <v>110</v>
      </c>
      <c r="K11" s="2">
        <v>2</v>
      </c>
      <c r="L11" s="4">
        <v>30800</v>
      </c>
      <c r="M11" s="5">
        <v>0</v>
      </c>
      <c r="N11" s="4">
        <v>0</v>
      </c>
      <c r="O11" s="4">
        <v>3080</v>
      </c>
      <c r="P11" s="4">
        <v>200</v>
      </c>
      <c r="Q11" s="4">
        <v>64880</v>
      </c>
      <c r="R11" s="2" t="s">
        <v>34</v>
      </c>
      <c r="S11" s="2" t="s">
        <v>60</v>
      </c>
      <c r="T11" s="2" t="s">
        <v>73</v>
      </c>
      <c r="U11" s="2" t="s">
        <v>74</v>
      </c>
      <c r="V11" s="2" t="s">
        <v>50</v>
      </c>
      <c r="W11" s="2">
        <v>2</v>
      </c>
      <c r="X11" s="2" t="s">
        <v>39</v>
      </c>
      <c r="Y11" s="2">
        <v>2</v>
      </c>
      <c r="Z11" s="2" t="s">
        <v>111</v>
      </c>
    </row>
    <row r="12" spans="1:26" x14ac:dyDescent="0.25">
      <c r="A12" s="2" t="s">
        <v>112</v>
      </c>
      <c r="B12" s="3">
        <v>46191</v>
      </c>
      <c r="C12" s="2" t="s">
        <v>113</v>
      </c>
      <c r="D12" s="2" t="s">
        <v>114</v>
      </c>
      <c r="E12" s="2" t="s">
        <v>29</v>
      </c>
      <c r="F12" s="2">
        <v>34</v>
      </c>
      <c r="G12" s="2" t="s">
        <v>104</v>
      </c>
      <c r="H12" s="2" t="s">
        <v>105</v>
      </c>
      <c r="I12" s="2" t="s">
        <v>106</v>
      </c>
      <c r="J12" s="2" t="s">
        <v>107</v>
      </c>
      <c r="K12" s="2">
        <v>4</v>
      </c>
      <c r="L12" s="4">
        <v>10400</v>
      </c>
      <c r="M12" s="5">
        <v>0.2</v>
      </c>
      <c r="N12" s="4">
        <v>8320</v>
      </c>
      <c r="O12" s="4">
        <v>5990.4</v>
      </c>
      <c r="P12" s="4">
        <v>200</v>
      </c>
      <c r="Q12" s="4">
        <v>39470.400000000001</v>
      </c>
      <c r="R12" s="2" t="s">
        <v>48</v>
      </c>
      <c r="S12" s="2" t="s">
        <v>35</v>
      </c>
      <c r="T12" s="2" t="s">
        <v>115</v>
      </c>
      <c r="U12" s="2" t="s">
        <v>62</v>
      </c>
      <c r="V12" s="2" t="s">
        <v>116</v>
      </c>
      <c r="W12" s="2">
        <v>5</v>
      </c>
      <c r="X12" s="2" t="s">
        <v>39</v>
      </c>
      <c r="Y12" s="2">
        <v>4</v>
      </c>
      <c r="Z12" s="2" t="s">
        <v>40</v>
      </c>
    </row>
    <row r="13" spans="1:26" x14ac:dyDescent="0.25">
      <c r="A13" s="2" t="s">
        <v>117</v>
      </c>
      <c r="B13" s="3">
        <v>46086</v>
      </c>
      <c r="C13" s="2" t="s">
        <v>118</v>
      </c>
      <c r="D13" s="2" t="s">
        <v>77</v>
      </c>
      <c r="E13" s="2" t="s">
        <v>29</v>
      </c>
      <c r="F13" s="2">
        <v>39</v>
      </c>
      <c r="G13" s="2" t="s">
        <v>99</v>
      </c>
      <c r="H13" s="2" t="s">
        <v>69</v>
      </c>
      <c r="I13" s="2" t="s">
        <v>100</v>
      </c>
      <c r="J13" s="2" t="s">
        <v>119</v>
      </c>
      <c r="K13" s="2">
        <v>5</v>
      </c>
      <c r="L13" s="4">
        <v>56200</v>
      </c>
      <c r="M13" s="5">
        <v>0</v>
      </c>
      <c r="N13" s="4">
        <v>0</v>
      </c>
      <c r="O13" s="4">
        <v>14050</v>
      </c>
      <c r="P13" s="4">
        <v>200</v>
      </c>
      <c r="Q13" s="4">
        <v>295250</v>
      </c>
      <c r="R13" s="2" t="s">
        <v>59</v>
      </c>
      <c r="S13" s="2" t="s">
        <v>60</v>
      </c>
      <c r="T13" s="2" t="s">
        <v>120</v>
      </c>
      <c r="U13" s="2" t="s">
        <v>121</v>
      </c>
      <c r="V13" s="2" t="s">
        <v>38</v>
      </c>
      <c r="W13" s="2">
        <v>1</v>
      </c>
      <c r="X13" s="2" t="s">
        <v>122</v>
      </c>
      <c r="Y13" s="2">
        <v>5</v>
      </c>
      <c r="Z13" s="2" t="s">
        <v>40</v>
      </c>
    </row>
    <row r="14" spans="1:26" x14ac:dyDescent="0.25">
      <c r="A14" s="2" t="s">
        <v>123</v>
      </c>
      <c r="B14" s="3">
        <v>46094</v>
      </c>
      <c r="C14" s="2" t="s">
        <v>124</v>
      </c>
      <c r="D14" s="2" t="s">
        <v>114</v>
      </c>
      <c r="E14" s="2" t="s">
        <v>29</v>
      </c>
      <c r="F14" s="2">
        <v>52</v>
      </c>
      <c r="G14" s="2" t="s">
        <v>125</v>
      </c>
      <c r="H14" s="2" t="s">
        <v>69</v>
      </c>
      <c r="I14" s="2" t="s">
        <v>126</v>
      </c>
      <c r="J14" s="2" t="s">
        <v>71</v>
      </c>
      <c r="K14" s="2">
        <v>2</v>
      </c>
      <c r="L14" s="4">
        <v>11000</v>
      </c>
      <c r="M14" s="5">
        <v>0.15</v>
      </c>
      <c r="N14" s="4">
        <v>3300</v>
      </c>
      <c r="O14" s="4">
        <v>2244</v>
      </c>
      <c r="P14" s="4">
        <v>50</v>
      </c>
      <c r="Q14" s="4">
        <v>20994</v>
      </c>
      <c r="R14" s="2" t="s">
        <v>48</v>
      </c>
      <c r="S14" s="2" t="s">
        <v>89</v>
      </c>
      <c r="T14" s="2" t="s">
        <v>95</v>
      </c>
      <c r="U14" s="2" t="s">
        <v>62</v>
      </c>
      <c r="V14" s="2" t="s">
        <v>63</v>
      </c>
      <c r="W14" s="2">
        <v>2</v>
      </c>
      <c r="X14" s="2" t="s">
        <v>39</v>
      </c>
      <c r="Y14" s="2">
        <v>0</v>
      </c>
      <c r="Z14" s="2" t="s">
        <v>91</v>
      </c>
    </row>
    <row r="15" spans="1:26" x14ac:dyDescent="0.25">
      <c r="A15" s="2" t="s">
        <v>127</v>
      </c>
      <c r="B15" s="3">
        <v>46142</v>
      </c>
      <c r="C15" s="2" t="s">
        <v>128</v>
      </c>
      <c r="D15" s="2" t="s">
        <v>129</v>
      </c>
      <c r="E15" s="2" t="s">
        <v>29</v>
      </c>
      <c r="F15" s="2">
        <v>21</v>
      </c>
      <c r="G15" s="2" t="s">
        <v>78</v>
      </c>
      <c r="H15" s="2" t="s">
        <v>31</v>
      </c>
      <c r="I15" s="2" t="s">
        <v>79</v>
      </c>
      <c r="J15" s="2" t="s">
        <v>33</v>
      </c>
      <c r="K15" s="2">
        <v>1</v>
      </c>
      <c r="L15" s="4">
        <v>4600</v>
      </c>
      <c r="M15" s="5">
        <v>0.05</v>
      </c>
      <c r="N15" s="4">
        <v>230</v>
      </c>
      <c r="O15" s="4">
        <v>218.5</v>
      </c>
      <c r="P15" s="4">
        <v>150</v>
      </c>
      <c r="Q15" s="4">
        <v>4738.5</v>
      </c>
      <c r="R15" s="2" t="s">
        <v>48</v>
      </c>
      <c r="S15" s="2" t="s">
        <v>35</v>
      </c>
      <c r="T15" s="2" t="s">
        <v>73</v>
      </c>
      <c r="U15" s="2" t="s">
        <v>74</v>
      </c>
      <c r="V15" s="2" t="s">
        <v>50</v>
      </c>
      <c r="W15" s="2">
        <v>3</v>
      </c>
      <c r="X15" s="2" t="s">
        <v>39</v>
      </c>
      <c r="Y15" s="2">
        <v>4</v>
      </c>
      <c r="Z15" s="2" t="s">
        <v>40</v>
      </c>
    </row>
    <row r="16" spans="1:26" x14ac:dyDescent="0.25">
      <c r="A16" s="2" t="s">
        <v>130</v>
      </c>
      <c r="B16" s="3">
        <v>46035</v>
      </c>
      <c r="C16" s="2" t="s">
        <v>131</v>
      </c>
      <c r="D16" s="2" t="s">
        <v>132</v>
      </c>
      <c r="E16" s="2" t="s">
        <v>29</v>
      </c>
      <c r="F16" s="2">
        <v>23</v>
      </c>
      <c r="G16" s="2" t="s">
        <v>68</v>
      </c>
      <c r="H16" s="2" t="s">
        <v>69</v>
      </c>
      <c r="I16" s="2" t="s">
        <v>70</v>
      </c>
      <c r="J16" s="2" t="s">
        <v>94</v>
      </c>
      <c r="K16" s="2">
        <v>4</v>
      </c>
      <c r="L16" s="4">
        <v>26600</v>
      </c>
      <c r="M16" s="5">
        <v>0.15</v>
      </c>
      <c r="N16" s="4">
        <v>15960</v>
      </c>
      <c r="O16" s="4">
        <v>4522</v>
      </c>
      <c r="P16" s="4">
        <v>250</v>
      </c>
      <c r="Q16" s="4">
        <v>95212</v>
      </c>
      <c r="R16" s="2" t="s">
        <v>48</v>
      </c>
      <c r="S16" s="2" t="s">
        <v>133</v>
      </c>
      <c r="T16" s="2" t="s">
        <v>134</v>
      </c>
      <c r="U16" s="2" t="s">
        <v>135</v>
      </c>
      <c r="V16" s="2" t="s">
        <v>50</v>
      </c>
      <c r="W16" s="2">
        <v>1</v>
      </c>
      <c r="X16" s="2" t="s">
        <v>39</v>
      </c>
      <c r="Y16" s="2">
        <v>4</v>
      </c>
      <c r="Z16" s="2" t="s">
        <v>40</v>
      </c>
    </row>
    <row r="17" spans="1:26" x14ac:dyDescent="0.25">
      <c r="A17" s="2" t="s">
        <v>136</v>
      </c>
      <c r="B17" s="3">
        <v>46131</v>
      </c>
      <c r="C17" s="2" t="s">
        <v>137</v>
      </c>
      <c r="D17" s="2" t="s">
        <v>132</v>
      </c>
      <c r="E17" s="2" t="s">
        <v>44</v>
      </c>
      <c r="F17" s="2">
        <v>27</v>
      </c>
      <c r="G17" s="2" t="s">
        <v>68</v>
      </c>
      <c r="H17" s="2" t="s">
        <v>69</v>
      </c>
      <c r="I17" s="2" t="s">
        <v>70</v>
      </c>
      <c r="J17" s="2" t="s">
        <v>71</v>
      </c>
      <c r="K17" s="2">
        <v>2</v>
      </c>
      <c r="L17" s="4">
        <v>4700</v>
      </c>
      <c r="M17" s="5">
        <v>0.2</v>
      </c>
      <c r="N17" s="4">
        <v>1880</v>
      </c>
      <c r="O17" s="4">
        <v>1353.6</v>
      </c>
      <c r="P17" s="4">
        <v>150</v>
      </c>
      <c r="Q17" s="4">
        <v>9023.6</v>
      </c>
      <c r="R17" s="2" t="s">
        <v>59</v>
      </c>
      <c r="S17" s="2" t="s">
        <v>60</v>
      </c>
      <c r="T17" s="2" t="s">
        <v>138</v>
      </c>
      <c r="U17" s="2" t="s">
        <v>62</v>
      </c>
      <c r="V17" s="2" t="s">
        <v>63</v>
      </c>
      <c r="W17" s="2">
        <v>6</v>
      </c>
      <c r="X17" s="2" t="s">
        <v>39</v>
      </c>
      <c r="Y17" s="2">
        <v>5</v>
      </c>
      <c r="Z17" s="2" t="s">
        <v>40</v>
      </c>
    </row>
    <row r="18" spans="1:26" x14ac:dyDescent="0.25">
      <c r="A18" s="2" t="s">
        <v>139</v>
      </c>
      <c r="B18" s="3">
        <v>46037</v>
      </c>
      <c r="C18" s="2" t="s">
        <v>140</v>
      </c>
      <c r="D18" s="2" t="s">
        <v>141</v>
      </c>
      <c r="E18" s="2" t="s">
        <v>29</v>
      </c>
      <c r="F18" s="2">
        <v>29</v>
      </c>
      <c r="G18" s="2" t="s">
        <v>142</v>
      </c>
      <c r="H18" s="2" t="s">
        <v>69</v>
      </c>
      <c r="I18" s="2" t="s">
        <v>143</v>
      </c>
      <c r="J18" s="2" t="s">
        <v>94</v>
      </c>
      <c r="K18" s="2">
        <v>2</v>
      </c>
      <c r="L18" s="4">
        <v>53300</v>
      </c>
      <c r="M18" s="5">
        <v>0</v>
      </c>
      <c r="N18" s="4">
        <v>0</v>
      </c>
      <c r="O18" s="4">
        <v>19188</v>
      </c>
      <c r="P18" s="4">
        <v>50</v>
      </c>
      <c r="Q18" s="4">
        <v>125838</v>
      </c>
      <c r="R18" s="2" t="s">
        <v>59</v>
      </c>
      <c r="S18" s="2" t="s">
        <v>133</v>
      </c>
      <c r="T18" s="2" t="s">
        <v>144</v>
      </c>
      <c r="U18" s="2" t="s">
        <v>145</v>
      </c>
      <c r="V18" s="2" t="s">
        <v>38</v>
      </c>
      <c r="W18" s="2">
        <v>10</v>
      </c>
      <c r="X18" s="2" t="s">
        <v>39</v>
      </c>
      <c r="Y18" s="2">
        <v>5</v>
      </c>
      <c r="Z18" s="2" t="s">
        <v>40</v>
      </c>
    </row>
    <row r="19" spans="1:26" x14ac:dyDescent="0.25">
      <c r="A19" s="2" t="s">
        <v>146</v>
      </c>
      <c r="B19" s="3">
        <v>46262</v>
      </c>
      <c r="C19" s="2" t="s">
        <v>147</v>
      </c>
      <c r="D19" s="2" t="s">
        <v>148</v>
      </c>
      <c r="E19" s="2" t="s">
        <v>29</v>
      </c>
      <c r="F19" s="2">
        <v>60</v>
      </c>
      <c r="G19" s="2" t="s">
        <v>55</v>
      </c>
      <c r="H19" s="2" t="s">
        <v>56</v>
      </c>
      <c r="I19" s="2" t="s">
        <v>57</v>
      </c>
      <c r="J19" s="2" t="s">
        <v>58</v>
      </c>
      <c r="K19" s="2">
        <v>2</v>
      </c>
      <c r="L19" s="4">
        <v>6800</v>
      </c>
      <c r="M19" s="5">
        <v>0.15</v>
      </c>
      <c r="N19" s="4">
        <v>2040</v>
      </c>
      <c r="O19" s="4">
        <v>578</v>
      </c>
      <c r="P19" s="4">
        <v>200</v>
      </c>
      <c r="Q19" s="4">
        <v>12338</v>
      </c>
      <c r="R19" s="2" t="s">
        <v>48</v>
      </c>
      <c r="S19" s="2" t="s">
        <v>35</v>
      </c>
      <c r="T19" s="2" t="s">
        <v>120</v>
      </c>
      <c r="U19" s="2" t="s">
        <v>121</v>
      </c>
      <c r="V19" s="2" t="s">
        <v>38</v>
      </c>
      <c r="W19" s="2">
        <v>5</v>
      </c>
      <c r="X19" s="2" t="s">
        <v>51</v>
      </c>
      <c r="Y19" s="2">
        <v>5</v>
      </c>
      <c r="Z19" s="2" t="s">
        <v>40</v>
      </c>
    </row>
    <row r="20" spans="1:26" x14ac:dyDescent="0.25">
      <c r="A20" s="2" t="s">
        <v>149</v>
      </c>
      <c r="B20" s="3">
        <v>46041</v>
      </c>
      <c r="C20" s="2" t="s">
        <v>150</v>
      </c>
      <c r="D20" s="2" t="s">
        <v>132</v>
      </c>
      <c r="E20" s="2" t="s">
        <v>29</v>
      </c>
      <c r="F20" s="2">
        <v>50</v>
      </c>
      <c r="G20" s="2" t="s">
        <v>30</v>
      </c>
      <c r="H20" s="2" t="s">
        <v>31</v>
      </c>
      <c r="I20" s="2" t="s">
        <v>32</v>
      </c>
      <c r="J20" s="2" t="s">
        <v>33</v>
      </c>
      <c r="K20" s="2">
        <v>3</v>
      </c>
      <c r="L20" s="4">
        <v>700</v>
      </c>
      <c r="M20" s="5">
        <v>0.05</v>
      </c>
      <c r="N20" s="4">
        <v>105</v>
      </c>
      <c r="O20" s="4">
        <v>239.4</v>
      </c>
      <c r="P20" s="4">
        <v>75</v>
      </c>
      <c r="Q20" s="4">
        <v>2309.4</v>
      </c>
      <c r="R20" s="2" t="s">
        <v>88</v>
      </c>
      <c r="S20" s="2" t="s">
        <v>35</v>
      </c>
      <c r="T20" s="2" t="s">
        <v>90</v>
      </c>
      <c r="U20" s="2" t="s">
        <v>62</v>
      </c>
      <c r="V20" s="2" t="s">
        <v>63</v>
      </c>
      <c r="W20" s="2">
        <v>8</v>
      </c>
      <c r="X20" s="2" t="s">
        <v>39</v>
      </c>
      <c r="Y20" s="2">
        <v>0</v>
      </c>
      <c r="Z20" s="2" t="s">
        <v>64</v>
      </c>
    </row>
    <row r="21" spans="1:26" x14ac:dyDescent="0.25">
      <c r="A21" s="2" t="s">
        <v>151</v>
      </c>
      <c r="B21" s="3">
        <v>46193</v>
      </c>
      <c r="C21" s="2" t="s">
        <v>152</v>
      </c>
      <c r="D21" s="2" t="s">
        <v>132</v>
      </c>
      <c r="E21" s="2" t="s">
        <v>44</v>
      </c>
      <c r="F21" s="2">
        <v>60</v>
      </c>
      <c r="G21" s="2" t="s">
        <v>142</v>
      </c>
      <c r="H21" s="2" t="s">
        <v>69</v>
      </c>
      <c r="I21" s="2" t="s">
        <v>143</v>
      </c>
      <c r="J21" s="2" t="s">
        <v>110</v>
      </c>
      <c r="K21" s="2">
        <v>3</v>
      </c>
      <c r="L21" s="4">
        <v>23800</v>
      </c>
      <c r="M21" s="5">
        <v>0</v>
      </c>
      <c r="N21" s="4">
        <v>0</v>
      </c>
      <c r="O21" s="4">
        <v>12852</v>
      </c>
      <c r="P21" s="4">
        <v>150</v>
      </c>
      <c r="Q21" s="4">
        <v>84402</v>
      </c>
      <c r="R21" s="2" t="s">
        <v>88</v>
      </c>
      <c r="S21" s="2" t="s">
        <v>89</v>
      </c>
      <c r="T21" s="2" t="s">
        <v>90</v>
      </c>
      <c r="U21" s="2" t="s">
        <v>62</v>
      </c>
      <c r="V21" s="2" t="s">
        <v>63</v>
      </c>
      <c r="W21" s="2">
        <v>5</v>
      </c>
      <c r="X21" s="2" t="s">
        <v>39</v>
      </c>
      <c r="Y21" s="2">
        <v>4</v>
      </c>
      <c r="Z21" s="2" t="s">
        <v>40</v>
      </c>
    </row>
    <row r="22" spans="1:26" x14ac:dyDescent="0.25">
      <c r="A22" s="2" t="s">
        <v>153</v>
      </c>
      <c r="B22" s="3">
        <v>46087</v>
      </c>
      <c r="C22" s="2" t="s">
        <v>154</v>
      </c>
      <c r="D22" s="2" t="s">
        <v>129</v>
      </c>
      <c r="E22" s="2" t="s">
        <v>29</v>
      </c>
      <c r="F22" s="2">
        <v>58</v>
      </c>
      <c r="G22" s="2" t="s">
        <v>78</v>
      </c>
      <c r="H22" s="2" t="s">
        <v>31</v>
      </c>
      <c r="I22" s="2" t="s">
        <v>79</v>
      </c>
      <c r="J22" s="2" t="s">
        <v>33</v>
      </c>
      <c r="K22" s="2">
        <v>1</v>
      </c>
      <c r="L22" s="4">
        <v>1500</v>
      </c>
      <c r="M22" s="5">
        <v>0.1</v>
      </c>
      <c r="N22" s="4">
        <v>150</v>
      </c>
      <c r="O22" s="4">
        <v>67.5</v>
      </c>
      <c r="P22" s="4">
        <v>200</v>
      </c>
      <c r="Q22" s="4">
        <v>1617.5</v>
      </c>
      <c r="R22" s="2" t="s">
        <v>48</v>
      </c>
      <c r="S22" s="2" t="s">
        <v>35</v>
      </c>
      <c r="T22" s="2" t="s">
        <v>61</v>
      </c>
      <c r="U22" s="2" t="s">
        <v>62</v>
      </c>
      <c r="V22" s="2" t="s">
        <v>63</v>
      </c>
      <c r="W22" s="2">
        <v>3</v>
      </c>
      <c r="X22" s="2" t="s">
        <v>39</v>
      </c>
      <c r="Y22" s="2">
        <v>0</v>
      </c>
      <c r="Z22" s="2" t="s">
        <v>91</v>
      </c>
    </row>
    <row r="23" spans="1:26" x14ac:dyDescent="0.25">
      <c r="A23" s="2" t="s">
        <v>155</v>
      </c>
      <c r="B23" s="3">
        <v>46051</v>
      </c>
      <c r="C23" s="2" t="s">
        <v>156</v>
      </c>
      <c r="D23" s="2" t="s">
        <v>67</v>
      </c>
      <c r="E23" s="2" t="s">
        <v>29</v>
      </c>
      <c r="F23" s="2">
        <v>52</v>
      </c>
      <c r="G23" s="2" t="s">
        <v>99</v>
      </c>
      <c r="H23" s="2" t="s">
        <v>69</v>
      </c>
      <c r="I23" s="2" t="s">
        <v>100</v>
      </c>
      <c r="J23" s="2" t="s">
        <v>157</v>
      </c>
      <c r="K23" s="2">
        <v>5</v>
      </c>
      <c r="L23" s="4">
        <v>73200</v>
      </c>
      <c r="M23" s="5">
        <v>0.05</v>
      </c>
      <c r="N23" s="4">
        <v>18300</v>
      </c>
      <c r="O23" s="4">
        <v>41724</v>
      </c>
      <c r="P23" s="4">
        <v>50</v>
      </c>
      <c r="Q23" s="4">
        <v>389474</v>
      </c>
      <c r="R23" s="2" t="s">
        <v>88</v>
      </c>
      <c r="S23" s="2" t="s">
        <v>60</v>
      </c>
      <c r="T23" s="2" t="s">
        <v>138</v>
      </c>
      <c r="U23" s="2" t="s">
        <v>62</v>
      </c>
      <c r="V23" s="2" t="s">
        <v>63</v>
      </c>
      <c r="W23" s="2">
        <v>5</v>
      </c>
      <c r="X23" s="2" t="s">
        <v>51</v>
      </c>
      <c r="Y23" s="2">
        <v>5</v>
      </c>
      <c r="Z23" s="2" t="s">
        <v>40</v>
      </c>
    </row>
    <row r="24" spans="1:26" x14ac:dyDescent="0.25">
      <c r="A24" s="2" t="s">
        <v>158</v>
      </c>
      <c r="B24" s="3">
        <v>46197</v>
      </c>
      <c r="C24" s="2" t="s">
        <v>159</v>
      </c>
      <c r="D24" s="2" t="s">
        <v>77</v>
      </c>
      <c r="E24" s="2" t="s">
        <v>29</v>
      </c>
      <c r="F24" s="2">
        <v>40</v>
      </c>
      <c r="G24" s="2" t="s">
        <v>104</v>
      </c>
      <c r="H24" s="2" t="s">
        <v>105</v>
      </c>
      <c r="I24" s="2" t="s">
        <v>106</v>
      </c>
      <c r="J24" s="2" t="s">
        <v>160</v>
      </c>
      <c r="K24" s="2">
        <v>5</v>
      </c>
      <c r="L24" s="4">
        <v>8900</v>
      </c>
      <c r="M24" s="5">
        <v>0.05</v>
      </c>
      <c r="N24" s="4">
        <v>2225</v>
      </c>
      <c r="O24" s="4">
        <v>2113.75</v>
      </c>
      <c r="P24" s="4">
        <v>250</v>
      </c>
      <c r="Q24" s="4">
        <v>44638.75</v>
      </c>
      <c r="R24" s="2" t="s">
        <v>34</v>
      </c>
      <c r="S24" s="2" t="s">
        <v>133</v>
      </c>
      <c r="T24" s="2" t="s">
        <v>80</v>
      </c>
      <c r="U24" s="2" t="s">
        <v>81</v>
      </c>
      <c r="V24" s="2" t="s">
        <v>82</v>
      </c>
      <c r="W24" s="2">
        <v>3</v>
      </c>
      <c r="X24" s="2" t="s">
        <v>39</v>
      </c>
      <c r="Y24" s="2">
        <v>0</v>
      </c>
      <c r="Z24" s="2" t="s">
        <v>64</v>
      </c>
    </row>
    <row r="25" spans="1:26" x14ac:dyDescent="0.25">
      <c r="A25" s="2" t="s">
        <v>161</v>
      </c>
      <c r="B25" s="3">
        <v>46223</v>
      </c>
      <c r="C25" s="2" t="s">
        <v>162</v>
      </c>
      <c r="D25" s="2" t="s">
        <v>163</v>
      </c>
      <c r="E25" s="2" t="s">
        <v>29</v>
      </c>
      <c r="F25" s="2">
        <v>35</v>
      </c>
      <c r="G25" s="2" t="s">
        <v>125</v>
      </c>
      <c r="H25" s="2" t="s">
        <v>69</v>
      </c>
      <c r="I25" s="2" t="s">
        <v>126</v>
      </c>
      <c r="J25" s="2" t="s">
        <v>164</v>
      </c>
      <c r="K25" s="2">
        <v>4</v>
      </c>
      <c r="L25" s="4">
        <v>1400</v>
      </c>
      <c r="M25" s="5">
        <v>0.15</v>
      </c>
      <c r="N25" s="4">
        <v>840</v>
      </c>
      <c r="O25" s="4">
        <v>238</v>
      </c>
      <c r="P25" s="4">
        <v>50</v>
      </c>
      <c r="Q25" s="4">
        <v>5048</v>
      </c>
      <c r="R25" s="2" t="s">
        <v>72</v>
      </c>
      <c r="S25" s="2" t="s">
        <v>60</v>
      </c>
      <c r="T25" s="2" t="s">
        <v>165</v>
      </c>
      <c r="U25" s="2" t="s">
        <v>166</v>
      </c>
      <c r="V25" s="2" t="s">
        <v>82</v>
      </c>
      <c r="W25" s="2">
        <v>8</v>
      </c>
      <c r="X25" s="2" t="s">
        <v>122</v>
      </c>
      <c r="Y25" s="2">
        <v>5</v>
      </c>
      <c r="Z25" s="2" t="s">
        <v>40</v>
      </c>
    </row>
    <row r="26" spans="1:26" x14ac:dyDescent="0.25">
      <c r="A26" s="2" t="s">
        <v>167</v>
      </c>
      <c r="B26" s="3">
        <v>46125</v>
      </c>
      <c r="C26" s="2" t="s">
        <v>168</v>
      </c>
      <c r="D26" s="2" t="s">
        <v>169</v>
      </c>
      <c r="E26" s="2" t="s">
        <v>44</v>
      </c>
      <c r="F26" s="2">
        <v>22</v>
      </c>
      <c r="G26" s="2" t="s">
        <v>30</v>
      </c>
      <c r="H26" s="2" t="s">
        <v>31</v>
      </c>
      <c r="I26" s="2" t="s">
        <v>32</v>
      </c>
      <c r="J26" s="2" t="s">
        <v>170</v>
      </c>
      <c r="K26" s="2">
        <v>5</v>
      </c>
      <c r="L26" s="4">
        <v>1700</v>
      </c>
      <c r="M26" s="5">
        <v>0.25</v>
      </c>
      <c r="N26" s="4">
        <v>2125</v>
      </c>
      <c r="O26" s="4">
        <v>1147.5</v>
      </c>
      <c r="P26" s="4">
        <v>75</v>
      </c>
      <c r="Q26" s="4">
        <v>7597.5</v>
      </c>
      <c r="R26" s="2" t="s">
        <v>34</v>
      </c>
      <c r="S26" s="2" t="s">
        <v>133</v>
      </c>
      <c r="T26" s="2" t="s">
        <v>138</v>
      </c>
      <c r="U26" s="2" t="s">
        <v>62</v>
      </c>
      <c r="V26" s="2" t="s">
        <v>63</v>
      </c>
      <c r="W26" s="2">
        <v>2</v>
      </c>
      <c r="X26" s="2" t="s">
        <v>39</v>
      </c>
      <c r="Y26" s="2">
        <v>0</v>
      </c>
      <c r="Z26" s="2" t="s">
        <v>64</v>
      </c>
    </row>
    <row r="27" spans="1:26" x14ac:dyDescent="0.25">
      <c r="A27" s="2" t="s">
        <v>171</v>
      </c>
      <c r="B27" s="3">
        <v>46032</v>
      </c>
      <c r="C27" s="2" t="s">
        <v>172</v>
      </c>
      <c r="D27" s="2" t="s">
        <v>28</v>
      </c>
      <c r="E27" s="2" t="s">
        <v>44</v>
      </c>
      <c r="F27" s="2">
        <v>40</v>
      </c>
      <c r="G27" s="2" t="s">
        <v>55</v>
      </c>
      <c r="H27" s="2" t="s">
        <v>56</v>
      </c>
      <c r="I27" s="2" t="s">
        <v>57</v>
      </c>
      <c r="J27" s="2" t="s">
        <v>58</v>
      </c>
      <c r="K27" s="2">
        <v>4</v>
      </c>
      <c r="L27" s="4">
        <v>11200</v>
      </c>
      <c r="M27" s="5">
        <v>0.2</v>
      </c>
      <c r="N27" s="4">
        <v>8960</v>
      </c>
      <c r="O27" s="4">
        <v>1792</v>
      </c>
      <c r="P27" s="4">
        <v>100</v>
      </c>
      <c r="Q27" s="4">
        <v>37732</v>
      </c>
      <c r="R27" s="2" t="s">
        <v>59</v>
      </c>
      <c r="S27" s="2" t="s">
        <v>60</v>
      </c>
      <c r="T27" s="2" t="s">
        <v>173</v>
      </c>
      <c r="U27" s="2" t="s">
        <v>174</v>
      </c>
      <c r="V27" s="2" t="s">
        <v>82</v>
      </c>
      <c r="W27" s="2">
        <v>10</v>
      </c>
      <c r="X27" s="2" t="s">
        <v>39</v>
      </c>
      <c r="Y27" s="2">
        <v>4</v>
      </c>
      <c r="Z27" s="2" t="s">
        <v>40</v>
      </c>
    </row>
    <row r="28" spans="1:26" x14ac:dyDescent="0.25">
      <c r="A28" s="2" t="s">
        <v>175</v>
      </c>
      <c r="B28" s="3">
        <v>46116</v>
      </c>
      <c r="C28" s="2" t="s">
        <v>176</v>
      </c>
      <c r="D28" s="2" t="s">
        <v>163</v>
      </c>
      <c r="E28" s="2" t="s">
        <v>29</v>
      </c>
      <c r="F28" s="2">
        <v>60</v>
      </c>
      <c r="G28" s="2" t="s">
        <v>177</v>
      </c>
      <c r="H28" s="2" t="s">
        <v>31</v>
      </c>
      <c r="I28" s="2" t="s">
        <v>32</v>
      </c>
      <c r="J28" s="2" t="s">
        <v>178</v>
      </c>
      <c r="K28" s="2">
        <v>1</v>
      </c>
      <c r="L28" s="4">
        <v>3100</v>
      </c>
      <c r="M28" s="5">
        <v>0.2</v>
      </c>
      <c r="N28" s="4">
        <v>620</v>
      </c>
      <c r="O28" s="4">
        <v>297.60000000000002</v>
      </c>
      <c r="P28" s="4">
        <v>200</v>
      </c>
      <c r="Q28" s="4">
        <v>2977.6</v>
      </c>
      <c r="R28" s="2" t="s">
        <v>48</v>
      </c>
      <c r="S28" s="2" t="s">
        <v>60</v>
      </c>
      <c r="T28" s="2" t="s">
        <v>134</v>
      </c>
      <c r="U28" s="2" t="s">
        <v>135</v>
      </c>
      <c r="V28" s="2" t="s">
        <v>50</v>
      </c>
      <c r="W28" s="2">
        <v>6</v>
      </c>
      <c r="X28" s="2" t="s">
        <v>39</v>
      </c>
      <c r="Y28" s="2">
        <v>4</v>
      </c>
      <c r="Z28" s="2" t="s">
        <v>40</v>
      </c>
    </row>
    <row r="29" spans="1:26" x14ac:dyDescent="0.25">
      <c r="A29" s="2" t="s">
        <v>179</v>
      </c>
      <c r="B29" s="3">
        <v>46180</v>
      </c>
      <c r="C29" s="2" t="s">
        <v>180</v>
      </c>
      <c r="D29" s="2" t="s">
        <v>85</v>
      </c>
      <c r="E29" s="2" t="s">
        <v>44</v>
      </c>
      <c r="F29" s="2">
        <v>43</v>
      </c>
      <c r="G29" s="2" t="s">
        <v>104</v>
      </c>
      <c r="H29" s="2" t="s">
        <v>105</v>
      </c>
      <c r="I29" s="2" t="s">
        <v>106</v>
      </c>
      <c r="J29" s="2" t="s">
        <v>181</v>
      </c>
      <c r="K29" s="2">
        <v>3</v>
      </c>
      <c r="L29" s="4">
        <v>12300</v>
      </c>
      <c r="M29" s="5">
        <v>0.05</v>
      </c>
      <c r="N29" s="4">
        <v>1845</v>
      </c>
      <c r="O29" s="4">
        <v>4206.6000000000004</v>
      </c>
      <c r="P29" s="4">
        <v>250</v>
      </c>
      <c r="Q29" s="4">
        <v>39511.599999999999</v>
      </c>
      <c r="R29" s="2" t="s">
        <v>48</v>
      </c>
      <c r="S29" s="2" t="s">
        <v>89</v>
      </c>
      <c r="T29" s="2" t="s">
        <v>144</v>
      </c>
      <c r="U29" s="2" t="s">
        <v>145</v>
      </c>
      <c r="V29" s="2" t="s">
        <v>38</v>
      </c>
      <c r="W29" s="2">
        <v>10</v>
      </c>
      <c r="X29" s="2" t="s">
        <v>39</v>
      </c>
      <c r="Y29" s="2">
        <v>0</v>
      </c>
      <c r="Z29" s="2" t="s">
        <v>91</v>
      </c>
    </row>
    <row r="30" spans="1:26" x14ac:dyDescent="0.25">
      <c r="A30" s="2" t="s">
        <v>182</v>
      </c>
      <c r="B30" s="3">
        <v>46195</v>
      </c>
      <c r="C30" s="2" t="s">
        <v>183</v>
      </c>
      <c r="D30" s="2" t="s">
        <v>43</v>
      </c>
      <c r="E30" s="2" t="s">
        <v>44</v>
      </c>
      <c r="F30" s="2">
        <v>65</v>
      </c>
      <c r="G30" s="2" t="s">
        <v>125</v>
      </c>
      <c r="H30" s="2" t="s">
        <v>69</v>
      </c>
      <c r="I30" s="2" t="s">
        <v>126</v>
      </c>
      <c r="J30" s="2" t="s">
        <v>164</v>
      </c>
      <c r="K30" s="2">
        <v>3</v>
      </c>
      <c r="L30" s="4">
        <v>7500</v>
      </c>
      <c r="M30" s="5">
        <v>0.25</v>
      </c>
      <c r="N30" s="4">
        <v>5625</v>
      </c>
      <c r="O30" s="4">
        <v>3037.5</v>
      </c>
      <c r="P30" s="4">
        <v>150</v>
      </c>
      <c r="Q30" s="4">
        <v>20062.5</v>
      </c>
      <c r="R30" s="2" t="s">
        <v>34</v>
      </c>
      <c r="S30" s="2" t="s">
        <v>133</v>
      </c>
      <c r="T30" s="2" t="s">
        <v>49</v>
      </c>
      <c r="U30" s="2" t="s">
        <v>49</v>
      </c>
      <c r="V30" s="2" t="s">
        <v>50</v>
      </c>
      <c r="W30" s="2">
        <v>2</v>
      </c>
      <c r="X30" s="2" t="s">
        <v>39</v>
      </c>
      <c r="Y30" s="2">
        <v>0</v>
      </c>
      <c r="Z30" s="2" t="s">
        <v>64</v>
      </c>
    </row>
    <row r="31" spans="1:26" x14ac:dyDescent="0.25">
      <c r="A31" s="2" t="s">
        <v>184</v>
      </c>
      <c r="B31" s="3">
        <v>46080</v>
      </c>
      <c r="C31" s="2" t="s">
        <v>185</v>
      </c>
      <c r="D31" s="2" t="s">
        <v>43</v>
      </c>
      <c r="E31" s="2" t="s">
        <v>29</v>
      </c>
      <c r="F31" s="2">
        <v>19</v>
      </c>
      <c r="G31" s="2" t="s">
        <v>99</v>
      </c>
      <c r="H31" s="2" t="s">
        <v>69</v>
      </c>
      <c r="I31" s="2" t="s">
        <v>100</v>
      </c>
      <c r="J31" s="2" t="s">
        <v>119</v>
      </c>
      <c r="K31" s="2">
        <v>4</v>
      </c>
      <c r="L31" s="4">
        <v>76200</v>
      </c>
      <c r="M31" s="5">
        <v>0</v>
      </c>
      <c r="N31" s="4">
        <v>0</v>
      </c>
      <c r="O31" s="4">
        <v>36576</v>
      </c>
      <c r="P31" s="4">
        <v>100</v>
      </c>
      <c r="Q31" s="4">
        <v>341476</v>
      </c>
      <c r="R31" s="2" t="s">
        <v>34</v>
      </c>
      <c r="S31" s="2" t="s">
        <v>35</v>
      </c>
      <c r="T31" s="2" t="s">
        <v>173</v>
      </c>
      <c r="U31" s="2" t="s">
        <v>174</v>
      </c>
      <c r="V31" s="2" t="s">
        <v>82</v>
      </c>
      <c r="W31" s="2">
        <v>10</v>
      </c>
      <c r="X31" s="2" t="s">
        <v>39</v>
      </c>
      <c r="Y31" s="2">
        <v>5</v>
      </c>
      <c r="Z31" s="2" t="s">
        <v>40</v>
      </c>
    </row>
    <row r="32" spans="1:26" x14ac:dyDescent="0.25">
      <c r="A32" s="2" t="s">
        <v>186</v>
      </c>
      <c r="B32" s="3">
        <v>46251</v>
      </c>
      <c r="C32" s="2" t="s">
        <v>187</v>
      </c>
      <c r="D32" s="2" t="s">
        <v>28</v>
      </c>
      <c r="E32" s="2" t="s">
        <v>44</v>
      </c>
      <c r="F32" s="2">
        <v>32</v>
      </c>
      <c r="G32" s="2" t="s">
        <v>125</v>
      </c>
      <c r="H32" s="2" t="s">
        <v>69</v>
      </c>
      <c r="I32" s="2" t="s">
        <v>126</v>
      </c>
      <c r="J32" s="2" t="s">
        <v>71</v>
      </c>
      <c r="K32" s="2">
        <v>1</v>
      </c>
      <c r="L32" s="4">
        <v>8100</v>
      </c>
      <c r="M32" s="5">
        <v>0.05</v>
      </c>
      <c r="N32" s="4">
        <v>405</v>
      </c>
      <c r="O32" s="4">
        <v>384.75</v>
      </c>
      <c r="P32" s="4">
        <v>100</v>
      </c>
      <c r="Q32" s="4">
        <v>8179.75</v>
      </c>
      <c r="R32" s="2" t="s">
        <v>59</v>
      </c>
      <c r="S32" s="2" t="s">
        <v>133</v>
      </c>
      <c r="T32" s="2" t="s">
        <v>90</v>
      </c>
      <c r="U32" s="2" t="s">
        <v>62</v>
      </c>
      <c r="V32" s="2" t="s">
        <v>63</v>
      </c>
      <c r="W32" s="2">
        <v>8</v>
      </c>
      <c r="X32" s="2" t="s">
        <v>39</v>
      </c>
      <c r="Y32" s="2">
        <v>0</v>
      </c>
      <c r="Z32" s="2" t="s">
        <v>91</v>
      </c>
    </row>
    <row r="33" spans="1:26" x14ac:dyDescent="0.25">
      <c r="A33" s="2" t="s">
        <v>188</v>
      </c>
      <c r="B33" s="3">
        <v>46266</v>
      </c>
      <c r="C33" s="2" t="s">
        <v>189</v>
      </c>
      <c r="D33" s="2" t="s">
        <v>98</v>
      </c>
      <c r="E33" s="2" t="s">
        <v>44</v>
      </c>
      <c r="F33" s="2">
        <v>53</v>
      </c>
      <c r="G33" s="2" t="s">
        <v>45</v>
      </c>
      <c r="H33" s="2" t="s">
        <v>31</v>
      </c>
      <c r="I33" s="2" t="s">
        <v>46</v>
      </c>
      <c r="J33" s="2" t="s">
        <v>190</v>
      </c>
      <c r="K33" s="2">
        <v>4</v>
      </c>
      <c r="L33" s="4">
        <v>3600</v>
      </c>
      <c r="M33" s="5">
        <v>0.1</v>
      </c>
      <c r="N33" s="4">
        <v>1440</v>
      </c>
      <c r="O33" s="4">
        <v>648</v>
      </c>
      <c r="P33" s="4">
        <v>250</v>
      </c>
      <c r="Q33" s="4">
        <v>13858</v>
      </c>
      <c r="R33" s="2" t="s">
        <v>48</v>
      </c>
      <c r="S33" s="2" t="s">
        <v>60</v>
      </c>
      <c r="T33" s="2" t="s">
        <v>120</v>
      </c>
      <c r="U33" s="2" t="s">
        <v>121</v>
      </c>
      <c r="V33" s="2" t="s">
        <v>38</v>
      </c>
      <c r="W33" s="2">
        <v>5</v>
      </c>
      <c r="X33" s="2" t="s">
        <v>39</v>
      </c>
      <c r="Y33" s="2">
        <v>0</v>
      </c>
      <c r="Z33" s="2" t="s">
        <v>91</v>
      </c>
    </row>
    <row r="34" spans="1:26" x14ac:dyDescent="0.25">
      <c r="A34" s="2" t="s">
        <v>191</v>
      </c>
      <c r="B34" s="3">
        <v>46093</v>
      </c>
      <c r="C34" s="2" t="s">
        <v>93</v>
      </c>
      <c r="D34" s="2" t="s">
        <v>98</v>
      </c>
      <c r="E34" s="2" t="s">
        <v>29</v>
      </c>
      <c r="F34" s="2">
        <v>63</v>
      </c>
      <c r="G34" s="2" t="s">
        <v>30</v>
      </c>
      <c r="H34" s="2" t="s">
        <v>31</v>
      </c>
      <c r="I34" s="2" t="s">
        <v>32</v>
      </c>
      <c r="J34" s="2" t="s">
        <v>33</v>
      </c>
      <c r="K34" s="2">
        <v>3</v>
      </c>
      <c r="L34" s="4">
        <v>1500</v>
      </c>
      <c r="M34" s="5">
        <v>0.1</v>
      </c>
      <c r="N34" s="4">
        <v>450</v>
      </c>
      <c r="O34" s="4">
        <v>729</v>
      </c>
      <c r="P34" s="4">
        <v>0</v>
      </c>
      <c r="Q34" s="4">
        <v>4779</v>
      </c>
      <c r="R34" s="2" t="s">
        <v>48</v>
      </c>
      <c r="S34" s="2" t="s">
        <v>89</v>
      </c>
      <c r="T34" s="2" t="s">
        <v>90</v>
      </c>
      <c r="U34" s="2" t="s">
        <v>62</v>
      </c>
      <c r="V34" s="2" t="s">
        <v>63</v>
      </c>
      <c r="W34" s="2">
        <v>3</v>
      </c>
      <c r="X34" s="2" t="s">
        <v>39</v>
      </c>
      <c r="Y34" s="2">
        <v>5</v>
      </c>
      <c r="Z34" s="2" t="s">
        <v>40</v>
      </c>
    </row>
    <row r="35" spans="1:26" x14ac:dyDescent="0.25">
      <c r="A35" s="2" t="s">
        <v>192</v>
      </c>
      <c r="B35" s="3">
        <v>46107</v>
      </c>
      <c r="C35" s="2" t="s">
        <v>193</v>
      </c>
      <c r="D35" s="2" t="s">
        <v>132</v>
      </c>
      <c r="E35" s="2" t="s">
        <v>44</v>
      </c>
      <c r="F35" s="2">
        <v>44</v>
      </c>
      <c r="G35" s="2" t="s">
        <v>99</v>
      </c>
      <c r="H35" s="2" t="s">
        <v>69</v>
      </c>
      <c r="I35" s="2" t="s">
        <v>100</v>
      </c>
      <c r="J35" s="2" t="s">
        <v>119</v>
      </c>
      <c r="K35" s="2">
        <v>4</v>
      </c>
      <c r="L35" s="4">
        <v>64900</v>
      </c>
      <c r="M35" s="5">
        <v>0.2</v>
      </c>
      <c r="N35" s="4">
        <v>51920</v>
      </c>
      <c r="O35" s="4">
        <v>37382.400000000001</v>
      </c>
      <c r="P35" s="4">
        <v>0</v>
      </c>
      <c r="Q35" s="4">
        <v>245062.39999999999</v>
      </c>
      <c r="R35" s="2" t="s">
        <v>48</v>
      </c>
      <c r="S35" s="2" t="s">
        <v>89</v>
      </c>
      <c r="T35" s="2" t="s">
        <v>165</v>
      </c>
      <c r="U35" s="2" t="s">
        <v>166</v>
      </c>
      <c r="V35" s="2" t="s">
        <v>82</v>
      </c>
      <c r="W35" s="2">
        <v>10</v>
      </c>
      <c r="X35" s="2" t="s">
        <v>39</v>
      </c>
      <c r="Y35" s="2">
        <v>4</v>
      </c>
      <c r="Z35" s="2" t="s">
        <v>40</v>
      </c>
    </row>
    <row r="36" spans="1:26" x14ac:dyDescent="0.25">
      <c r="A36" s="2" t="s">
        <v>194</v>
      </c>
      <c r="B36" s="3">
        <v>46160</v>
      </c>
      <c r="C36" s="2" t="s">
        <v>195</v>
      </c>
      <c r="D36" s="2" t="s">
        <v>132</v>
      </c>
      <c r="E36" s="2" t="s">
        <v>29</v>
      </c>
      <c r="F36" s="2">
        <v>49</v>
      </c>
      <c r="G36" s="2" t="s">
        <v>68</v>
      </c>
      <c r="H36" s="2" t="s">
        <v>69</v>
      </c>
      <c r="I36" s="2" t="s">
        <v>70</v>
      </c>
      <c r="J36" s="2" t="s">
        <v>71</v>
      </c>
      <c r="K36" s="2">
        <v>4</v>
      </c>
      <c r="L36" s="4">
        <v>26600</v>
      </c>
      <c r="M36" s="5">
        <v>0</v>
      </c>
      <c r="N36" s="4">
        <v>0</v>
      </c>
      <c r="O36" s="4">
        <v>12768</v>
      </c>
      <c r="P36" s="4">
        <v>75</v>
      </c>
      <c r="Q36" s="4">
        <v>119243</v>
      </c>
      <c r="R36" s="2" t="s">
        <v>48</v>
      </c>
      <c r="S36" s="2" t="s">
        <v>60</v>
      </c>
      <c r="T36" s="2" t="s">
        <v>120</v>
      </c>
      <c r="U36" s="2" t="s">
        <v>121</v>
      </c>
      <c r="V36" s="2" t="s">
        <v>38</v>
      </c>
      <c r="W36" s="2">
        <v>7</v>
      </c>
      <c r="X36" s="2" t="s">
        <v>39</v>
      </c>
      <c r="Y36" s="2">
        <v>0</v>
      </c>
      <c r="Z36" s="2" t="s">
        <v>91</v>
      </c>
    </row>
    <row r="37" spans="1:26" x14ac:dyDescent="0.25">
      <c r="A37" s="2" t="s">
        <v>196</v>
      </c>
      <c r="B37" s="3">
        <v>46182</v>
      </c>
      <c r="C37" s="2" t="s">
        <v>197</v>
      </c>
      <c r="D37" s="2" t="s">
        <v>132</v>
      </c>
      <c r="E37" s="2" t="s">
        <v>29</v>
      </c>
      <c r="F37" s="2">
        <v>43</v>
      </c>
      <c r="G37" s="2" t="s">
        <v>198</v>
      </c>
      <c r="H37" s="2" t="s">
        <v>105</v>
      </c>
      <c r="I37" s="2" t="s">
        <v>199</v>
      </c>
      <c r="J37" s="2" t="s">
        <v>200</v>
      </c>
      <c r="K37" s="2">
        <v>1</v>
      </c>
      <c r="L37" s="4">
        <v>6100</v>
      </c>
      <c r="M37" s="5">
        <v>0.25</v>
      </c>
      <c r="N37" s="4">
        <v>1525</v>
      </c>
      <c r="O37" s="4">
        <v>549</v>
      </c>
      <c r="P37" s="4">
        <v>50</v>
      </c>
      <c r="Q37" s="4">
        <v>5174</v>
      </c>
      <c r="R37" s="2" t="s">
        <v>88</v>
      </c>
      <c r="S37" s="2" t="s">
        <v>133</v>
      </c>
      <c r="T37" s="2" t="s">
        <v>165</v>
      </c>
      <c r="U37" s="2" t="s">
        <v>166</v>
      </c>
      <c r="V37" s="2" t="s">
        <v>82</v>
      </c>
      <c r="W37" s="2">
        <v>8</v>
      </c>
      <c r="X37" s="2" t="s">
        <v>39</v>
      </c>
      <c r="Y37" s="2">
        <v>4</v>
      </c>
      <c r="Z37" s="2" t="s">
        <v>40</v>
      </c>
    </row>
    <row r="38" spans="1:26" x14ac:dyDescent="0.25">
      <c r="A38" s="2" t="s">
        <v>201</v>
      </c>
      <c r="B38" s="3">
        <v>46217</v>
      </c>
      <c r="C38" s="2" t="s">
        <v>202</v>
      </c>
      <c r="D38" s="2" t="s">
        <v>203</v>
      </c>
      <c r="E38" s="2" t="s">
        <v>44</v>
      </c>
      <c r="F38" s="2">
        <v>44</v>
      </c>
      <c r="G38" s="2" t="s">
        <v>30</v>
      </c>
      <c r="H38" s="2" t="s">
        <v>31</v>
      </c>
      <c r="I38" s="2" t="s">
        <v>32</v>
      </c>
      <c r="J38" s="2" t="s">
        <v>204</v>
      </c>
      <c r="K38" s="2">
        <v>4</v>
      </c>
      <c r="L38" s="4">
        <v>500</v>
      </c>
      <c r="M38" s="5">
        <v>0.25</v>
      </c>
      <c r="N38" s="4">
        <v>500</v>
      </c>
      <c r="O38" s="4">
        <v>270</v>
      </c>
      <c r="P38" s="4">
        <v>0</v>
      </c>
      <c r="Q38" s="4">
        <v>1770</v>
      </c>
      <c r="R38" s="2" t="s">
        <v>72</v>
      </c>
      <c r="S38" s="2" t="s">
        <v>35</v>
      </c>
      <c r="T38" s="2" t="s">
        <v>49</v>
      </c>
      <c r="U38" s="2" t="s">
        <v>49</v>
      </c>
      <c r="V38" s="2" t="s">
        <v>50</v>
      </c>
      <c r="W38" s="2">
        <v>4</v>
      </c>
      <c r="X38" s="2" t="s">
        <v>39</v>
      </c>
      <c r="Y38" s="2">
        <v>0</v>
      </c>
      <c r="Z38" s="2" t="s">
        <v>91</v>
      </c>
    </row>
    <row r="39" spans="1:26" x14ac:dyDescent="0.25">
      <c r="A39" s="2" t="s">
        <v>205</v>
      </c>
      <c r="B39" s="3">
        <v>46266</v>
      </c>
      <c r="C39" s="2" t="s">
        <v>206</v>
      </c>
      <c r="D39" s="2" t="s">
        <v>77</v>
      </c>
      <c r="E39" s="2" t="s">
        <v>29</v>
      </c>
      <c r="F39" s="2">
        <v>19</v>
      </c>
      <c r="G39" s="2" t="s">
        <v>198</v>
      </c>
      <c r="H39" s="2" t="s">
        <v>105</v>
      </c>
      <c r="I39" s="2" t="s">
        <v>199</v>
      </c>
      <c r="J39" s="2" t="s">
        <v>207</v>
      </c>
      <c r="K39" s="2">
        <v>2</v>
      </c>
      <c r="L39" s="4">
        <v>7200</v>
      </c>
      <c r="M39" s="5">
        <v>0.15</v>
      </c>
      <c r="N39" s="4">
        <v>2160</v>
      </c>
      <c r="O39" s="4">
        <v>2203.1999999999998</v>
      </c>
      <c r="P39" s="4">
        <v>0</v>
      </c>
      <c r="Q39" s="4">
        <v>14443.2</v>
      </c>
      <c r="R39" s="2" t="s">
        <v>59</v>
      </c>
      <c r="S39" s="2" t="s">
        <v>35</v>
      </c>
      <c r="T39" s="2" t="s">
        <v>144</v>
      </c>
      <c r="U39" s="2" t="s">
        <v>145</v>
      </c>
      <c r="V39" s="2" t="s">
        <v>38</v>
      </c>
      <c r="W39" s="2">
        <v>4</v>
      </c>
      <c r="X39" s="2" t="s">
        <v>39</v>
      </c>
      <c r="Y39" s="2">
        <v>4</v>
      </c>
      <c r="Z39" s="2" t="s">
        <v>40</v>
      </c>
    </row>
    <row r="40" spans="1:26" x14ac:dyDescent="0.25">
      <c r="A40" s="2" t="s">
        <v>208</v>
      </c>
      <c r="B40" s="3">
        <v>46222</v>
      </c>
      <c r="C40" s="2" t="s">
        <v>209</v>
      </c>
      <c r="D40" s="2" t="s">
        <v>210</v>
      </c>
      <c r="E40" s="2" t="s">
        <v>44</v>
      </c>
      <c r="F40" s="2">
        <v>24</v>
      </c>
      <c r="G40" s="2" t="s">
        <v>198</v>
      </c>
      <c r="H40" s="2" t="s">
        <v>105</v>
      </c>
      <c r="I40" s="2" t="s">
        <v>199</v>
      </c>
      <c r="J40" s="2" t="s">
        <v>207</v>
      </c>
      <c r="K40" s="2">
        <v>3</v>
      </c>
      <c r="L40" s="4">
        <v>18700</v>
      </c>
      <c r="M40" s="5">
        <v>0.25</v>
      </c>
      <c r="N40" s="4">
        <v>14025</v>
      </c>
      <c r="O40" s="4">
        <v>5049</v>
      </c>
      <c r="P40" s="4">
        <v>100</v>
      </c>
      <c r="Q40" s="4">
        <v>47224</v>
      </c>
      <c r="R40" s="2" t="s">
        <v>88</v>
      </c>
      <c r="S40" s="2" t="s">
        <v>35</v>
      </c>
      <c r="T40" s="2" t="s">
        <v>36</v>
      </c>
      <c r="U40" s="2" t="s">
        <v>37</v>
      </c>
      <c r="V40" s="2" t="s">
        <v>38</v>
      </c>
      <c r="W40" s="2">
        <v>4</v>
      </c>
      <c r="X40" s="2" t="s">
        <v>39</v>
      </c>
      <c r="Y40" s="2">
        <v>5</v>
      </c>
      <c r="Z40" s="2" t="s">
        <v>40</v>
      </c>
    </row>
    <row r="41" spans="1:26" x14ac:dyDescent="0.25">
      <c r="A41" s="2" t="s">
        <v>211</v>
      </c>
      <c r="B41" s="3">
        <v>46226</v>
      </c>
      <c r="C41" s="2" t="s">
        <v>212</v>
      </c>
      <c r="D41" s="2" t="s">
        <v>85</v>
      </c>
      <c r="E41" s="2" t="s">
        <v>29</v>
      </c>
      <c r="F41" s="2">
        <v>40</v>
      </c>
      <c r="G41" s="2" t="s">
        <v>104</v>
      </c>
      <c r="H41" s="2" t="s">
        <v>105</v>
      </c>
      <c r="I41" s="2" t="s">
        <v>106</v>
      </c>
      <c r="J41" s="2" t="s">
        <v>160</v>
      </c>
      <c r="K41" s="2">
        <v>3</v>
      </c>
      <c r="L41" s="4">
        <v>6700</v>
      </c>
      <c r="M41" s="5">
        <v>0.2</v>
      </c>
      <c r="N41" s="4">
        <v>4020</v>
      </c>
      <c r="O41" s="4">
        <v>2894.4</v>
      </c>
      <c r="P41" s="4">
        <v>75</v>
      </c>
      <c r="Q41" s="4">
        <v>19049.400000000001</v>
      </c>
      <c r="R41" s="2" t="s">
        <v>48</v>
      </c>
      <c r="S41" s="2" t="s">
        <v>133</v>
      </c>
      <c r="T41" s="2" t="s">
        <v>138</v>
      </c>
      <c r="U41" s="2" t="s">
        <v>62</v>
      </c>
      <c r="V41" s="2" t="s">
        <v>63</v>
      </c>
      <c r="W41" s="2">
        <v>7</v>
      </c>
      <c r="X41" s="2" t="s">
        <v>39</v>
      </c>
      <c r="Y41" s="2">
        <v>0</v>
      </c>
      <c r="Z41" s="2" t="s">
        <v>64</v>
      </c>
    </row>
    <row r="42" spans="1:26" x14ac:dyDescent="0.25">
      <c r="A42" s="2" t="s">
        <v>213</v>
      </c>
      <c r="B42" s="3">
        <v>46185</v>
      </c>
      <c r="C42" s="2" t="s">
        <v>214</v>
      </c>
      <c r="D42" s="2" t="s">
        <v>98</v>
      </c>
      <c r="E42" s="2" t="s">
        <v>29</v>
      </c>
      <c r="F42" s="2">
        <v>45</v>
      </c>
      <c r="G42" s="2" t="s">
        <v>125</v>
      </c>
      <c r="H42" s="2" t="s">
        <v>69</v>
      </c>
      <c r="I42" s="2" t="s">
        <v>126</v>
      </c>
      <c r="J42" s="2" t="s">
        <v>215</v>
      </c>
      <c r="K42" s="2">
        <v>5</v>
      </c>
      <c r="L42" s="4">
        <v>11300</v>
      </c>
      <c r="M42" s="5">
        <v>0.2</v>
      </c>
      <c r="N42" s="4">
        <v>11300</v>
      </c>
      <c r="O42" s="4">
        <v>5424</v>
      </c>
      <c r="P42" s="4">
        <v>100</v>
      </c>
      <c r="Q42" s="4">
        <v>50724</v>
      </c>
      <c r="R42" s="2" t="s">
        <v>88</v>
      </c>
      <c r="S42" s="2" t="s">
        <v>89</v>
      </c>
      <c r="T42" s="2" t="s">
        <v>134</v>
      </c>
      <c r="U42" s="2" t="s">
        <v>135</v>
      </c>
      <c r="V42" s="2" t="s">
        <v>50</v>
      </c>
      <c r="W42" s="2">
        <v>10</v>
      </c>
      <c r="X42" s="2" t="s">
        <v>122</v>
      </c>
      <c r="Y42" s="2">
        <v>5</v>
      </c>
      <c r="Z42" s="2" t="s">
        <v>40</v>
      </c>
    </row>
    <row r="43" spans="1:26" x14ac:dyDescent="0.25">
      <c r="A43" s="2" t="s">
        <v>216</v>
      </c>
      <c r="B43" s="3">
        <v>46085</v>
      </c>
      <c r="C43" s="2" t="s">
        <v>217</v>
      </c>
      <c r="D43" s="2" t="s">
        <v>98</v>
      </c>
      <c r="E43" s="2" t="s">
        <v>44</v>
      </c>
      <c r="F43" s="2">
        <v>39</v>
      </c>
      <c r="G43" s="2" t="s">
        <v>99</v>
      </c>
      <c r="H43" s="2" t="s">
        <v>69</v>
      </c>
      <c r="I43" s="2" t="s">
        <v>100</v>
      </c>
      <c r="J43" s="2" t="s">
        <v>218</v>
      </c>
      <c r="K43" s="2">
        <v>3</v>
      </c>
      <c r="L43" s="4">
        <v>54300</v>
      </c>
      <c r="M43" s="5">
        <v>0.15</v>
      </c>
      <c r="N43" s="4">
        <v>24435</v>
      </c>
      <c r="O43" s="4">
        <v>6923.25</v>
      </c>
      <c r="P43" s="4">
        <v>75</v>
      </c>
      <c r="Q43" s="4">
        <v>145463.25</v>
      </c>
      <c r="R43" s="2" t="s">
        <v>59</v>
      </c>
      <c r="S43" s="2" t="s">
        <v>35</v>
      </c>
      <c r="T43" s="2" t="s">
        <v>80</v>
      </c>
      <c r="U43" s="2" t="s">
        <v>81</v>
      </c>
      <c r="V43" s="2" t="s">
        <v>82</v>
      </c>
      <c r="W43" s="2">
        <v>5</v>
      </c>
      <c r="X43" s="2" t="s">
        <v>122</v>
      </c>
      <c r="Y43" s="2">
        <v>5</v>
      </c>
      <c r="Z43" s="2" t="s">
        <v>40</v>
      </c>
    </row>
    <row r="44" spans="1:26" x14ac:dyDescent="0.25">
      <c r="A44" s="2" t="s">
        <v>219</v>
      </c>
      <c r="B44" s="3">
        <v>46155</v>
      </c>
      <c r="C44" s="2" t="s">
        <v>220</v>
      </c>
      <c r="D44" s="2" t="s">
        <v>43</v>
      </c>
      <c r="E44" s="2" t="s">
        <v>29</v>
      </c>
      <c r="F44" s="2">
        <v>33</v>
      </c>
      <c r="G44" s="2" t="s">
        <v>55</v>
      </c>
      <c r="H44" s="2" t="s">
        <v>56</v>
      </c>
      <c r="I44" s="2" t="s">
        <v>57</v>
      </c>
      <c r="J44" s="2" t="s">
        <v>58</v>
      </c>
      <c r="K44" s="2">
        <v>4</v>
      </c>
      <c r="L44" s="4">
        <v>10600</v>
      </c>
      <c r="M44" s="5">
        <v>0.05</v>
      </c>
      <c r="N44" s="4">
        <v>2120</v>
      </c>
      <c r="O44" s="4">
        <v>7250.4</v>
      </c>
      <c r="P44" s="4">
        <v>100</v>
      </c>
      <c r="Q44" s="4">
        <v>47630.400000000001</v>
      </c>
      <c r="R44" s="2" t="s">
        <v>34</v>
      </c>
      <c r="S44" s="2" t="s">
        <v>133</v>
      </c>
      <c r="T44" s="2" t="s">
        <v>120</v>
      </c>
      <c r="U44" s="2" t="s">
        <v>121</v>
      </c>
      <c r="V44" s="2" t="s">
        <v>38</v>
      </c>
      <c r="W44" s="2">
        <v>8</v>
      </c>
      <c r="X44" s="2" t="s">
        <v>39</v>
      </c>
      <c r="Y44" s="2">
        <v>4</v>
      </c>
      <c r="Z44" s="2" t="s">
        <v>40</v>
      </c>
    </row>
    <row r="45" spans="1:26" x14ac:dyDescent="0.25">
      <c r="A45" s="2" t="s">
        <v>221</v>
      </c>
      <c r="B45" s="3">
        <v>46192</v>
      </c>
      <c r="C45" s="2" t="s">
        <v>222</v>
      </c>
      <c r="D45" s="2" t="s">
        <v>85</v>
      </c>
      <c r="E45" s="2" t="s">
        <v>44</v>
      </c>
      <c r="F45" s="2">
        <v>48</v>
      </c>
      <c r="G45" s="2" t="s">
        <v>104</v>
      </c>
      <c r="H45" s="2" t="s">
        <v>105</v>
      </c>
      <c r="I45" s="2" t="s">
        <v>106</v>
      </c>
      <c r="J45" s="2" t="s">
        <v>107</v>
      </c>
      <c r="K45" s="2">
        <v>3</v>
      </c>
      <c r="L45" s="4">
        <v>15800</v>
      </c>
      <c r="M45" s="5">
        <v>0.25</v>
      </c>
      <c r="N45" s="4">
        <v>11850</v>
      </c>
      <c r="O45" s="4">
        <v>6399</v>
      </c>
      <c r="P45" s="4">
        <v>75</v>
      </c>
      <c r="Q45" s="4">
        <v>42024</v>
      </c>
      <c r="R45" s="2" t="s">
        <v>88</v>
      </c>
      <c r="S45" s="2" t="s">
        <v>35</v>
      </c>
      <c r="T45" s="2" t="s">
        <v>49</v>
      </c>
      <c r="U45" s="2" t="s">
        <v>49</v>
      </c>
      <c r="V45" s="2" t="s">
        <v>50</v>
      </c>
      <c r="W45" s="2">
        <v>8</v>
      </c>
      <c r="X45" s="2" t="s">
        <v>39</v>
      </c>
      <c r="Y45" s="2">
        <v>4</v>
      </c>
      <c r="Z45" s="2" t="s">
        <v>40</v>
      </c>
    </row>
    <row r="46" spans="1:26" x14ac:dyDescent="0.25">
      <c r="A46" s="2" t="s">
        <v>223</v>
      </c>
      <c r="B46" s="3">
        <v>46213</v>
      </c>
      <c r="C46" s="2" t="s">
        <v>224</v>
      </c>
      <c r="D46" s="2" t="s">
        <v>132</v>
      </c>
      <c r="E46" s="2" t="s">
        <v>29</v>
      </c>
      <c r="F46" s="2">
        <v>30</v>
      </c>
      <c r="G46" s="2" t="s">
        <v>68</v>
      </c>
      <c r="H46" s="2" t="s">
        <v>69</v>
      </c>
      <c r="I46" s="2" t="s">
        <v>70</v>
      </c>
      <c r="J46" s="2" t="s">
        <v>225</v>
      </c>
      <c r="K46" s="2">
        <v>3</v>
      </c>
      <c r="L46" s="4">
        <v>31900</v>
      </c>
      <c r="M46" s="5">
        <v>0.2</v>
      </c>
      <c r="N46" s="4">
        <v>19140</v>
      </c>
      <c r="O46" s="4">
        <v>13780.8</v>
      </c>
      <c r="P46" s="4">
        <v>75</v>
      </c>
      <c r="Q46" s="4">
        <v>90415.8</v>
      </c>
      <c r="R46" s="2" t="s">
        <v>59</v>
      </c>
      <c r="S46" s="2" t="s">
        <v>60</v>
      </c>
      <c r="T46" s="2" t="s">
        <v>95</v>
      </c>
      <c r="U46" s="2" t="s">
        <v>62</v>
      </c>
      <c r="V46" s="2" t="s">
        <v>63</v>
      </c>
      <c r="W46" s="2">
        <v>4</v>
      </c>
      <c r="X46" s="2" t="s">
        <v>39</v>
      </c>
      <c r="Y46" s="2">
        <v>4</v>
      </c>
      <c r="Z46" s="2" t="s">
        <v>40</v>
      </c>
    </row>
    <row r="47" spans="1:26" x14ac:dyDescent="0.25">
      <c r="A47" s="2" t="s">
        <v>226</v>
      </c>
      <c r="B47" s="3">
        <v>46093</v>
      </c>
      <c r="C47" s="2" t="s">
        <v>227</v>
      </c>
      <c r="D47" s="2" t="s">
        <v>129</v>
      </c>
      <c r="E47" s="2" t="s">
        <v>29</v>
      </c>
      <c r="F47" s="2">
        <v>53</v>
      </c>
      <c r="G47" s="2" t="s">
        <v>30</v>
      </c>
      <c r="H47" s="2" t="s">
        <v>31</v>
      </c>
      <c r="I47" s="2" t="s">
        <v>32</v>
      </c>
      <c r="J47" s="2" t="s">
        <v>33</v>
      </c>
      <c r="K47" s="2">
        <v>4</v>
      </c>
      <c r="L47" s="4">
        <v>800</v>
      </c>
      <c r="M47" s="5">
        <v>0</v>
      </c>
      <c r="N47" s="4">
        <v>0</v>
      </c>
      <c r="O47" s="4">
        <v>576</v>
      </c>
      <c r="P47" s="4">
        <v>75</v>
      </c>
      <c r="Q47" s="4">
        <v>3851</v>
      </c>
      <c r="R47" s="2" t="s">
        <v>48</v>
      </c>
      <c r="S47" s="2" t="s">
        <v>35</v>
      </c>
      <c r="T47" s="2" t="s">
        <v>73</v>
      </c>
      <c r="U47" s="2" t="s">
        <v>74</v>
      </c>
      <c r="V47" s="2" t="s">
        <v>50</v>
      </c>
      <c r="W47" s="2">
        <v>8</v>
      </c>
      <c r="X47" s="2" t="s">
        <v>39</v>
      </c>
      <c r="Y47" s="2">
        <v>3</v>
      </c>
      <c r="Z47" s="2" t="s">
        <v>40</v>
      </c>
    </row>
    <row r="48" spans="1:26" x14ac:dyDescent="0.25">
      <c r="A48" s="2" t="s">
        <v>228</v>
      </c>
      <c r="B48" s="3">
        <v>46233</v>
      </c>
      <c r="C48" s="2" t="s">
        <v>229</v>
      </c>
      <c r="D48" s="2" t="s">
        <v>67</v>
      </c>
      <c r="E48" s="2" t="s">
        <v>44</v>
      </c>
      <c r="F48" s="2">
        <v>49</v>
      </c>
      <c r="G48" s="2" t="s">
        <v>142</v>
      </c>
      <c r="H48" s="2" t="s">
        <v>69</v>
      </c>
      <c r="I48" s="2" t="s">
        <v>143</v>
      </c>
      <c r="J48" s="2" t="s">
        <v>94</v>
      </c>
      <c r="K48" s="2">
        <v>2</v>
      </c>
      <c r="L48" s="4">
        <v>27200</v>
      </c>
      <c r="M48" s="5">
        <v>0.2</v>
      </c>
      <c r="N48" s="4">
        <v>10880</v>
      </c>
      <c r="O48" s="4">
        <v>5222.3999999999996</v>
      </c>
      <c r="P48" s="4">
        <v>0</v>
      </c>
      <c r="Q48" s="4">
        <v>48742.400000000001</v>
      </c>
      <c r="R48" s="2" t="s">
        <v>34</v>
      </c>
      <c r="S48" s="2" t="s">
        <v>89</v>
      </c>
      <c r="T48" s="2" t="s">
        <v>115</v>
      </c>
      <c r="U48" s="2" t="s">
        <v>62</v>
      </c>
      <c r="V48" s="2" t="s">
        <v>116</v>
      </c>
      <c r="W48" s="2">
        <v>2</v>
      </c>
      <c r="X48" s="2" t="s">
        <v>39</v>
      </c>
      <c r="Y48" s="2">
        <v>5</v>
      </c>
      <c r="Z48" s="2" t="s">
        <v>40</v>
      </c>
    </row>
    <row r="49" spans="1:26" x14ac:dyDescent="0.25">
      <c r="A49" s="2" t="s">
        <v>230</v>
      </c>
      <c r="B49" s="3">
        <v>46138</v>
      </c>
      <c r="C49" s="2" t="s">
        <v>231</v>
      </c>
      <c r="D49" s="2" t="s">
        <v>98</v>
      </c>
      <c r="E49" s="2" t="s">
        <v>44</v>
      </c>
      <c r="F49" s="2">
        <v>55</v>
      </c>
      <c r="G49" s="2" t="s">
        <v>78</v>
      </c>
      <c r="H49" s="2" t="s">
        <v>31</v>
      </c>
      <c r="I49" s="2" t="s">
        <v>79</v>
      </c>
      <c r="J49" s="2" t="s">
        <v>33</v>
      </c>
      <c r="K49" s="2">
        <v>5</v>
      </c>
      <c r="L49" s="4">
        <v>2200</v>
      </c>
      <c r="M49" s="5">
        <v>0.2</v>
      </c>
      <c r="N49" s="4">
        <v>2200</v>
      </c>
      <c r="O49" s="4">
        <v>1584</v>
      </c>
      <c r="P49" s="4">
        <v>0</v>
      </c>
      <c r="Q49" s="4">
        <v>10384</v>
      </c>
      <c r="R49" s="2" t="s">
        <v>34</v>
      </c>
      <c r="S49" s="2" t="s">
        <v>35</v>
      </c>
      <c r="T49" s="2" t="s">
        <v>80</v>
      </c>
      <c r="U49" s="2" t="s">
        <v>81</v>
      </c>
      <c r="V49" s="2" t="s">
        <v>82</v>
      </c>
      <c r="W49" s="2">
        <v>4</v>
      </c>
      <c r="X49" s="2" t="s">
        <v>39</v>
      </c>
      <c r="Y49" s="2">
        <v>3</v>
      </c>
      <c r="Z49" s="2" t="s">
        <v>40</v>
      </c>
    </row>
    <row r="50" spans="1:26" x14ac:dyDescent="0.25">
      <c r="A50" s="2" t="s">
        <v>232</v>
      </c>
      <c r="B50" s="3">
        <v>46063</v>
      </c>
      <c r="C50" s="2" t="s">
        <v>233</v>
      </c>
      <c r="D50" s="2" t="s">
        <v>234</v>
      </c>
      <c r="E50" s="2" t="s">
        <v>44</v>
      </c>
      <c r="F50" s="2">
        <v>46</v>
      </c>
      <c r="G50" s="2" t="s">
        <v>55</v>
      </c>
      <c r="H50" s="2" t="s">
        <v>56</v>
      </c>
      <c r="I50" s="2" t="s">
        <v>57</v>
      </c>
      <c r="J50" s="2" t="s">
        <v>235</v>
      </c>
      <c r="K50" s="2">
        <v>4</v>
      </c>
      <c r="L50" s="4">
        <v>7200</v>
      </c>
      <c r="M50" s="5">
        <v>0</v>
      </c>
      <c r="N50" s="4">
        <v>0</v>
      </c>
      <c r="O50" s="4">
        <v>1440</v>
      </c>
      <c r="P50" s="4">
        <v>75</v>
      </c>
      <c r="Q50" s="4">
        <v>30315</v>
      </c>
      <c r="R50" s="2" t="s">
        <v>72</v>
      </c>
      <c r="S50" s="2" t="s">
        <v>60</v>
      </c>
      <c r="T50" s="2" t="s">
        <v>36</v>
      </c>
      <c r="U50" s="2" t="s">
        <v>37</v>
      </c>
      <c r="V50" s="2" t="s">
        <v>38</v>
      </c>
      <c r="W50" s="2">
        <v>5</v>
      </c>
      <c r="X50" s="2" t="s">
        <v>39</v>
      </c>
      <c r="Y50" s="2">
        <v>0</v>
      </c>
      <c r="Z50" s="2" t="s">
        <v>91</v>
      </c>
    </row>
    <row r="51" spans="1:26" x14ac:dyDescent="0.25">
      <c r="A51" s="2" t="s">
        <v>236</v>
      </c>
      <c r="B51" s="3">
        <v>46259</v>
      </c>
      <c r="C51" s="2" t="s">
        <v>237</v>
      </c>
      <c r="D51" s="2" t="s">
        <v>148</v>
      </c>
      <c r="E51" s="2" t="s">
        <v>29</v>
      </c>
      <c r="F51" s="2">
        <v>45</v>
      </c>
      <c r="G51" s="2" t="s">
        <v>142</v>
      </c>
      <c r="H51" s="2" t="s">
        <v>69</v>
      </c>
      <c r="I51" s="2" t="s">
        <v>143</v>
      </c>
      <c r="J51" s="2" t="s">
        <v>110</v>
      </c>
      <c r="K51" s="2">
        <v>2</v>
      </c>
      <c r="L51" s="4">
        <v>39200</v>
      </c>
      <c r="M51" s="5">
        <v>0.05</v>
      </c>
      <c r="N51" s="4">
        <v>3920</v>
      </c>
      <c r="O51" s="4">
        <v>3724</v>
      </c>
      <c r="P51" s="4">
        <v>0</v>
      </c>
      <c r="Q51" s="4">
        <v>78204</v>
      </c>
      <c r="R51" s="2" t="s">
        <v>72</v>
      </c>
      <c r="S51" s="2" t="s">
        <v>89</v>
      </c>
      <c r="T51" s="2" t="s">
        <v>90</v>
      </c>
      <c r="U51" s="2" t="s">
        <v>62</v>
      </c>
      <c r="V51" s="2" t="s">
        <v>63</v>
      </c>
      <c r="W51" s="2">
        <v>5</v>
      </c>
      <c r="X51" s="2" t="s">
        <v>122</v>
      </c>
      <c r="Y51" s="2">
        <v>5</v>
      </c>
      <c r="Z51" s="2" t="s">
        <v>40</v>
      </c>
    </row>
    <row r="52" spans="1:26" x14ac:dyDescent="0.25">
      <c r="A52" s="2" t="s">
        <v>238</v>
      </c>
      <c r="B52" s="3">
        <v>46199</v>
      </c>
      <c r="C52" s="2" t="s">
        <v>239</v>
      </c>
      <c r="D52" s="2" t="s">
        <v>240</v>
      </c>
      <c r="E52" s="2" t="s">
        <v>44</v>
      </c>
      <c r="F52" s="2">
        <v>35</v>
      </c>
      <c r="G52" s="2" t="s">
        <v>104</v>
      </c>
      <c r="H52" s="2" t="s">
        <v>105</v>
      </c>
      <c r="I52" s="2" t="s">
        <v>106</v>
      </c>
      <c r="J52" s="2" t="s">
        <v>107</v>
      </c>
      <c r="K52" s="2">
        <v>4</v>
      </c>
      <c r="L52" s="4">
        <v>16200</v>
      </c>
      <c r="M52" s="5">
        <v>0</v>
      </c>
      <c r="N52" s="4">
        <v>0</v>
      </c>
      <c r="O52" s="4">
        <v>11664</v>
      </c>
      <c r="P52" s="4">
        <v>0</v>
      </c>
      <c r="Q52" s="4">
        <v>76464</v>
      </c>
      <c r="R52" s="2" t="s">
        <v>88</v>
      </c>
      <c r="S52" s="2" t="s">
        <v>35</v>
      </c>
      <c r="T52" s="2" t="s">
        <v>173</v>
      </c>
      <c r="U52" s="2" t="s">
        <v>174</v>
      </c>
      <c r="V52" s="2" t="s">
        <v>82</v>
      </c>
      <c r="W52" s="2">
        <v>7</v>
      </c>
      <c r="X52" s="2" t="s">
        <v>39</v>
      </c>
      <c r="Y52" s="2">
        <v>0</v>
      </c>
      <c r="Z52" s="2" t="s">
        <v>91</v>
      </c>
    </row>
    <row r="53" spans="1:26" x14ac:dyDescent="0.25">
      <c r="A53" s="2" t="s">
        <v>241</v>
      </c>
      <c r="B53" s="3">
        <v>46046</v>
      </c>
      <c r="C53" s="2" t="s">
        <v>242</v>
      </c>
      <c r="D53" s="2" t="s">
        <v>77</v>
      </c>
      <c r="E53" s="2" t="s">
        <v>29</v>
      </c>
      <c r="F53" s="2">
        <v>61</v>
      </c>
      <c r="G53" s="2" t="s">
        <v>30</v>
      </c>
      <c r="H53" s="2" t="s">
        <v>31</v>
      </c>
      <c r="I53" s="2" t="s">
        <v>32</v>
      </c>
      <c r="J53" s="2" t="s">
        <v>204</v>
      </c>
      <c r="K53" s="2">
        <v>2</v>
      </c>
      <c r="L53" s="4">
        <v>2000</v>
      </c>
      <c r="M53" s="5">
        <v>0.2</v>
      </c>
      <c r="N53" s="4">
        <v>800</v>
      </c>
      <c r="O53" s="4">
        <v>576</v>
      </c>
      <c r="P53" s="4">
        <v>100</v>
      </c>
      <c r="Q53" s="4">
        <v>3876</v>
      </c>
      <c r="R53" s="2" t="s">
        <v>72</v>
      </c>
      <c r="S53" s="2" t="s">
        <v>89</v>
      </c>
      <c r="T53" s="2" t="s">
        <v>173</v>
      </c>
      <c r="U53" s="2" t="s">
        <v>174</v>
      </c>
      <c r="V53" s="2" t="s">
        <v>82</v>
      </c>
      <c r="W53" s="2">
        <v>5</v>
      </c>
      <c r="X53" s="2" t="s">
        <v>39</v>
      </c>
      <c r="Y53" s="2">
        <v>5</v>
      </c>
      <c r="Z53" s="2" t="s">
        <v>40</v>
      </c>
    </row>
    <row r="54" spans="1:26" x14ac:dyDescent="0.25">
      <c r="A54" s="2" t="s">
        <v>243</v>
      </c>
      <c r="B54" s="3">
        <v>46112</v>
      </c>
      <c r="C54" s="2" t="s">
        <v>244</v>
      </c>
      <c r="D54" s="2" t="s">
        <v>163</v>
      </c>
      <c r="E54" s="2" t="s">
        <v>44</v>
      </c>
      <c r="F54" s="2">
        <v>38</v>
      </c>
      <c r="G54" s="2" t="s">
        <v>86</v>
      </c>
      <c r="H54" s="2" t="s">
        <v>56</v>
      </c>
      <c r="I54" s="2" t="s">
        <v>57</v>
      </c>
      <c r="J54" s="2" t="s">
        <v>245</v>
      </c>
      <c r="K54" s="2">
        <v>2</v>
      </c>
      <c r="L54" s="4">
        <v>3900</v>
      </c>
      <c r="M54" s="5">
        <v>0.15</v>
      </c>
      <c r="N54" s="4">
        <v>1170</v>
      </c>
      <c r="O54" s="4">
        <v>1193.4000000000001</v>
      </c>
      <c r="P54" s="4">
        <v>100</v>
      </c>
      <c r="Q54" s="4">
        <v>7923.4</v>
      </c>
      <c r="R54" s="2" t="s">
        <v>72</v>
      </c>
      <c r="S54" s="2" t="s">
        <v>89</v>
      </c>
      <c r="T54" s="2" t="s">
        <v>61</v>
      </c>
      <c r="U54" s="2" t="s">
        <v>62</v>
      </c>
      <c r="V54" s="2" t="s">
        <v>63</v>
      </c>
      <c r="W54" s="2">
        <v>7</v>
      </c>
      <c r="X54" s="2" t="s">
        <v>39</v>
      </c>
      <c r="Y54" s="2">
        <v>0</v>
      </c>
      <c r="Z54" s="2" t="s">
        <v>64</v>
      </c>
    </row>
    <row r="55" spans="1:26" x14ac:dyDescent="0.25">
      <c r="A55" s="2" t="s">
        <v>246</v>
      </c>
      <c r="B55" s="3">
        <v>46045</v>
      </c>
      <c r="C55" s="2" t="s">
        <v>247</v>
      </c>
      <c r="D55" s="2" t="s">
        <v>169</v>
      </c>
      <c r="E55" s="2" t="s">
        <v>44</v>
      </c>
      <c r="F55" s="2">
        <v>38</v>
      </c>
      <c r="G55" s="2" t="s">
        <v>142</v>
      </c>
      <c r="H55" s="2" t="s">
        <v>69</v>
      </c>
      <c r="I55" s="2" t="s">
        <v>143</v>
      </c>
      <c r="J55" s="2" t="s">
        <v>248</v>
      </c>
      <c r="K55" s="2">
        <v>5</v>
      </c>
      <c r="L55" s="4">
        <v>12100</v>
      </c>
      <c r="M55" s="5">
        <v>0.25</v>
      </c>
      <c r="N55" s="4">
        <v>15125</v>
      </c>
      <c r="O55" s="4">
        <v>8167.5</v>
      </c>
      <c r="P55" s="4">
        <v>100</v>
      </c>
      <c r="Q55" s="4">
        <v>53642.5</v>
      </c>
      <c r="R55" s="2" t="s">
        <v>48</v>
      </c>
      <c r="S55" s="2" t="s">
        <v>35</v>
      </c>
      <c r="T55" s="2" t="s">
        <v>134</v>
      </c>
      <c r="U55" s="2" t="s">
        <v>135</v>
      </c>
      <c r="V55" s="2" t="s">
        <v>50</v>
      </c>
      <c r="W55" s="2">
        <v>1</v>
      </c>
      <c r="X55" s="2" t="s">
        <v>39</v>
      </c>
      <c r="Y55" s="2">
        <v>5</v>
      </c>
      <c r="Z55" s="2" t="s">
        <v>40</v>
      </c>
    </row>
    <row r="56" spans="1:26" x14ac:dyDescent="0.25">
      <c r="A56" s="2" t="s">
        <v>249</v>
      </c>
      <c r="B56" s="3">
        <v>46075</v>
      </c>
      <c r="C56" s="2" t="s">
        <v>250</v>
      </c>
      <c r="D56" s="2" t="s">
        <v>148</v>
      </c>
      <c r="E56" s="2" t="s">
        <v>29</v>
      </c>
      <c r="F56" s="2">
        <v>36</v>
      </c>
      <c r="G56" s="2" t="s">
        <v>45</v>
      </c>
      <c r="H56" s="2" t="s">
        <v>31</v>
      </c>
      <c r="I56" s="2" t="s">
        <v>46</v>
      </c>
      <c r="J56" s="2" t="s">
        <v>47</v>
      </c>
      <c r="K56" s="2">
        <v>4</v>
      </c>
      <c r="L56" s="4">
        <v>1500</v>
      </c>
      <c r="M56" s="5">
        <v>0</v>
      </c>
      <c r="N56" s="4">
        <v>0</v>
      </c>
      <c r="O56" s="4">
        <v>1080</v>
      </c>
      <c r="P56" s="4">
        <v>150</v>
      </c>
      <c r="Q56" s="4">
        <v>7230</v>
      </c>
      <c r="R56" s="2" t="s">
        <v>59</v>
      </c>
      <c r="S56" s="2" t="s">
        <v>35</v>
      </c>
      <c r="T56" s="2" t="s">
        <v>80</v>
      </c>
      <c r="U56" s="2" t="s">
        <v>81</v>
      </c>
      <c r="V56" s="2" t="s">
        <v>82</v>
      </c>
      <c r="W56" s="2">
        <v>4</v>
      </c>
      <c r="X56" s="2" t="s">
        <v>39</v>
      </c>
      <c r="Y56" s="2">
        <v>0</v>
      </c>
      <c r="Z56" s="2" t="s">
        <v>91</v>
      </c>
    </row>
    <row r="57" spans="1:26" x14ac:dyDescent="0.25">
      <c r="A57" s="2" t="s">
        <v>251</v>
      </c>
      <c r="B57" s="3">
        <v>46164</v>
      </c>
      <c r="C57" s="2" t="s">
        <v>252</v>
      </c>
      <c r="D57" s="2" t="s">
        <v>163</v>
      </c>
      <c r="E57" s="2" t="s">
        <v>29</v>
      </c>
      <c r="F57" s="2">
        <v>32</v>
      </c>
      <c r="G57" s="2" t="s">
        <v>142</v>
      </c>
      <c r="H57" s="2" t="s">
        <v>69</v>
      </c>
      <c r="I57" s="2" t="s">
        <v>143</v>
      </c>
      <c r="J57" s="2" t="s">
        <v>248</v>
      </c>
      <c r="K57" s="2">
        <v>1</v>
      </c>
      <c r="L57" s="4">
        <v>78300</v>
      </c>
      <c r="M57" s="5">
        <v>0.05</v>
      </c>
      <c r="N57" s="4">
        <v>3915</v>
      </c>
      <c r="O57" s="4">
        <v>8926.2000000000007</v>
      </c>
      <c r="P57" s="4">
        <v>200</v>
      </c>
      <c r="Q57" s="4">
        <v>83511.199999999997</v>
      </c>
      <c r="R57" s="2" t="s">
        <v>48</v>
      </c>
      <c r="S57" s="2" t="s">
        <v>89</v>
      </c>
      <c r="T57" s="2" t="s">
        <v>61</v>
      </c>
      <c r="U57" s="2" t="s">
        <v>62</v>
      </c>
      <c r="V57" s="2" t="s">
        <v>63</v>
      </c>
      <c r="W57" s="2">
        <v>9</v>
      </c>
      <c r="X57" s="2" t="s">
        <v>39</v>
      </c>
      <c r="Y57" s="2">
        <v>0</v>
      </c>
      <c r="Z57" s="2" t="s">
        <v>91</v>
      </c>
    </row>
    <row r="58" spans="1:26" x14ac:dyDescent="0.25">
      <c r="A58" s="2" t="s">
        <v>253</v>
      </c>
      <c r="B58" s="3">
        <v>46085</v>
      </c>
      <c r="C58" s="2" t="s">
        <v>254</v>
      </c>
      <c r="D58" s="2" t="s">
        <v>98</v>
      </c>
      <c r="E58" s="2" t="s">
        <v>29</v>
      </c>
      <c r="F58" s="2">
        <v>42</v>
      </c>
      <c r="G58" s="2" t="s">
        <v>68</v>
      </c>
      <c r="H58" s="2" t="s">
        <v>69</v>
      </c>
      <c r="I58" s="2" t="s">
        <v>70</v>
      </c>
      <c r="J58" s="2" t="s">
        <v>94</v>
      </c>
      <c r="K58" s="2">
        <v>1</v>
      </c>
      <c r="L58" s="4">
        <v>15900</v>
      </c>
      <c r="M58" s="5">
        <v>0.15</v>
      </c>
      <c r="N58" s="4">
        <v>2385</v>
      </c>
      <c r="O58" s="4">
        <v>1621.8</v>
      </c>
      <c r="P58" s="4">
        <v>250</v>
      </c>
      <c r="Q58" s="4">
        <v>15386.8</v>
      </c>
      <c r="R58" s="2" t="s">
        <v>88</v>
      </c>
      <c r="S58" s="2" t="s">
        <v>89</v>
      </c>
      <c r="T58" s="2" t="s">
        <v>255</v>
      </c>
      <c r="U58" s="2" t="s">
        <v>256</v>
      </c>
      <c r="V58" s="2" t="s">
        <v>38</v>
      </c>
      <c r="W58" s="2">
        <v>5</v>
      </c>
      <c r="X58" s="2" t="s">
        <v>39</v>
      </c>
      <c r="Y58" s="2">
        <v>0</v>
      </c>
      <c r="Z58" s="2" t="s">
        <v>64</v>
      </c>
    </row>
    <row r="59" spans="1:26" x14ac:dyDescent="0.25">
      <c r="A59" s="2" t="s">
        <v>257</v>
      </c>
      <c r="B59" s="3">
        <v>46244</v>
      </c>
      <c r="C59" s="2" t="s">
        <v>258</v>
      </c>
      <c r="D59" s="2" t="s">
        <v>259</v>
      </c>
      <c r="E59" s="2" t="s">
        <v>44</v>
      </c>
      <c r="F59" s="2">
        <v>52</v>
      </c>
      <c r="G59" s="2" t="s">
        <v>45</v>
      </c>
      <c r="H59" s="2" t="s">
        <v>31</v>
      </c>
      <c r="I59" s="2" t="s">
        <v>46</v>
      </c>
      <c r="J59" s="2" t="s">
        <v>260</v>
      </c>
      <c r="K59" s="2">
        <v>3</v>
      </c>
      <c r="L59" s="4">
        <v>4300</v>
      </c>
      <c r="M59" s="5">
        <v>0.2</v>
      </c>
      <c r="N59" s="4">
        <v>2580</v>
      </c>
      <c r="O59" s="4">
        <v>1238.4000000000001</v>
      </c>
      <c r="P59" s="4">
        <v>100</v>
      </c>
      <c r="Q59" s="4">
        <v>11658.4</v>
      </c>
      <c r="R59" s="2" t="s">
        <v>34</v>
      </c>
      <c r="S59" s="2" t="s">
        <v>89</v>
      </c>
      <c r="T59" s="2" t="s">
        <v>173</v>
      </c>
      <c r="U59" s="2" t="s">
        <v>174</v>
      </c>
      <c r="V59" s="2" t="s">
        <v>82</v>
      </c>
      <c r="W59" s="2">
        <v>6</v>
      </c>
      <c r="X59" s="2" t="s">
        <v>39</v>
      </c>
      <c r="Y59" s="2">
        <v>0</v>
      </c>
      <c r="Z59" s="2" t="s">
        <v>64</v>
      </c>
    </row>
    <row r="60" spans="1:26" x14ac:dyDescent="0.25">
      <c r="A60" s="2" t="s">
        <v>261</v>
      </c>
      <c r="B60" s="3">
        <v>46082</v>
      </c>
      <c r="C60" s="2" t="s">
        <v>262</v>
      </c>
      <c r="D60" s="2" t="s">
        <v>163</v>
      </c>
      <c r="E60" s="2" t="s">
        <v>29</v>
      </c>
      <c r="F60" s="2">
        <v>38</v>
      </c>
      <c r="G60" s="2" t="s">
        <v>55</v>
      </c>
      <c r="H60" s="2" t="s">
        <v>56</v>
      </c>
      <c r="I60" s="2" t="s">
        <v>57</v>
      </c>
      <c r="J60" s="2" t="s">
        <v>58</v>
      </c>
      <c r="K60" s="2">
        <v>4</v>
      </c>
      <c r="L60" s="4">
        <v>8400</v>
      </c>
      <c r="M60" s="5">
        <v>0.25</v>
      </c>
      <c r="N60" s="4">
        <v>8400</v>
      </c>
      <c r="O60" s="4">
        <v>4536</v>
      </c>
      <c r="P60" s="4">
        <v>50</v>
      </c>
      <c r="Q60" s="4">
        <v>29786</v>
      </c>
      <c r="R60" s="2" t="s">
        <v>48</v>
      </c>
      <c r="S60" s="2" t="s">
        <v>35</v>
      </c>
      <c r="T60" s="2" t="s">
        <v>73</v>
      </c>
      <c r="U60" s="2" t="s">
        <v>74</v>
      </c>
      <c r="V60" s="2" t="s">
        <v>50</v>
      </c>
      <c r="W60" s="2">
        <v>1</v>
      </c>
      <c r="X60" s="2" t="s">
        <v>51</v>
      </c>
      <c r="Y60" s="2">
        <v>4</v>
      </c>
      <c r="Z60" s="2" t="s">
        <v>40</v>
      </c>
    </row>
    <row r="61" spans="1:26" x14ac:dyDescent="0.25">
      <c r="A61" s="2" t="s">
        <v>263</v>
      </c>
      <c r="B61" s="3">
        <v>46157</v>
      </c>
      <c r="C61" s="2" t="s">
        <v>264</v>
      </c>
      <c r="D61" s="2" t="s">
        <v>98</v>
      </c>
      <c r="E61" s="2" t="s">
        <v>29</v>
      </c>
      <c r="F61" s="2">
        <v>64</v>
      </c>
      <c r="G61" s="2" t="s">
        <v>125</v>
      </c>
      <c r="H61" s="2" t="s">
        <v>69</v>
      </c>
      <c r="I61" s="2" t="s">
        <v>126</v>
      </c>
      <c r="J61" s="2" t="s">
        <v>71</v>
      </c>
      <c r="K61" s="2">
        <v>2</v>
      </c>
      <c r="L61" s="4">
        <v>1900</v>
      </c>
      <c r="M61" s="5">
        <v>0.15</v>
      </c>
      <c r="N61" s="4">
        <v>570</v>
      </c>
      <c r="O61" s="4">
        <v>387.6</v>
      </c>
      <c r="P61" s="4">
        <v>75</v>
      </c>
      <c r="Q61" s="4">
        <v>3692.6</v>
      </c>
      <c r="R61" s="2" t="s">
        <v>59</v>
      </c>
      <c r="S61" s="2" t="s">
        <v>89</v>
      </c>
      <c r="T61" s="2" t="s">
        <v>144</v>
      </c>
      <c r="U61" s="2" t="s">
        <v>145</v>
      </c>
      <c r="V61" s="2" t="s">
        <v>38</v>
      </c>
      <c r="W61" s="2">
        <v>7</v>
      </c>
      <c r="X61" s="2" t="s">
        <v>122</v>
      </c>
      <c r="Y61" s="2">
        <v>5</v>
      </c>
      <c r="Z61" s="2" t="s">
        <v>40</v>
      </c>
    </row>
    <row r="62" spans="1:26" x14ac:dyDescent="0.25">
      <c r="A62" s="2" t="s">
        <v>265</v>
      </c>
      <c r="B62" s="3">
        <v>46267</v>
      </c>
      <c r="C62" s="2" t="s">
        <v>266</v>
      </c>
      <c r="D62" s="2" t="s">
        <v>169</v>
      </c>
      <c r="E62" s="2" t="s">
        <v>44</v>
      </c>
      <c r="F62" s="2">
        <v>52</v>
      </c>
      <c r="G62" s="2" t="s">
        <v>99</v>
      </c>
      <c r="H62" s="2" t="s">
        <v>69</v>
      </c>
      <c r="I62" s="2" t="s">
        <v>100</v>
      </c>
      <c r="J62" s="2" t="s">
        <v>101</v>
      </c>
      <c r="K62" s="2">
        <v>2</v>
      </c>
      <c r="L62" s="4">
        <v>77300</v>
      </c>
      <c r="M62" s="5">
        <v>0.25</v>
      </c>
      <c r="N62" s="4">
        <v>38650</v>
      </c>
      <c r="O62" s="4">
        <v>13914</v>
      </c>
      <c r="P62" s="4">
        <v>50</v>
      </c>
      <c r="Q62" s="4">
        <v>129914</v>
      </c>
      <c r="R62" s="2" t="s">
        <v>72</v>
      </c>
      <c r="S62" s="2" t="s">
        <v>89</v>
      </c>
      <c r="T62" s="2" t="s">
        <v>36</v>
      </c>
      <c r="U62" s="2" t="s">
        <v>37</v>
      </c>
      <c r="V62" s="2" t="s">
        <v>38</v>
      </c>
      <c r="W62" s="2">
        <v>2</v>
      </c>
      <c r="X62" s="2" t="s">
        <v>39</v>
      </c>
      <c r="Y62" s="2">
        <v>5</v>
      </c>
      <c r="Z62" s="2" t="s">
        <v>40</v>
      </c>
    </row>
    <row r="63" spans="1:26" x14ac:dyDescent="0.25">
      <c r="A63" s="2" t="s">
        <v>267</v>
      </c>
      <c r="B63" s="3">
        <v>46065</v>
      </c>
      <c r="C63" s="2" t="s">
        <v>268</v>
      </c>
      <c r="D63" s="2" t="s">
        <v>240</v>
      </c>
      <c r="E63" s="2" t="s">
        <v>29</v>
      </c>
      <c r="F63" s="2">
        <v>20</v>
      </c>
      <c r="G63" s="2" t="s">
        <v>177</v>
      </c>
      <c r="H63" s="2" t="s">
        <v>31</v>
      </c>
      <c r="I63" s="2" t="s">
        <v>32</v>
      </c>
      <c r="J63" s="2" t="s">
        <v>269</v>
      </c>
      <c r="K63" s="2">
        <v>3</v>
      </c>
      <c r="L63" s="4">
        <v>3400</v>
      </c>
      <c r="M63" s="5">
        <v>0.1</v>
      </c>
      <c r="N63" s="4">
        <v>1020</v>
      </c>
      <c r="O63" s="4">
        <v>1101.5999999999999</v>
      </c>
      <c r="P63" s="4">
        <v>50</v>
      </c>
      <c r="Q63" s="4">
        <v>10331.6</v>
      </c>
      <c r="R63" s="2" t="s">
        <v>72</v>
      </c>
      <c r="S63" s="2" t="s">
        <v>89</v>
      </c>
      <c r="T63" s="2" t="s">
        <v>115</v>
      </c>
      <c r="U63" s="2" t="s">
        <v>62</v>
      </c>
      <c r="V63" s="2" t="s">
        <v>116</v>
      </c>
      <c r="W63" s="2">
        <v>9</v>
      </c>
      <c r="X63" s="2" t="s">
        <v>39</v>
      </c>
      <c r="Y63" s="2">
        <v>4</v>
      </c>
      <c r="Z63" s="2" t="s">
        <v>40</v>
      </c>
    </row>
    <row r="64" spans="1:26" x14ac:dyDescent="0.25">
      <c r="A64" s="2" t="s">
        <v>270</v>
      </c>
      <c r="B64" s="3">
        <v>46181</v>
      </c>
      <c r="C64" s="2" t="s">
        <v>180</v>
      </c>
      <c r="D64" s="2" t="s">
        <v>77</v>
      </c>
      <c r="E64" s="2" t="s">
        <v>44</v>
      </c>
      <c r="F64" s="2">
        <v>55</v>
      </c>
      <c r="G64" s="2" t="s">
        <v>125</v>
      </c>
      <c r="H64" s="2" t="s">
        <v>69</v>
      </c>
      <c r="I64" s="2" t="s">
        <v>126</v>
      </c>
      <c r="J64" s="2" t="s">
        <v>271</v>
      </c>
      <c r="K64" s="2">
        <v>4</v>
      </c>
      <c r="L64" s="4">
        <v>9100</v>
      </c>
      <c r="M64" s="5">
        <v>0.1</v>
      </c>
      <c r="N64" s="4">
        <v>3640</v>
      </c>
      <c r="O64" s="4">
        <v>3931.2</v>
      </c>
      <c r="P64" s="4">
        <v>75</v>
      </c>
      <c r="Q64" s="4">
        <v>36766.199999999997</v>
      </c>
      <c r="R64" s="2" t="s">
        <v>88</v>
      </c>
      <c r="S64" s="2" t="s">
        <v>60</v>
      </c>
      <c r="T64" s="2" t="s">
        <v>120</v>
      </c>
      <c r="U64" s="2" t="s">
        <v>121</v>
      </c>
      <c r="V64" s="2" t="s">
        <v>38</v>
      </c>
      <c r="W64" s="2">
        <v>1</v>
      </c>
      <c r="X64" s="2" t="s">
        <v>39</v>
      </c>
      <c r="Y64" s="2">
        <v>0</v>
      </c>
      <c r="Z64" s="2" t="s">
        <v>64</v>
      </c>
    </row>
    <row r="65" spans="1:26" x14ac:dyDescent="0.25">
      <c r="A65" s="2" t="s">
        <v>272</v>
      </c>
      <c r="B65" s="3">
        <v>46041</v>
      </c>
      <c r="C65" s="2" t="s">
        <v>273</v>
      </c>
      <c r="D65" s="2" t="s">
        <v>98</v>
      </c>
      <c r="E65" s="2" t="s">
        <v>44</v>
      </c>
      <c r="F65" s="2">
        <v>55</v>
      </c>
      <c r="G65" s="2" t="s">
        <v>30</v>
      </c>
      <c r="H65" s="2" t="s">
        <v>31</v>
      </c>
      <c r="I65" s="2" t="s">
        <v>32</v>
      </c>
      <c r="J65" s="2" t="s">
        <v>269</v>
      </c>
      <c r="K65" s="2">
        <v>3</v>
      </c>
      <c r="L65" s="4">
        <v>1900</v>
      </c>
      <c r="M65" s="5">
        <v>0.1</v>
      </c>
      <c r="N65" s="4">
        <v>570</v>
      </c>
      <c r="O65" s="4">
        <v>256.5</v>
      </c>
      <c r="P65" s="4">
        <v>100</v>
      </c>
      <c r="Q65" s="4">
        <v>5486.5</v>
      </c>
      <c r="R65" s="2" t="s">
        <v>88</v>
      </c>
      <c r="S65" s="2" t="s">
        <v>35</v>
      </c>
      <c r="T65" s="2" t="s">
        <v>165</v>
      </c>
      <c r="U65" s="2" t="s">
        <v>166</v>
      </c>
      <c r="V65" s="2" t="s">
        <v>82</v>
      </c>
      <c r="W65" s="2">
        <v>8</v>
      </c>
      <c r="X65" s="2" t="s">
        <v>39</v>
      </c>
      <c r="Y65" s="2">
        <v>4</v>
      </c>
      <c r="Z65" s="2" t="s">
        <v>40</v>
      </c>
    </row>
    <row r="66" spans="1:26" x14ac:dyDescent="0.25">
      <c r="A66" s="2" t="s">
        <v>274</v>
      </c>
      <c r="B66" s="3">
        <v>46235</v>
      </c>
      <c r="C66" s="2" t="s">
        <v>275</v>
      </c>
      <c r="D66" s="2" t="s">
        <v>203</v>
      </c>
      <c r="E66" s="2" t="s">
        <v>44</v>
      </c>
      <c r="F66" s="2">
        <v>18</v>
      </c>
      <c r="G66" s="2" t="s">
        <v>198</v>
      </c>
      <c r="H66" s="2" t="s">
        <v>105</v>
      </c>
      <c r="I66" s="2" t="s">
        <v>199</v>
      </c>
      <c r="J66" s="2" t="s">
        <v>200</v>
      </c>
      <c r="K66" s="2">
        <v>1</v>
      </c>
      <c r="L66" s="4">
        <v>19500</v>
      </c>
      <c r="M66" s="5">
        <v>0.25</v>
      </c>
      <c r="N66" s="4">
        <v>4875</v>
      </c>
      <c r="O66" s="4">
        <v>1755</v>
      </c>
      <c r="P66" s="4">
        <v>250</v>
      </c>
      <c r="Q66" s="4">
        <v>16630</v>
      </c>
      <c r="R66" s="2" t="s">
        <v>59</v>
      </c>
      <c r="S66" s="2" t="s">
        <v>133</v>
      </c>
      <c r="T66" s="2" t="s">
        <v>173</v>
      </c>
      <c r="U66" s="2" t="s">
        <v>174</v>
      </c>
      <c r="V66" s="2" t="s">
        <v>82</v>
      </c>
      <c r="W66" s="2">
        <v>5</v>
      </c>
      <c r="X66" s="2" t="s">
        <v>39</v>
      </c>
      <c r="Y66" s="2">
        <v>0</v>
      </c>
      <c r="Z66" s="2" t="s">
        <v>91</v>
      </c>
    </row>
    <row r="67" spans="1:26" x14ac:dyDescent="0.25">
      <c r="A67" s="2" t="s">
        <v>276</v>
      </c>
      <c r="B67" s="3">
        <v>46079</v>
      </c>
      <c r="C67" s="2" t="s">
        <v>277</v>
      </c>
      <c r="D67" s="2" t="s">
        <v>43</v>
      </c>
      <c r="E67" s="2" t="s">
        <v>44</v>
      </c>
      <c r="F67" s="2">
        <v>61</v>
      </c>
      <c r="G67" s="2" t="s">
        <v>55</v>
      </c>
      <c r="H67" s="2" t="s">
        <v>56</v>
      </c>
      <c r="I67" s="2" t="s">
        <v>57</v>
      </c>
      <c r="J67" s="2" t="s">
        <v>235</v>
      </c>
      <c r="K67" s="2">
        <v>2</v>
      </c>
      <c r="L67" s="4">
        <v>11500</v>
      </c>
      <c r="M67" s="5">
        <v>0</v>
      </c>
      <c r="N67" s="4">
        <v>0</v>
      </c>
      <c r="O67" s="4">
        <v>4140</v>
      </c>
      <c r="P67" s="4">
        <v>200</v>
      </c>
      <c r="Q67" s="4">
        <v>27340</v>
      </c>
      <c r="R67" s="2" t="s">
        <v>59</v>
      </c>
      <c r="S67" s="2" t="s">
        <v>133</v>
      </c>
      <c r="T67" s="2" t="s">
        <v>138</v>
      </c>
      <c r="U67" s="2" t="s">
        <v>62</v>
      </c>
      <c r="V67" s="2" t="s">
        <v>63</v>
      </c>
      <c r="W67" s="2">
        <v>5</v>
      </c>
      <c r="X67" s="2" t="s">
        <v>39</v>
      </c>
      <c r="Y67" s="2">
        <v>0</v>
      </c>
      <c r="Z67" s="2" t="s">
        <v>91</v>
      </c>
    </row>
    <row r="68" spans="1:26" x14ac:dyDescent="0.25">
      <c r="A68" s="2" t="s">
        <v>278</v>
      </c>
      <c r="B68" s="3">
        <v>46210</v>
      </c>
      <c r="C68" s="2" t="s">
        <v>279</v>
      </c>
      <c r="D68" s="2" t="s">
        <v>259</v>
      </c>
      <c r="E68" s="2" t="s">
        <v>29</v>
      </c>
      <c r="F68" s="2">
        <v>36</v>
      </c>
      <c r="G68" s="2" t="s">
        <v>177</v>
      </c>
      <c r="H68" s="2" t="s">
        <v>31</v>
      </c>
      <c r="I68" s="2" t="s">
        <v>32</v>
      </c>
      <c r="J68" s="2" t="s">
        <v>280</v>
      </c>
      <c r="K68" s="2">
        <v>2</v>
      </c>
      <c r="L68" s="4">
        <v>2400</v>
      </c>
      <c r="M68" s="5">
        <v>0.05</v>
      </c>
      <c r="N68" s="4">
        <v>240</v>
      </c>
      <c r="O68" s="4">
        <v>820.8</v>
      </c>
      <c r="P68" s="4">
        <v>75</v>
      </c>
      <c r="Q68" s="4">
        <v>5455.8</v>
      </c>
      <c r="R68" s="2" t="s">
        <v>34</v>
      </c>
      <c r="S68" s="2" t="s">
        <v>133</v>
      </c>
      <c r="T68" s="2" t="s">
        <v>255</v>
      </c>
      <c r="U68" s="2" t="s">
        <v>256</v>
      </c>
      <c r="V68" s="2" t="s">
        <v>38</v>
      </c>
      <c r="W68" s="2">
        <v>9</v>
      </c>
      <c r="X68" s="2" t="s">
        <v>39</v>
      </c>
      <c r="Y68" s="2">
        <v>0</v>
      </c>
      <c r="Z68" s="2" t="s">
        <v>64</v>
      </c>
    </row>
    <row r="69" spans="1:26" x14ac:dyDescent="0.25">
      <c r="A69" s="2" t="s">
        <v>281</v>
      </c>
      <c r="B69" s="3">
        <v>46256</v>
      </c>
      <c r="C69" s="2" t="s">
        <v>282</v>
      </c>
      <c r="D69" s="2" t="s">
        <v>114</v>
      </c>
      <c r="E69" s="2" t="s">
        <v>44</v>
      </c>
      <c r="F69" s="2">
        <v>65</v>
      </c>
      <c r="G69" s="2" t="s">
        <v>177</v>
      </c>
      <c r="H69" s="2" t="s">
        <v>31</v>
      </c>
      <c r="I69" s="2" t="s">
        <v>32</v>
      </c>
      <c r="J69" s="2" t="s">
        <v>269</v>
      </c>
      <c r="K69" s="2">
        <v>4</v>
      </c>
      <c r="L69" s="4">
        <v>1600</v>
      </c>
      <c r="M69" s="5">
        <v>0.05</v>
      </c>
      <c r="N69" s="4">
        <v>320</v>
      </c>
      <c r="O69" s="4">
        <v>304</v>
      </c>
      <c r="P69" s="4">
        <v>250</v>
      </c>
      <c r="Q69" s="4">
        <v>6634</v>
      </c>
      <c r="R69" s="2" t="s">
        <v>72</v>
      </c>
      <c r="S69" s="2" t="s">
        <v>89</v>
      </c>
      <c r="T69" s="2" t="s">
        <v>120</v>
      </c>
      <c r="U69" s="2" t="s">
        <v>121</v>
      </c>
      <c r="V69" s="2" t="s">
        <v>38</v>
      </c>
      <c r="W69" s="2">
        <v>7</v>
      </c>
      <c r="X69" s="2" t="s">
        <v>39</v>
      </c>
      <c r="Y69" s="2">
        <v>2</v>
      </c>
      <c r="Z69" s="2" t="s">
        <v>111</v>
      </c>
    </row>
    <row r="70" spans="1:26" x14ac:dyDescent="0.25">
      <c r="A70" s="2" t="s">
        <v>283</v>
      </c>
      <c r="B70" s="3">
        <v>46026</v>
      </c>
      <c r="C70" s="2" t="s">
        <v>284</v>
      </c>
      <c r="D70" s="2" t="s">
        <v>148</v>
      </c>
      <c r="E70" s="2" t="s">
        <v>29</v>
      </c>
      <c r="F70" s="2">
        <v>47</v>
      </c>
      <c r="G70" s="2" t="s">
        <v>177</v>
      </c>
      <c r="H70" s="2" t="s">
        <v>31</v>
      </c>
      <c r="I70" s="2" t="s">
        <v>32</v>
      </c>
      <c r="J70" s="2" t="s">
        <v>178</v>
      </c>
      <c r="K70" s="2">
        <v>5</v>
      </c>
      <c r="L70" s="4">
        <v>3600</v>
      </c>
      <c r="M70" s="5">
        <v>0.25</v>
      </c>
      <c r="N70" s="4">
        <v>4500</v>
      </c>
      <c r="O70" s="4">
        <v>1620</v>
      </c>
      <c r="P70" s="4">
        <v>0</v>
      </c>
      <c r="Q70" s="4">
        <v>15120</v>
      </c>
      <c r="R70" s="2" t="s">
        <v>59</v>
      </c>
      <c r="S70" s="2" t="s">
        <v>60</v>
      </c>
      <c r="T70" s="2" t="s">
        <v>120</v>
      </c>
      <c r="U70" s="2" t="s">
        <v>121</v>
      </c>
      <c r="V70" s="2" t="s">
        <v>38</v>
      </c>
      <c r="W70" s="2">
        <v>4</v>
      </c>
      <c r="X70" s="2" t="s">
        <v>39</v>
      </c>
      <c r="Y70" s="2">
        <v>5</v>
      </c>
      <c r="Z70" s="2" t="s">
        <v>40</v>
      </c>
    </row>
    <row r="71" spans="1:26" x14ac:dyDescent="0.25">
      <c r="A71" s="2" t="s">
        <v>285</v>
      </c>
      <c r="B71" s="3">
        <v>46188</v>
      </c>
      <c r="C71" s="2" t="s">
        <v>233</v>
      </c>
      <c r="D71" s="2" t="s">
        <v>67</v>
      </c>
      <c r="E71" s="2" t="s">
        <v>44</v>
      </c>
      <c r="F71" s="2">
        <v>62</v>
      </c>
      <c r="G71" s="2" t="s">
        <v>30</v>
      </c>
      <c r="H71" s="2" t="s">
        <v>31</v>
      </c>
      <c r="I71" s="2" t="s">
        <v>32</v>
      </c>
      <c r="J71" s="2" t="s">
        <v>269</v>
      </c>
      <c r="K71" s="2">
        <v>1</v>
      </c>
      <c r="L71" s="4">
        <v>900</v>
      </c>
      <c r="M71" s="5">
        <v>0</v>
      </c>
      <c r="N71" s="4">
        <v>0</v>
      </c>
      <c r="O71" s="4">
        <v>45</v>
      </c>
      <c r="P71" s="4">
        <v>75</v>
      </c>
      <c r="Q71" s="4">
        <v>1020</v>
      </c>
      <c r="R71" s="2" t="s">
        <v>88</v>
      </c>
      <c r="S71" s="2" t="s">
        <v>89</v>
      </c>
      <c r="T71" s="2" t="s">
        <v>73</v>
      </c>
      <c r="U71" s="2" t="s">
        <v>74</v>
      </c>
      <c r="V71" s="2" t="s">
        <v>50</v>
      </c>
      <c r="W71" s="2">
        <v>2</v>
      </c>
      <c r="X71" s="2" t="s">
        <v>122</v>
      </c>
      <c r="Y71" s="2">
        <v>4</v>
      </c>
      <c r="Z71" s="2" t="s">
        <v>40</v>
      </c>
    </row>
    <row r="72" spans="1:26" x14ac:dyDescent="0.25">
      <c r="A72" s="2" t="s">
        <v>286</v>
      </c>
      <c r="B72" s="3">
        <v>46173</v>
      </c>
      <c r="C72" s="2" t="s">
        <v>287</v>
      </c>
      <c r="D72" s="2" t="s">
        <v>259</v>
      </c>
      <c r="E72" s="2" t="s">
        <v>44</v>
      </c>
      <c r="F72" s="2">
        <v>59</v>
      </c>
      <c r="G72" s="2" t="s">
        <v>142</v>
      </c>
      <c r="H72" s="2" t="s">
        <v>69</v>
      </c>
      <c r="I72" s="2" t="s">
        <v>143</v>
      </c>
      <c r="J72" s="2" t="s">
        <v>248</v>
      </c>
      <c r="K72" s="2">
        <v>5</v>
      </c>
      <c r="L72" s="4">
        <v>53700</v>
      </c>
      <c r="M72" s="5">
        <v>0.1</v>
      </c>
      <c r="N72" s="4">
        <v>26850</v>
      </c>
      <c r="O72" s="4">
        <v>12082.5</v>
      </c>
      <c r="P72" s="4">
        <v>200</v>
      </c>
      <c r="Q72" s="4">
        <v>253932.5</v>
      </c>
      <c r="R72" s="2" t="s">
        <v>88</v>
      </c>
      <c r="S72" s="2" t="s">
        <v>133</v>
      </c>
      <c r="T72" s="2" t="s">
        <v>49</v>
      </c>
      <c r="U72" s="2" t="s">
        <v>49</v>
      </c>
      <c r="V72" s="2" t="s">
        <v>50</v>
      </c>
      <c r="W72" s="2">
        <v>4</v>
      </c>
      <c r="X72" s="2" t="s">
        <v>51</v>
      </c>
      <c r="Y72" s="2">
        <v>5</v>
      </c>
      <c r="Z72" s="2" t="s">
        <v>40</v>
      </c>
    </row>
    <row r="73" spans="1:26" x14ac:dyDescent="0.25">
      <c r="A73" s="2" t="s">
        <v>288</v>
      </c>
      <c r="B73" s="3">
        <v>46038</v>
      </c>
      <c r="C73" s="2" t="s">
        <v>289</v>
      </c>
      <c r="D73" s="2" t="s">
        <v>203</v>
      </c>
      <c r="E73" s="2" t="s">
        <v>44</v>
      </c>
      <c r="F73" s="2">
        <v>30</v>
      </c>
      <c r="G73" s="2" t="s">
        <v>142</v>
      </c>
      <c r="H73" s="2" t="s">
        <v>69</v>
      </c>
      <c r="I73" s="2" t="s">
        <v>143</v>
      </c>
      <c r="J73" s="2" t="s">
        <v>248</v>
      </c>
      <c r="K73" s="2">
        <v>1</v>
      </c>
      <c r="L73" s="4">
        <v>79800</v>
      </c>
      <c r="M73" s="5">
        <v>0.05</v>
      </c>
      <c r="N73" s="4">
        <v>3990</v>
      </c>
      <c r="O73" s="4">
        <v>13645.8</v>
      </c>
      <c r="P73" s="4">
        <v>200</v>
      </c>
      <c r="Q73" s="4">
        <v>89655.8</v>
      </c>
      <c r="R73" s="2" t="s">
        <v>59</v>
      </c>
      <c r="S73" s="2" t="s">
        <v>60</v>
      </c>
      <c r="T73" s="2" t="s">
        <v>144</v>
      </c>
      <c r="U73" s="2" t="s">
        <v>145</v>
      </c>
      <c r="V73" s="2" t="s">
        <v>38</v>
      </c>
      <c r="W73" s="2">
        <v>1</v>
      </c>
      <c r="X73" s="2" t="s">
        <v>39</v>
      </c>
      <c r="Y73" s="2">
        <v>5</v>
      </c>
      <c r="Z73" s="2" t="s">
        <v>40</v>
      </c>
    </row>
    <row r="74" spans="1:26" x14ac:dyDescent="0.25">
      <c r="A74" s="2" t="s">
        <v>290</v>
      </c>
      <c r="B74" s="3">
        <v>46040</v>
      </c>
      <c r="C74" s="2" t="s">
        <v>291</v>
      </c>
      <c r="D74" s="2" t="s">
        <v>132</v>
      </c>
      <c r="E74" s="2" t="s">
        <v>29</v>
      </c>
      <c r="F74" s="2">
        <v>55</v>
      </c>
      <c r="G74" s="2" t="s">
        <v>68</v>
      </c>
      <c r="H74" s="2" t="s">
        <v>69</v>
      </c>
      <c r="I74" s="2" t="s">
        <v>70</v>
      </c>
      <c r="J74" s="2" t="s">
        <v>94</v>
      </c>
      <c r="K74" s="2">
        <v>3</v>
      </c>
      <c r="L74" s="4">
        <v>9300</v>
      </c>
      <c r="M74" s="5">
        <v>0.2</v>
      </c>
      <c r="N74" s="4">
        <v>5580</v>
      </c>
      <c r="O74" s="4">
        <v>1116</v>
      </c>
      <c r="P74" s="4">
        <v>75</v>
      </c>
      <c r="Q74" s="4">
        <v>23511</v>
      </c>
      <c r="R74" s="2" t="s">
        <v>34</v>
      </c>
      <c r="S74" s="2" t="s">
        <v>35</v>
      </c>
      <c r="T74" s="2" t="s">
        <v>165</v>
      </c>
      <c r="U74" s="2" t="s">
        <v>166</v>
      </c>
      <c r="V74" s="2" t="s">
        <v>82</v>
      </c>
      <c r="W74" s="2">
        <v>3</v>
      </c>
      <c r="X74" s="2" t="s">
        <v>39</v>
      </c>
      <c r="Y74" s="2">
        <v>2</v>
      </c>
      <c r="Z74" s="2" t="s">
        <v>111</v>
      </c>
    </row>
    <row r="75" spans="1:26" x14ac:dyDescent="0.25">
      <c r="A75" s="2" t="s">
        <v>292</v>
      </c>
      <c r="B75" s="3">
        <v>46192</v>
      </c>
      <c r="C75" s="2" t="s">
        <v>293</v>
      </c>
      <c r="D75" s="2" t="s">
        <v>234</v>
      </c>
      <c r="E75" s="2" t="s">
        <v>29</v>
      </c>
      <c r="F75" s="2">
        <v>18</v>
      </c>
      <c r="G75" s="2" t="s">
        <v>177</v>
      </c>
      <c r="H75" s="2" t="s">
        <v>31</v>
      </c>
      <c r="I75" s="2" t="s">
        <v>32</v>
      </c>
      <c r="J75" s="2" t="s">
        <v>294</v>
      </c>
      <c r="K75" s="2">
        <v>5</v>
      </c>
      <c r="L75" s="4">
        <v>3200</v>
      </c>
      <c r="M75" s="5">
        <v>0</v>
      </c>
      <c r="N75" s="4">
        <v>0</v>
      </c>
      <c r="O75" s="4">
        <v>800</v>
      </c>
      <c r="P75" s="4">
        <v>75</v>
      </c>
      <c r="Q75" s="4">
        <v>16875</v>
      </c>
      <c r="R75" s="2" t="s">
        <v>72</v>
      </c>
      <c r="S75" s="2" t="s">
        <v>35</v>
      </c>
      <c r="T75" s="2" t="s">
        <v>138</v>
      </c>
      <c r="U75" s="2" t="s">
        <v>62</v>
      </c>
      <c r="V75" s="2" t="s">
        <v>63</v>
      </c>
      <c r="W75" s="2">
        <v>3</v>
      </c>
      <c r="X75" s="2" t="s">
        <v>39</v>
      </c>
      <c r="Y75" s="2">
        <v>0</v>
      </c>
      <c r="Z75" s="2" t="s">
        <v>91</v>
      </c>
    </row>
    <row r="76" spans="1:26" x14ac:dyDescent="0.25">
      <c r="A76" s="2" t="s">
        <v>295</v>
      </c>
      <c r="B76" s="3">
        <v>46144</v>
      </c>
      <c r="C76" s="2" t="s">
        <v>296</v>
      </c>
      <c r="D76" s="2" t="s">
        <v>98</v>
      </c>
      <c r="E76" s="2" t="s">
        <v>44</v>
      </c>
      <c r="F76" s="2">
        <v>50</v>
      </c>
      <c r="G76" s="2" t="s">
        <v>198</v>
      </c>
      <c r="H76" s="2" t="s">
        <v>105</v>
      </c>
      <c r="I76" s="2" t="s">
        <v>199</v>
      </c>
      <c r="J76" s="2" t="s">
        <v>207</v>
      </c>
      <c r="K76" s="2">
        <v>4</v>
      </c>
      <c r="L76" s="4">
        <v>16800</v>
      </c>
      <c r="M76" s="5">
        <v>0.05</v>
      </c>
      <c r="N76" s="4">
        <v>3360</v>
      </c>
      <c r="O76" s="4">
        <v>11491.2</v>
      </c>
      <c r="P76" s="4">
        <v>0</v>
      </c>
      <c r="Q76" s="4">
        <v>75331.199999999997</v>
      </c>
      <c r="R76" s="2" t="s">
        <v>48</v>
      </c>
      <c r="S76" s="2" t="s">
        <v>89</v>
      </c>
      <c r="T76" s="2" t="s">
        <v>36</v>
      </c>
      <c r="U76" s="2" t="s">
        <v>37</v>
      </c>
      <c r="V76" s="2" t="s">
        <v>38</v>
      </c>
      <c r="W76" s="2">
        <v>9</v>
      </c>
      <c r="X76" s="2" t="s">
        <v>39</v>
      </c>
      <c r="Y76" s="2">
        <v>3</v>
      </c>
      <c r="Z76" s="2" t="s">
        <v>40</v>
      </c>
    </row>
    <row r="77" spans="1:26" x14ac:dyDescent="0.25">
      <c r="A77" s="2" t="s">
        <v>297</v>
      </c>
      <c r="B77" s="3">
        <v>46198</v>
      </c>
      <c r="C77" s="2" t="s">
        <v>298</v>
      </c>
      <c r="D77" s="2" t="s">
        <v>28</v>
      </c>
      <c r="E77" s="2" t="s">
        <v>44</v>
      </c>
      <c r="F77" s="2">
        <v>63</v>
      </c>
      <c r="G77" s="2" t="s">
        <v>45</v>
      </c>
      <c r="H77" s="2" t="s">
        <v>31</v>
      </c>
      <c r="I77" s="2" t="s">
        <v>46</v>
      </c>
      <c r="J77" s="2" t="s">
        <v>190</v>
      </c>
      <c r="K77" s="2">
        <v>1</v>
      </c>
      <c r="L77" s="4">
        <v>2800</v>
      </c>
      <c r="M77" s="5">
        <v>0.2</v>
      </c>
      <c r="N77" s="4">
        <v>560</v>
      </c>
      <c r="O77" s="4">
        <v>112</v>
      </c>
      <c r="P77" s="4">
        <v>0</v>
      </c>
      <c r="Q77" s="4">
        <v>2352</v>
      </c>
      <c r="R77" s="2" t="s">
        <v>59</v>
      </c>
      <c r="S77" s="2" t="s">
        <v>133</v>
      </c>
      <c r="T77" s="2" t="s">
        <v>90</v>
      </c>
      <c r="U77" s="2" t="s">
        <v>62</v>
      </c>
      <c r="V77" s="2" t="s">
        <v>63</v>
      </c>
      <c r="W77" s="2">
        <v>5</v>
      </c>
      <c r="X77" s="2" t="s">
        <v>39</v>
      </c>
      <c r="Y77" s="2">
        <v>5</v>
      </c>
      <c r="Z77" s="2" t="s">
        <v>40</v>
      </c>
    </row>
    <row r="78" spans="1:26" x14ac:dyDescent="0.25">
      <c r="A78" s="2" t="s">
        <v>299</v>
      </c>
      <c r="B78" s="3">
        <v>46139</v>
      </c>
      <c r="C78" s="2" t="s">
        <v>300</v>
      </c>
      <c r="D78" s="2" t="s">
        <v>141</v>
      </c>
      <c r="E78" s="2" t="s">
        <v>44</v>
      </c>
      <c r="F78" s="2">
        <v>24</v>
      </c>
      <c r="G78" s="2" t="s">
        <v>55</v>
      </c>
      <c r="H78" s="2" t="s">
        <v>56</v>
      </c>
      <c r="I78" s="2" t="s">
        <v>57</v>
      </c>
      <c r="J78" s="2" t="s">
        <v>245</v>
      </c>
      <c r="K78" s="2">
        <v>5</v>
      </c>
      <c r="L78" s="4">
        <v>6200</v>
      </c>
      <c r="M78" s="5">
        <v>0.15</v>
      </c>
      <c r="N78" s="4">
        <v>4650</v>
      </c>
      <c r="O78" s="4">
        <v>3162</v>
      </c>
      <c r="P78" s="4">
        <v>50</v>
      </c>
      <c r="Q78" s="4">
        <v>29562</v>
      </c>
      <c r="R78" s="2" t="s">
        <v>48</v>
      </c>
      <c r="S78" s="2" t="s">
        <v>35</v>
      </c>
      <c r="T78" s="2" t="s">
        <v>134</v>
      </c>
      <c r="U78" s="2" t="s">
        <v>135</v>
      </c>
      <c r="V78" s="2" t="s">
        <v>50</v>
      </c>
      <c r="W78" s="2">
        <v>6</v>
      </c>
      <c r="X78" s="2" t="s">
        <v>39</v>
      </c>
      <c r="Y78" s="2">
        <v>0</v>
      </c>
      <c r="Z78" s="2" t="s">
        <v>64</v>
      </c>
    </row>
    <row r="79" spans="1:26" x14ac:dyDescent="0.25">
      <c r="A79" s="2" t="s">
        <v>301</v>
      </c>
      <c r="B79" s="3">
        <v>46103</v>
      </c>
      <c r="C79" s="2" t="s">
        <v>302</v>
      </c>
      <c r="D79" s="2" t="s">
        <v>163</v>
      </c>
      <c r="E79" s="2" t="s">
        <v>44</v>
      </c>
      <c r="F79" s="2">
        <v>60</v>
      </c>
      <c r="G79" s="2" t="s">
        <v>30</v>
      </c>
      <c r="H79" s="2" t="s">
        <v>31</v>
      </c>
      <c r="I79" s="2" t="s">
        <v>32</v>
      </c>
      <c r="J79" s="2" t="s">
        <v>170</v>
      </c>
      <c r="K79" s="2">
        <v>2</v>
      </c>
      <c r="L79" s="4">
        <v>2600</v>
      </c>
      <c r="M79" s="5">
        <v>0.15</v>
      </c>
      <c r="N79" s="4">
        <v>780</v>
      </c>
      <c r="O79" s="4">
        <v>221</v>
      </c>
      <c r="P79" s="4">
        <v>0</v>
      </c>
      <c r="Q79" s="4">
        <v>4641</v>
      </c>
      <c r="R79" s="2" t="s">
        <v>34</v>
      </c>
      <c r="S79" s="2" t="s">
        <v>35</v>
      </c>
      <c r="T79" s="2" t="s">
        <v>165</v>
      </c>
      <c r="U79" s="2" t="s">
        <v>166</v>
      </c>
      <c r="V79" s="2" t="s">
        <v>82</v>
      </c>
      <c r="W79" s="2">
        <v>2</v>
      </c>
      <c r="X79" s="2" t="s">
        <v>39</v>
      </c>
      <c r="Y79" s="2">
        <v>5</v>
      </c>
      <c r="Z79" s="2" t="s">
        <v>40</v>
      </c>
    </row>
    <row r="80" spans="1:26" x14ac:dyDescent="0.25">
      <c r="A80" s="2" t="s">
        <v>303</v>
      </c>
      <c r="B80" s="3">
        <v>46173</v>
      </c>
      <c r="C80" s="2" t="s">
        <v>304</v>
      </c>
      <c r="D80" s="2" t="s">
        <v>132</v>
      </c>
      <c r="E80" s="2" t="s">
        <v>44</v>
      </c>
      <c r="F80" s="2">
        <v>60</v>
      </c>
      <c r="G80" s="2" t="s">
        <v>142</v>
      </c>
      <c r="H80" s="2" t="s">
        <v>69</v>
      </c>
      <c r="I80" s="2" t="s">
        <v>143</v>
      </c>
      <c r="J80" s="2" t="s">
        <v>248</v>
      </c>
      <c r="K80" s="2">
        <v>3</v>
      </c>
      <c r="L80" s="4">
        <v>55300</v>
      </c>
      <c r="M80" s="5">
        <v>0.25</v>
      </c>
      <c r="N80" s="4">
        <v>41475</v>
      </c>
      <c r="O80" s="4">
        <v>6221.25</v>
      </c>
      <c r="P80" s="4">
        <v>75</v>
      </c>
      <c r="Q80" s="4">
        <v>130721.25</v>
      </c>
      <c r="R80" s="2" t="s">
        <v>48</v>
      </c>
      <c r="S80" s="2" t="s">
        <v>60</v>
      </c>
      <c r="T80" s="2" t="s">
        <v>144</v>
      </c>
      <c r="U80" s="2" t="s">
        <v>145</v>
      </c>
      <c r="V80" s="2" t="s">
        <v>38</v>
      </c>
      <c r="W80" s="2">
        <v>5</v>
      </c>
      <c r="X80" s="2" t="s">
        <v>39</v>
      </c>
      <c r="Y80" s="2">
        <v>4</v>
      </c>
      <c r="Z80" s="2" t="s">
        <v>40</v>
      </c>
    </row>
    <row r="81" spans="1:26" x14ac:dyDescent="0.25">
      <c r="A81" s="2" t="s">
        <v>305</v>
      </c>
      <c r="B81" s="3">
        <v>46239</v>
      </c>
      <c r="C81" s="2" t="s">
        <v>306</v>
      </c>
      <c r="D81" s="2" t="s">
        <v>28</v>
      </c>
      <c r="E81" s="2" t="s">
        <v>44</v>
      </c>
      <c r="F81" s="2">
        <v>53</v>
      </c>
      <c r="G81" s="2" t="s">
        <v>177</v>
      </c>
      <c r="H81" s="2" t="s">
        <v>31</v>
      </c>
      <c r="I81" s="2" t="s">
        <v>32</v>
      </c>
      <c r="J81" s="2" t="s">
        <v>269</v>
      </c>
      <c r="K81" s="2">
        <v>3</v>
      </c>
      <c r="L81" s="4">
        <v>2600</v>
      </c>
      <c r="M81" s="5">
        <v>0.15</v>
      </c>
      <c r="N81" s="4">
        <v>1170</v>
      </c>
      <c r="O81" s="4">
        <v>1193.4000000000001</v>
      </c>
      <c r="P81" s="4">
        <v>250</v>
      </c>
      <c r="Q81" s="4">
        <v>8073.4</v>
      </c>
      <c r="R81" s="2" t="s">
        <v>88</v>
      </c>
      <c r="S81" s="2" t="s">
        <v>35</v>
      </c>
      <c r="T81" s="2" t="s">
        <v>165</v>
      </c>
      <c r="U81" s="2" t="s">
        <v>166</v>
      </c>
      <c r="V81" s="2" t="s">
        <v>82</v>
      </c>
      <c r="W81" s="2">
        <v>10</v>
      </c>
      <c r="X81" s="2" t="s">
        <v>39</v>
      </c>
      <c r="Y81" s="2">
        <v>3</v>
      </c>
      <c r="Z81" s="2" t="s">
        <v>40</v>
      </c>
    </row>
    <row r="82" spans="1:26" x14ac:dyDescent="0.25">
      <c r="A82" s="2" t="s">
        <v>307</v>
      </c>
      <c r="B82" s="3">
        <v>46069</v>
      </c>
      <c r="C82" s="2" t="s">
        <v>308</v>
      </c>
      <c r="D82" s="2" t="s">
        <v>148</v>
      </c>
      <c r="E82" s="2" t="s">
        <v>44</v>
      </c>
      <c r="F82" s="2">
        <v>39</v>
      </c>
      <c r="G82" s="2" t="s">
        <v>177</v>
      </c>
      <c r="H82" s="2" t="s">
        <v>31</v>
      </c>
      <c r="I82" s="2" t="s">
        <v>32</v>
      </c>
      <c r="J82" s="2" t="s">
        <v>269</v>
      </c>
      <c r="K82" s="2">
        <v>2</v>
      </c>
      <c r="L82" s="4">
        <v>2100</v>
      </c>
      <c r="M82" s="5">
        <v>0.2</v>
      </c>
      <c r="N82" s="4">
        <v>840</v>
      </c>
      <c r="O82" s="4">
        <v>604.79999999999995</v>
      </c>
      <c r="P82" s="4">
        <v>100</v>
      </c>
      <c r="Q82" s="4">
        <v>4064.8</v>
      </c>
      <c r="R82" s="2" t="s">
        <v>72</v>
      </c>
      <c r="S82" s="2" t="s">
        <v>60</v>
      </c>
      <c r="T82" s="2" t="s">
        <v>95</v>
      </c>
      <c r="U82" s="2" t="s">
        <v>62</v>
      </c>
      <c r="V82" s="2" t="s">
        <v>63</v>
      </c>
      <c r="W82" s="2">
        <v>3</v>
      </c>
      <c r="X82" s="2" t="s">
        <v>39</v>
      </c>
      <c r="Y82" s="2">
        <v>0</v>
      </c>
      <c r="Z82" s="2" t="s">
        <v>91</v>
      </c>
    </row>
    <row r="83" spans="1:26" x14ac:dyDescent="0.25">
      <c r="A83" s="2" t="s">
        <v>309</v>
      </c>
      <c r="B83" s="3">
        <v>46119</v>
      </c>
      <c r="C83" s="2" t="s">
        <v>310</v>
      </c>
      <c r="D83" s="2" t="s">
        <v>163</v>
      </c>
      <c r="E83" s="2" t="s">
        <v>44</v>
      </c>
      <c r="F83" s="2">
        <v>39</v>
      </c>
      <c r="G83" s="2" t="s">
        <v>125</v>
      </c>
      <c r="H83" s="2" t="s">
        <v>69</v>
      </c>
      <c r="I83" s="2" t="s">
        <v>126</v>
      </c>
      <c r="J83" s="2" t="s">
        <v>215</v>
      </c>
      <c r="K83" s="2">
        <v>3</v>
      </c>
      <c r="L83" s="4">
        <v>10200</v>
      </c>
      <c r="M83" s="5">
        <v>0.1</v>
      </c>
      <c r="N83" s="4">
        <v>3060</v>
      </c>
      <c r="O83" s="4">
        <v>4957.2</v>
      </c>
      <c r="P83" s="4">
        <v>150</v>
      </c>
      <c r="Q83" s="4">
        <v>32647.200000000001</v>
      </c>
      <c r="R83" s="2" t="s">
        <v>88</v>
      </c>
      <c r="S83" s="2" t="s">
        <v>89</v>
      </c>
      <c r="T83" s="2" t="s">
        <v>95</v>
      </c>
      <c r="U83" s="2" t="s">
        <v>62</v>
      </c>
      <c r="V83" s="2" t="s">
        <v>63</v>
      </c>
      <c r="W83" s="2">
        <v>1</v>
      </c>
      <c r="X83" s="2" t="s">
        <v>39</v>
      </c>
      <c r="Y83" s="2">
        <v>3</v>
      </c>
      <c r="Z83" s="2" t="s">
        <v>40</v>
      </c>
    </row>
    <row r="84" spans="1:26" x14ac:dyDescent="0.25">
      <c r="A84" s="2" t="s">
        <v>311</v>
      </c>
      <c r="B84" s="3">
        <v>46192</v>
      </c>
      <c r="C84" s="2" t="s">
        <v>312</v>
      </c>
      <c r="D84" s="2" t="s">
        <v>163</v>
      </c>
      <c r="E84" s="2" t="s">
        <v>44</v>
      </c>
      <c r="F84" s="2">
        <v>56</v>
      </c>
      <c r="G84" s="2" t="s">
        <v>45</v>
      </c>
      <c r="H84" s="2" t="s">
        <v>31</v>
      </c>
      <c r="I84" s="2" t="s">
        <v>46</v>
      </c>
      <c r="J84" s="2" t="s">
        <v>260</v>
      </c>
      <c r="K84" s="2">
        <v>3</v>
      </c>
      <c r="L84" s="4">
        <v>2100</v>
      </c>
      <c r="M84" s="5">
        <v>0.2</v>
      </c>
      <c r="N84" s="4">
        <v>1260</v>
      </c>
      <c r="O84" s="4">
        <v>252</v>
      </c>
      <c r="P84" s="4">
        <v>75</v>
      </c>
      <c r="Q84" s="4">
        <v>5367</v>
      </c>
      <c r="R84" s="2" t="s">
        <v>88</v>
      </c>
      <c r="S84" s="2" t="s">
        <v>35</v>
      </c>
      <c r="T84" s="2" t="s">
        <v>134</v>
      </c>
      <c r="U84" s="2" t="s">
        <v>135</v>
      </c>
      <c r="V84" s="2" t="s">
        <v>50</v>
      </c>
      <c r="W84" s="2">
        <v>2</v>
      </c>
      <c r="X84" s="2" t="s">
        <v>39</v>
      </c>
      <c r="Y84" s="2">
        <v>5</v>
      </c>
      <c r="Z84" s="2" t="s">
        <v>40</v>
      </c>
    </row>
    <row r="85" spans="1:26" x14ac:dyDescent="0.25">
      <c r="A85" s="2" t="s">
        <v>313</v>
      </c>
      <c r="B85" s="3">
        <v>46079</v>
      </c>
      <c r="C85" s="2" t="s">
        <v>314</v>
      </c>
      <c r="D85" s="2" t="s">
        <v>203</v>
      </c>
      <c r="E85" s="2" t="s">
        <v>29</v>
      </c>
      <c r="F85" s="2">
        <v>18</v>
      </c>
      <c r="G85" s="2" t="s">
        <v>68</v>
      </c>
      <c r="H85" s="2" t="s">
        <v>69</v>
      </c>
      <c r="I85" s="2" t="s">
        <v>70</v>
      </c>
      <c r="J85" s="2" t="s">
        <v>71</v>
      </c>
      <c r="K85" s="2">
        <v>2</v>
      </c>
      <c r="L85" s="4">
        <v>8800</v>
      </c>
      <c r="M85" s="5">
        <v>0.1</v>
      </c>
      <c r="N85" s="4">
        <v>1760</v>
      </c>
      <c r="O85" s="4">
        <v>1900.8</v>
      </c>
      <c r="P85" s="4">
        <v>75</v>
      </c>
      <c r="Q85" s="4">
        <v>17815.8</v>
      </c>
      <c r="R85" s="2" t="s">
        <v>34</v>
      </c>
      <c r="S85" s="2" t="s">
        <v>133</v>
      </c>
      <c r="T85" s="2" t="s">
        <v>95</v>
      </c>
      <c r="U85" s="2" t="s">
        <v>62</v>
      </c>
      <c r="V85" s="2" t="s">
        <v>63</v>
      </c>
      <c r="W85" s="2">
        <v>1</v>
      </c>
      <c r="X85" s="2" t="s">
        <v>39</v>
      </c>
      <c r="Y85" s="2">
        <v>4</v>
      </c>
      <c r="Z85" s="2" t="s">
        <v>40</v>
      </c>
    </row>
    <row r="86" spans="1:26" x14ac:dyDescent="0.25">
      <c r="A86" s="2" t="s">
        <v>315</v>
      </c>
      <c r="B86" s="3">
        <v>46041</v>
      </c>
      <c r="C86" s="2" t="s">
        <v>316</v>
      </c>
      <c r="D86" s="2" t="s">
        <v>203</v>
      </c>
      <c r="E86" s="2" t="s">
        <v>29</v>
      </c>
      <c r="F86" s="2">
        <v>45</v>
      </c>
      <c r="G86" s="2" t="s">
        <v>99</v>
      </c>
      <c r="H86" s="2" t="s">
        <v>69</v>
      </c>
      <c r="I86" s="2" t="s">
        <v>100</v>
      </c>
      <c r="J86" s="2" t="s">
        <v>218</v>
      </c>
      <c r="K86" s="2">
        <v>1</v>
      </c>
      <c r="L86" s="4">
        <v>89100</v>
      </c>
      <c r="M86" s="5">
        <v>0.1</v>
      </c>
      <c r="N86" s="4">
        <v>8910</v>
      </c>
      <c r="O86" s="4">
        <v>14434.2</v>
      </c>
      <c r="P86" s="4">
        <v>100</v>
      </c>
      <c r="Q86" s="4">
        <v>94724.2</v>
      </c>
      <c r="R86" s="2" t="s">
        <v>88</v>
      </c>
      <c r="S86" s="2" t="s">
        <v>35</v>
      </c>
      <c r="T86" s="2" t="s">
        <v>144</v>
      </c>
      <c r="U86" s="2" t="s">
        <v>145</v>
      </c>
      <c r="V86" s="2" t="s">
        <v>38</v>
      </c>
      <c r="W86" s="2">
        <v>7</v>
      </c>
      <c r="X86" s="2" t="s">
        <v>39</v>
      </c>
      <c r="Y86" s="2">
        <v>0</v>
      </c>
      <c r="Z86" s="2" t="s">
        <v>91</v>
      </c>
    </row>
    <row r="87" spans="1:26" x14ac:dyDescent="0.25">
      <c r="A87" s="2" t="s">
        <v>317</v>
      </c>
      <c r="B87" s="3">
        <v>46126</v>
      </c>
      <c r="C87" s="2" t="s">
        <v>318</v>
      </c>
      <c r="D87" s="2" t="s">
        <v>234</v>
      </c>
      <c r="E87" s="2" t="s">
        <v>44</v>
      </c>
      <c r="F87" s="2">
        <v>28</v>
      </c>
      <c r="G87" s="2" t="s">
        <v>198</v>
      </c>
      <c r="H87" s="2" t="s">
        <v>105</v>
      </c>
      <c r="I87" s="2" t="s">
        <v>199</v>
      </c>
      <c r="J87" s="2" t="s">
        <v>160</v>
      </c>
      <c r="K87" s="2">
        <v>3</v>
      </c>
      <c r="L87" s="4">
        <v>6200</v>
      </c>
      <c r="M87" s="5">
        <v>0.15</v>
      </c>
      <c r="N87" s="4">
        <v>2790</v>
      </c>
      <c r="O87" s="4">
        <v>790.5</v>
      </c>
      <c r="P87" s="4">
        <v>50</v>
      </c>
      <c r="Q87" s="4">
        <v>16650.5</v>
      </c>
      <c r="R87" s="2" t="s">
        <v>88</v>
      </c>
      <c r="S87" s="2" t="s">
        <v>60</v>
      </c>
      <c r="T87" s="2" t="s">
        <v>134</v>
      </c>
      <c r="U87" s="2" t="s">
        <v>135</v>
      </c>
      <c r="V87" s="2" t="s">
        <v>50</v>
      </c>
      <c r="W87" s="2">
        <v>10</v>
      </c>
      <c r="X87" s="2" t="s">
        <v>39</v>
      </c>
      <c r="Y87" s="2">
        <v>5</v>
      </c>
      <c r="Z87" s="2" t="s">
        <v>40</v>
      </c>
    </row>
    <row r="88" spans="1:26" x14ac:dyDescent="0.25">
      <c r="A88" s="2" t="s">
        <v>319</v>
      </c>
      <c r="B88" s="3">
        <v>46108</v>
      </c>
      <c r="C88" s="2" t="s">
        <v>320</v>
      </c>
      <c r="D88" s="2" t="s">
        <v>210</v>
      </c>
      <c r="E88" s="2" t="s">
        <v>29</v>
      </c>
      <c r="F88" s="2">
        <v>50</v>
      </c>
      <c r="G88" s="2" t="s">
        <v>86</v>
      </c>
      <c r="H88" s="2" t="s">
        <v>56</v>
      </c>
      <c r="I88" s="2" t="s">
        <v>57</v>
      </c>
      <c r="J88" s="2" t="s">
        <v>245</v>
      </c>
      <c r="K88" s="2">
        <v>5</v>
      </c>
      <c r="L88" s="4">
        <v>5000</v>
      </c>
      <c r="M88" s="5">
        <v>0.05</v>
      </c>
      <c r="N88" s="4">
        <v>1250</v>
      </c>
      <c r="O88" s="4">
        <v>2850</v>
      </c>
      <c r="P88" s="4">
        <v>75</v>
      </c>
      <c r="Q88" s="4">
        <v>26675</v>
      </c>
      <c r="R88" s="2" t="s">
        <v>34</v>
      </c>
      <c r="S88" s="2" t="s">
        <v>35</v>
      </c>
      <c r="T88" s="2" t="s">
        <v>36</v>
      </c>
      <c r="U88" s="2" t="s">
        <v>37</v>
      </c>
      <c r="V88" s="2" t="s">
        <v>38</v>
      </c>
      <c r="W88" s="2">
        <v>3</v>
      </c>
      <c r="X88" s="2" t="s">
        <v>39</v>
      </c>
      <c r="Y88" s="2">
        <v>4</v>
      </c>
      <c r="Z88" s="2" t="s">
        <v>40</v>
      </c>
    </row>
    <row r="89" spans="1:26" x14ac:dyDescent="0.25">
      <c r="A89" s="2" t="s">
        <v>321</v>
      </c>
      <c r="B89" s="3">
        <v>46068</v>
      </c>
      <c r="C89" s="2" t="s">
        <v>322</v>
      </c>
      <c r="D89" s="2" t="s">
        <v>114</v>
      </c>
      <c r="E89" s="2" t="s">
        <v>44</v>
      </c>
      <c r="F89" s="2">
        <v>54</v>
      </c>
      <c r="G89" s="2" t="s">
        <v>198</v>
      </c>
      <c r="H89" s="2" t="s">
        <v>105</v>
      </c>
      <c r="I89" s="2" t="s">
        <v>199</v>
      </c>
      <c r="J89" s="2" t="s">
        <v>160</v>
      </c>
      <c r="K89" s="2">
        <v>5</v>
      </c>
      <c r="L89" s="4">
        <v>20400</v>
      </c>
      <c r="M89" s="5">
        <v>0.25</v>
      </c>
      <c r="N89" s="4">
        <v>25500</v>
      </c>
      <c r="O89" s="4">
        <v>13770</v>
      </c>
      <c r="P89" s="4">
        <v>75</v>
      </c>
      <c r="Q89" s="4">
        <v>90345</v>
      </c>
      <c r="R89" s="2" t="s">
        <v>88</v>
      </c>
      <c r="S89" s="2" t="s">
        <v>35</v>
      </c>
      <c r="T89" s="2" t="s">
        <v>165</v>
      </c>
      <c r="U89" s="2" t="s">
        <v>166</v>
      </c>
      <c r="V89" s="2" t="s">
        <v>82</v>
      </c>
      <c r="W89" s="2">
        <v>6</v>
      </c>
      <c r="X89" s="2" t="s">
        <v>39</v>
      </c>
      <c r="Y89" s="2">
        <v>4</v>
      </c>
      <c r="Z89" s="2" t="s">
        <v>40</v>
      </c>
    </row>
    <row r="90" spans="1:26" x14ac:dyDescent="0.25">
      <c r="A90" s="2" t="s">
        <v>323</v>
      </c>
      <c r="B90" s="3">
        <v>46113</v>
      </c>
      <c r="C90" s="2" t="s">
        <v>324</v>
      </c>
      <c r="D90" s="2" t="s">
        <v>141</v>
      </c>
      <c r="E90" s="2" t="s">
        <v>29</v>
      </c>
      <c r="F90" s="2">
        <v>37</v>
      </c>
      <c r="G90" s="2" t="s">
        <v>45</v>
      </c>
      <c r="H90" s="2" t="s">
        <v>31</v>
      </c>
      <c r="I90" s="2" t="s">
        <v>46</v>
      </c>
      <c r="J90" s="2" t="s">
        <v>260</v>
      </c>
      <c r="K90" s="2">
        <v>1</v>
      </c>
      <c r="L90" s="4">
        <v>1100</v>
      </c>
      <c r="M90" s="5">
        <v>0.1</v>
      </c>
      <c r="N90" s="4">
        <v>110</v>
      </c>
      <c r="O90" s="4">
        <v>118.8</v>
      </c>
      <c r="P90" s="4">
        <v>0</v>
      </c>
      <c r="Q90" s="4">
        <v>1108.8</v>
      </c>
      <c r="R90" s="2" t="s">
        <v>72</v>
      </c>
      <c r="S90" s="2" t="s">
        <v>89</v>
      </c>
      <c r="T90" s="2" t="s">
        <v>120</v>
      </c>
      <c r="U90" s="2" t="s">
        <v>121</v>
      </c>
      <c r="V90" s="2" t="s">
        <v>38</v>
      </c>
      <c r="W90" s="2">
        <v>2</v>
      </c>
      <c r="X90" s="2" t="s">
        <v>39</v>
      </c>
      <c r="Y90" s="2">
        <v>5</v>
      </c>
      <c r="Z90" s="2" t="s">
        <v>40</v>
      </c>
    </row>
    <row r="91" spans="1:26" x14ac:dyDescent="0.25">
      <c r="A91" s="2" t="s">
        <v>325</v>
      </c>
      <c r="B91" s="3">
        <v>46255</v>
      </c>
      <c r="C91" s="2" t="s">
        <v>326</v>
      </c>
      <c r="D91" s="2" t="s">
        <v>85</v>
      </c>
      <c r="E91" s="2" t="s">
        <v>29</v>
      </c>
      <c r="F91" s="2">
        <v>38</v>
      </c>
      <c r="G91" s="2" t="s">
        <v>198</v>
      </c>
      <c r="H91" s="2" t="s">
        <v>105</v>
      </c>
      <c r="I91" s="2" t="s">
        <v>199</v>
      </c>
      <c r="J91" s="2" t="s">
        <v>160</v>
      </c>
      <c r="K91" s="2">
        <v>5</v>
      </c>
      <c r="L91" s="4">
        <v>7800</v>
      </c>
      <c r="M91" s="5">
        <v>0</v>
      </c>
      <c r="N91" s="4">
        <v>0</v>
      </c>
      <c r="O91" s="4">
        <v>4680</v>
      </c>
      <c r="P91" s="4">
        <v>0</v>
      </c>
      <c r="Q91" s="4">
        <v>43680</v>
      </c>
      <c r="R91" s="2" t="s">
        <v>34</v>
      </c>
      <c r="S91" s="2" t="s">
        <v>35</v>
      </c>
      <c r="T91" s="2" t="s">
        <v>80</v>
      </c>
      <c r="U91" s="2" t="s">
        <v>81</v>
      </c>
      <c r="V91" s="2" t="s">
        <v>82</v>
      </c>
      <c r="W91" s="2">
        <v>6</v>
      </c>
      <c r="X91" s="2" t="s">
        <v>39</v>
      </c>
      <c r="Y91" s="2">
        <v>0</v>
      </c>
      <c r="Z91" s="2" t="s">
        <v>111</v>
      </c>
    </row>
    <row r="92" spans="1:26" x14ac:dyDescent="0.25">
      <c r="A92" s="2" t="s">
        <v>327</v>
      </c>
      <c r="B92" s="3">
        <v>46086</v>
      </c>
      <c r="C92" s="2" t="s">
        <v>328</v>
      </c>
      <c r="D92" s="2" t="s">
        <v>98</v>
      </c>
      <c r="E92" s="2" t="s">
        <v>44</v>
      </c>
      <c r="F92" s="2">
        <v>51</v>
      </c>
      <c r="G92" s="2" t="s">
        <v>104</v>
      </c>
      <c r="H92" s="2" t="s">
        <v>105</v>
      </c>
      <c r="I92" s="2" t="s">
        <v>106</v>
      </c>
      <c r="J92" s="2" t="s">
        <v>107</v>
      </c>
      <c r="K92" s="2">
        <v>2</v>
      </c>
      <c r="L92" s="4">
        <v>14300</v>
      </c>
      <c r="M92" s="5">
        <v>0.1</v>
      </c>
      <c r="N92" s="4">
        <v>2860</v>
      </c>
      <c r="O92" s="4">
        <v>3088.8</v>
      </c>
      <c r="P92" s="4">
        <v>100</v>
      </c>
      <c r="Q92" s="4">
        <v>28928.799999999999</v>
      </c>
      <c r="R92" s="2" t="s">
        <v>88</v>
      </c>
      <c r="S92" s="2" t="s">
        <v>35</v>
      </c>
      <c r="T92" s="2" t="s">
        <v>134</v>
      </c>
      <c r="U92" s="2" t="s">
        <v>135</v>
      </c>
      <c r="V92" s="2" t="s">
        <v>50</v>
      </c>
      <c r="W92" s="2">
        <v>6</v>
      </c>
      <c r="X92" s="2" t="s">
        <v>39</v>
      </c>
      <c r="Y92" s="2">
        <v>0</v>
      </c>
      <c r="Z92" s="2" t="s">
        <v>91</v>
      </c>
    </row>
    <row r="93" spans="1:26" x14ac:dyDescent="0.25">
      <c r="A93" s="2" t="s">
        <v>329</v>
      </c>
      <c r="B93" s="3">
        <v>46107</v>
      </c>
      <c r="C93" s="2" t="s">
        <v>330</v>
      </c>
      <c r="D93" s="2" t="s">
        <v>28</v>
      </c>
      <c r="E93" s="2" t="s">
        <v>44</v>
      </c>
      <c r="F93" s="2">
        <v>36</v>
      </c>
      <c r="G93" s="2" t="s">
        <v>30</v>
      </c>
      <c r="H93" s="2" t="s">
        <v>31</v>
      </c>
      <c r="I93" s="2" t="s">
        <v>32</v>
      </c>
      <c r="J93" s="2" t="s">
        <v>33</v>
      </c>
      <c r="K93" s="2">
        <v>3</v>
      </c>
      <c r="L93" s="4">
        <v>700</v>
      </c>
      <c r="M93" s="5">
        <v>0.2</v>
      </c>
      <c r="N93" s="4">
        <v>420</v>
      </c>
      <c r="O93" s="4">
        <v>302.39999999999998</v>
      </c>
      <c r="P93" s="4">
        <v>50</v>
      </c>
      <c r="Q93" s="4">
        <v>2032.4</v>
      </c>
      <c r="R93" s="2" t="s">
        <v>59</v>
      </c>
      <c r="S93" s="2" t="s">
        <v>35</v>
      </c>
      <c r="T93" s="2" t="s">
        <v>173</v>
      </c>
      <c r="U93" s="2" t="s">
        <v>174</v>
      </c>
      <c r="V93" s="2" t="s">
        <v>82</v>
      </c>
      <c r="W93" s="2">
        <v>6</v>
      </c>
      <c r="X93" s="2" t="s">
        <v>39</v>
      </c>
      <c r="Y93" s="2">
        <v>5</v>
      </c>
      <c r="Z93" s="2" t="s">
        <v>40</v>
      </c>
    </row>
    <row r="94" spans="1:26" x14ac:dyDescent="0.25">
      <c r="A94" s="2" t="s">
        <v>331</v>
      </c>
      <c r="B94" s="3">
        <v>46102</v>
      </c>
      <c r="C94" s="2" t="s">
        <v>332</v>
      </c>
      <c r="D94" s="2" t="s">
        <v>132</v>
      </c>
      <c r="E94" s="2" t="s">
        <v>44</v>
      </c>
      <c r="F94" s="2">
        <v>59</v>
      </c>
      <c r="G94" s="2" t="s">
        <v>177</v>
      </c>
      <c r="H94" s="2" t="s">
        <v>31</v>
      </c>
      <c r="I94" s="2" t="s">
        <v>32</v>
      </c>
      <c r="J94" s="2" t="s">
        <v>294</v>
      </c>
      <c r="K94" s="2">
        <v>5</v>
      </c>
      <c r="L94" s="4">
        <v>1700</v>
      </c>
      <c r="M94" s="5">
        <v>0.25</v>
      </c>
      <c r="N94" s="4">
        <v>2125</v>
      </c>
      <c r="O94" s="4">
        <v>1147.5</v>
      </c>
      <c r="P94" s="4">
        <v>100</v>
      </c>
      <c r="Q94" s="4">
        <v>7622.5</v>
      </c>
      <c r="R94" s="2" t="s">
        <v>48</v>
      </c>
      <c r="S94" s="2" t="s">
        <v>60</v>
      </c>
      <c r="T94" s="2" t="s">
        <v>255</v>
      </c>
      <c r="U94" s="2" t="s">
        <v>256</v>
      </c>
      <c r="V94" s="2" t="s">
        <v>38</v>
      </c>
      <c r="W94" s="2">
        <v>6</v>
      </c>
      <c r="X94" s="2" t="s">
        <v>39</v>
      </c>
      <c r="Y94" s="2">
        <v>5</v>
      </c>
      <c r="Z94" s="2" t="s">
        <v>40</v>
      </c>
    </row>
    <row r="95" spans="1:26" x14ac:dyDescent="0.25">
      <c r="A95" s="2" t="s">
        <v>333</v>
      </c>
      <c r="B95" s="3">
        <v>46080</v>
      </c>
      <c r="C95" s="2" t="s">
        <v>334</v>
      </c>
      <c r="D95" s="2" t="s">
        <v>259</v>
      </c>
      <c r="E95" s="2" t="s">
        <v>29</v>
      </c>
      <c r="F95" s="2">
        <v>22</v>
      </c>
      <c r="G95" s="2" t="s">
        <v>30</v>
      </c>
      <c r="H95" s="2" t="s">
        <v>31</v>
      </c>
      <c r="I95" s="2" t="s">
        <v>32</v>
      </c>
      <c r="J95" s="2" t="s">
        <v>204</v>
      </c>
      <c r="K95" s="2">
        <v>5</v>
      </c>
      <c r="L95" s="4">
        <v>2900</v>
      </c>
      <c r="M95" s="5">
        <v>0.2</v>
      </c>
      <c r="N95" s="4">
        <v>2900</v>
      </c>
      <c r="O95" s="4">
        <v>2088</v>
      </c>
      <c r="P95" s="4">
        <v>150</v>
      </c>
      <c r="Q95" s="4">
        <v>13838</v>
      </c>
      <c r="R95" s="2" t="s">
        <v>34</v>
      </c>
      <c r="S95" s="2" t="s">
        <v>89</v>
      </c>
      <c r="T95" s="2" t="s">
        <v>138</v>
      </c>
      <c r="U95" s="2" t="s">
        <v>62</v>
      </c>
      <c r="V95" s="2" t="s">
        <v>63</v>
      </c>
      <c r="W95" s="2">
        <v>6</v>
      </c>
      <c r="X95" s="2" t="s">
        <v>39</v>
      </c>
      <c r="Y95" s="2">
        <v>0</v>
      </c>
      <c r="Z95" s="2" t="s">
        <v>64</v>
      </c>
    </row>
    <row r="96" spans="1:26" x14ac:dyDescent="0.25">
      <c r="A96" s="2" t="s">
        <v>335</v>
      </c>
      <c r="B96" s="3">
        <v>46062</v>
      </c>
      <c r="C96" s="2" t="s">
        <v>336</v>
      </c>
      <c r="D96" s="2" t="s">
        <v>210</v>
      </c>
      <c r="E96" s="2" t="s">
        <v>29</v>
      </c>
      <c r="F96" s="2">
        <v>62</v>
      </c>
      <c r="G96" s="2" t="s">
        <v>198</v>
      </c>
      <c r="H96" s="2" t="s">
        <v>105</v>
      </c>
      <c r="I96" s="2" t="s">
        <v>199</v>
      </c>
      <c r="J96" s="2" t="s">
        <v>207</v>
      </c>
      <c r="K96" s="2">
        <v>4</v>
      </c>
      <c r="L96" s="4">
        <v>5100</v>
      </c>
      <c r="M96" s="5">
        <v>0.15</v>
      </c>
      <c r="N96" s="4">
        <v>3060</v>
      </c>
      <c r="O96" s="4">
        <v>2080.8000000000002</v>
      </c>
      <c r="P96" s="4">
        <v>200</v>
      </c>
      <c r="Q96" s="4">
        <v>19620.8</v>
      </c>
      <c r="R96" s="2" t="s">
        <v>48</v>
      </c>
      <c r="S96" s="2" t="s">
        <v>60</v>
      </c>
      <c r="T96" s="2" t="s">
        <v>36</v>
      </c>
      <c r="U96" s="2" t="s">
        <v>37</v>
      </c>
      <c r="V96" s="2" t="s">
        <v>38</v>
      </c>
      <c r="W96" s="2">
        <v>4</v>
      </c>
      <c r="X96" s="2" t="s">
        <v>39</v>
      </c>
      <c r="Y96" s="2">
        <v>2</v>
      </c>
      <c r="Z96" s="2" t="s">
        <v>111</v>
      </c>
    </row>
    <row r="97" spans="1:26" x14ac:dyDescent="0.25">
      <c r="A97" s="2" t="s">
        <v>337</v>
      </c>
      <c r="B97" s="3">
        <v>46159</v>
      </c>
      <c r="C97" s="2" t="s">
        <v>338</v>
      </c>
      <c r="D97" s="2" t="s">
        <v>77</v>
      </c>
      <c r="E97" s="2" t="s">
        <v>44</v>
      </c>
      <c r="F97" s="2">
        <v>48</v>
      </c>
      <c r="G97" s="2" t="s">
        <v>68</v>
      </c>
      <c r="H97" s="2" t="s">
        <v>69</v>
      </c>
      <c r="I97" s="2" t="s">
        <v>70</v>
      </c>
      <c r="J97" s="2" t="s">
        <v>71</v>
      </c>
      <c r="K97" s="2">
        <v>5</v>
      </c>
      <c r="L97" s="4">
        <v>24300</v>
      </c>
      <c r="M97" s="5">
        <v>0.15</v>
      </c>
      <c r="N97" s="4">
        <v>18225</v>
      </c>
      <c r="O97" s="4">
        <v>12393</v>
      </c>
      <c r="P97" s="4">
        <v>250</v>
      </c>
      <c r="Q97" s="4">
        <v>115918</v>
      </c>
      <c r="R97" s="2" t="s">
        <v>59</v>
      </c>
      <c r="S97" s="2" t="s">
        <v>60</v>
      </c>
      <c r="T97" s="2" t="s">
        <v>134</v>
      </c>
      <c r="U97" s="2" t="s">
        <v>135</v>
      </c>
      <c r="V97" s="2" t="s">
        <v>50</v>
      </c>
      <c r="W97" s="2">
        <v>9</v>
      </c>
      <c r="X97" s="2" t="s">
        <v>51</v>
      </c>
      <c r="Y97" s="2">
        <v>5</v>
      </c>
      <c r="Z97" s="2" t="s">
        <v>40</v>
      </c>
    </row>
    <row r="98" spans="1:26" x14ac:dyDescent="0.25">
      <c r="A98" s="2" t="s">
        <v>339</v>
      </c>
      <c r="B98" s="3">
        <v>46246</v>
      </c>
      <c r="C98" s="2" t="s">
        <v>340</v>
      </c>
      <c r="D98" s="2" t="s">
        <v>148</v>
      </c>
      <c r="E98" s="2" t="s">
        <v>29</v>
      </c>
      <c r="F98" s="2">
        <v>59</v>
      </c>
      <c r="G98" s="2" t="s">
        <v>45</v>
      </c>
      <c r="H98" s="2" t="s">
        <v>31</v>
      </c>
      <c r="I98" s="2" t="s">
        <v>46</v>
      </c>
      <c r="J98" s="2" t="s">
        <v>260</v>
      </c>
      <c r="K98" s="2">
        <v>5</v>
      </c>
      <c r="L98" s="4">
        <v>1400</v>
      </c>
      <c r="M98" s="5">
        <v>0.25</v>
      </c>
      <c r="N98" s="4">
        <v>1750</v>
      </c>
      <c r="O98" s="4">
        <v>945</v>
      </c>
      <c r="P98" s="4">
        <v>250</v>
      </c>
      <c r="Q98" s="4">
        <v>6445</v>
      </c>
      <c r="R98" s="2" t="s">
        <v>34</v>
      </c>
      <c r="S98" s="2" t="s">
        <v>89</v>
      </c>
      <c r="T98" s="2" t="s">
        <v>95</v>
      </c>
      <c r="U98" s="2" t="s">
        <v>62</v>
      </c>
      <c r="V98" s="2" t="s">
        <v>63</v>
      </c>
      <c r="W98" s="2">
        <v>5</v>
      </c>
      <c r="X98" s="2" t="s">
        <v>39</v>
      </c>
      <c r="Y98" s="2">
        <v>4</v>
      </c>
      <c r="Z98" s="2" t="s">
        <v>40</v>
      </c>
    </row>
    <row r="99" spans="1:26" x14ac:dyDescent="0.25">
      <c r="A99" s="2" t="s">
        <v>341</v>
      </c>
      <c r="B99" s="3">
        <v>46046</v>
      </c>
      <c r="C99" s="2" t="s">
        <v>342</v>
      </c>
      <c r="D99" s="2" t="s">
        <v>77</v>
      </c>
      <c r="E99" s="2" t="s">
        <v>44</v>
      </c>
      <c r="F99" s="2">
        <v>40</v>
      </c>
      <c r="G99" s="2" t="s">
        <v>99</v>
      </c>
      <c r="H99" s="2" t="s">
        <v>69</v>
      </c>
      <c r="I99" s="2" t="s">
        <v>100</v>
      </c>
      <c r="J99" s="2" t="s">
        <v>218</v>
      </c>
      <c r="K99" s="2">
        <v>1</v>
      </c>
      <c r="L99" s="4">
        <v>65200</v>
      </c>
      <c r="M99" s="5">
        <v>0.2</v>
      </c>
      <c r="N99" s="4">
        <v>13040</v>
      </c>
      <c r="O99" s="4">
        <v>6259.2</v>
      </c>
      <c r="P99" s="4">
        <v>50</v>
      </c>
      <c r="Q99" s="4">
        <v>58469.2</v>
      </c>
      <c r="R99" s="2" t="s">
        <v>88</v>
      </c>
      <c r="S99" s="2" t="s">
        <v>60</v>
      </c>
      <c r="T99" s="2" t="s">
        <v>134</v>
      </c>
      <c r="U99" s="2" t="s">
        <v>135</v>
      </c>
      <c r="V99" s="2" t="s">
        <v>50</v>
      </c>
      <c r="W99" s="2">
        <v>2</v>
      </c>
      <c r="X99" s="2" t="s">
        <v>39</v>
      </c>
      <c r="Y99" s="2">
        <v>5</v>
      </c>
      <c r="Z99" s="2" t="s">
        <v>40</v>
      </c>
    </row>
    <row r="100" spans="1:26" x14ac:dyDescent="0.25">
      <c r="A100" s="2" t="s">
        <v>343</v>
      </c>
      <c r="B100" s="3">
        <v>46058</v>
      </c>
      <c r="C100" s="2" t="s">
        <v>344</v>
      </c>
      <c r="D100" s="2" t="s">
        <v>129</v>
      </c>
      <c r="E100" s="2" t="s">
        <v>44</v>
      </c>
      <c r="F100" s="2">
        <v>48</v>
      </c>
      <c r="G100" s="2" t="s">
        <v>55</v>
      </c>
      <c r="H100" s="2" t="s">
        <v>56</v>
      </c>
      <c r="I100" s="2" t="s">
        <v>57</v>
      </c>
      <c r="J100" s="2" t="s">
        <v>245</v>
      </c>
      <c r="K100" s="2">
        <v>4</v>
      </c>
      <c r="L100" s="4">
        <v>9200</v>
      </c>
      <c r="M100" s="5">
        <v>0.2</v>
      </c>
      <c r="N100" s="4">
        <v>7360</v>
      </c>
      <c r="O100" s="4">
        <v>1472</v>
      </c>
      <c r="P100" s="4">
        <v>0</v>
      </c>
      <c r="Q100" s="4">
        <v>30912</v>
      </c>
      <c r="R100" s="2" t="s">
        <v>59</v>
      </c>
      <c r="S100" s="2" t="s">
        <v>89</v>
      </c>
      <c r="T100" s="2" t="s">
        <v>138</v>
      </c>
      <c r="U100" s="2" t="s">
        <v>62</v>
      </c>
      <c r="V100" s="2" t="s">
        <v>63</v>
      </c>
      <c r="W100" s="2">
        <v>5</v>
      </c>
      <c r="X100" s="2" t="s">
        <v>39</v>
      </c>
      <c r="Y100" s="2">
        <v>5</v>
      </c>
      <c r="Z100" s="2" t="s">
        <v>40</v>
      </c>
    </row>
    <row r="101" spans="1:26" x14ac:dyDescent="0.25">
      <c r="A101" s="2" t="s">
        <v>345</v>
      </c>
      <c r="B101" s="3">
        <v>46051</v>
      </c>
      <c r="C101" s="2" t="s">
        <v>346</v>
      </c>
      <c r="D101" s="2" t="s">
        <v>240</v>
      </c>
      <c r="E101" s="2" t="s">
        <v>29</v>
      </c>
      <c r="F101" s="2">
        <v>37</v>
      </c>
      <c r="G101" s="2" t="s">
        <v>142</v>
      </c>
      <c r="H101" s="2" t="s">
        <v>69</v>
      </c>
      <c r="I101" s="2" t="s">
        <v>143</v>
      </c>
      <c r="J101" s="2" t="s">
        <v>94</v>
      </c>
      <c r="K101" s="2">
        <v>2</v>
      </c>
      <c r="L101" s="4">
        <v>54900</v>
      </c>
      <c r="M101" s="5">
        <v>0.25</v>
      </c>
      <c r="N101" s="4">
        <v>27450</v>
      </c>
      <c r="O101" s="4">
        <v>14823</v>
      </c>
      <c r="P101" s="4">
        <v>100</v>
      </c>
      <c r="Q101" s="4">
        <v>97273</v>
      </c>
      <c r="R101" s="2" t="s">
        <v>59</v>
      </c>
      <c r="S101" s="2" t="s">
        <v>35</v>
      </c>
      <c r="T101" s="2" t="s">
        <v>95</v>
      </c>
      <c r="U101" s="2" t="s">
        <v>62</v>
      </c>
      <c r="V101" s="2" t="s">
        <v>63</v>
      </c>
      <c r="W101" s="2">
        <v>2</v>
      </c>
      <c r="X101" s="2" t="s">
        <v>39</v>
      </c>
      <c r="Y101" s="2">
        <v>0</v>
      </c>
      <c r="Z101" s="2" t="s">
        <v>64</v>
      </c>
    </row>
    <row r="102" spans="1:26" x14ac:dyDescent="0.25">
      <c r="A102" s="2" t="s">
        <v>347</v>
      </c>
      <c r="B102" s="3">
        <v>46184</v>
      </c>
      <c r="C102" s="2" t="s">
        <v>348</v>
      </c>
      <c r="D102" s="2" t="s">
        <v>141</v>
      </c>
      <c r="E102" s="2" t="s">
        <v>29</v>
      </c>
      <c r="F102" s="2">
        <v>63</v>
      </c>
      <c r="G102" s="2" t="s">
        <v>125</v>
      </c>
      <c r="H102" s="2" t="s">
        <v>69</v>
      </c>
      <c r="I102" s="2" t="s">
        <v>126</v>
      </c>
      <c r="J102" s="2" t="s">
        <v>215</v>
      </c>
      <c r="K102" s="2">
        <v>4</v>
      </c>
      <c r="L102" s="4">
        <v>1000</v>
      </c>
      <c r="M102" s="5">
        <v>0.2</v>
      </c>
      <c r="N102" s="4">
        <v>800</v>
      </c>
      <c r="O102" s="4">
        <v>384</v>
      </c>
      <c r="P102" s="4">
        <v>50</v>
      </c>
      <c r="Q102" s="4">
        <v>3634</v>
      </c>
      <c r="R102" s="2" t="s">
        <v>72</v>
      </c>
      <c r="S102" s="2" t="s">
        <v>35</v>
      </c>
      <c r="T102" s="2" t="s">
        <v>144</v>
      </c>
      <c r="U102" s="2" t="s">
        <v>145</v>
      </c>
      <c r="V102" s="2" t="s">
        <v>38</v>
      </c>
      <c r="W102" s="2">
        <v>7</v>
      </c>
      <c r="X102" s="2" t="s">
        <v>39</v>
      </c>
      <c r="Y102" s="2">
        <v>5</v>
      </c>
      <c r="Z102" s="2" t="s">
        <v>40</v>
      </c>
    </row>
    <row r="103" spans="1:26" x14ac:dyDescent="0.25">
      <c r="A103" s="2" t="s">
        <v>349</v>
      </c>
      <c r="B103" s="3">
        <v>46122</v>
      </c>
      <c r="C103" s="2" t="s">
        <v>350</v>
      </c>
      <c r="D103" s="2" t="s">
        <v>114</v>
      </c>
      <c r="E103" s="2" t="s">
        <v>29</v>
      </c>
      <c r="F103" s="2">
        <v>58</v>
      </c>
      <c r="G103" s="2" t="s">
        <v>78</v>
      </c>
      <c r="H103" s="2" t="s">
        <v>31</v>
      </c>
      <c r="I103" s="2" t="s">
        <v>79</v>
      </c>
      <c r="J103" s="2" t="s">
        <v>33</v>
      </c>
      <c r="K103" s="2">
        <v>3</v>
      </c>
      <c r="L103" s="4">
        <v>1700</v>
      </c>
      <c r="M103" s="5">
        <v>0.1</v>
      </c>
      <c r="N103" s="4">
        <v>510</v>
      </c>
      <c r="O103" s="4">
        <v>229.5</v>
      </c>
      <c r="P103" s="4">
        <v>75</v>
      </c>
      <c r="Q103" s="4">
        <v>4894.5</v>
      </c>
      <c r="R103" s="2" t="s">
        <v>88</v>
      </c>
      <c r="S103" s="2" t="s">
        <v>60</v>
      </c>
      <c r="T103" s="2" t="s">
        <v>115</v>
      </c>
      <c r="U103" s="2" t="s">
        <v>62</v>
      </c>
      <c r="V103" s="2" t="s">
        <v>116</v>
      </c>
      <c r="W103" s="2">
        <v>2</v>
      </c>
      <c r="X103" s="2" t="s">
        <v>39</v>
      </c>
      <c r="Y103" s="2">
        <v>0</v>
      </c>
      <c r="Z103" s="2" t="s">
        <v>91</v>
      </c>
    </row>
    <row r="104" spans="1:26" x14ac:dyDescent="0.25">
      <c r="A104" s="2" t="s">
        <v>351</v>
      </c>
      <c r="B104" s="3">
        <v>46034</v>
      </c>
      <c r="C104" s="2" t="s">
        <v>352</v>
      </c>
      <c r="D104" s="2" t="s">
        <v>54</v>
      </c>
      <c r="E104" s="2" t="s">
        <v>44</v>
      </c>
      <c r="F104" s="2">
        <v>59</v>
      </c>
      <c r="G104" s="2" t="s">
        <v>125</v>
      </c>
      <c r="H104" s="2" t="s">
        <v>69</v>
      </c>
      <c r="I104" s="2" t="s">
        <v>126</v>
      </c>
      <c r="J104" s="2" t="s">
        <v>71</v>
      </c>
      <c r="K104" s="2">
        <v>4</v>
      </c>
      <c r="L104" s="4">
        <v>9000</v>
      </c>
      <c r="M104" s="5">
        <v>0.05</v>
      </c>
      <c r="N104" s="4">
        <v>1800</v>
      </c>
      <c r="O104" s="4">
        <v>1710</v>
      </c>
      <c r="P104" s="4">
        <v>0</v>
      </c>
      <c r="Q104" s="4">
        <v>35910</v>
      </c>
      <c r="R104" s="2" t="s">
        <v>88</v>
      </c>
      <c r="S104" s="2" t="s">
        <v>133</v>
      </c>
      <c r="T104" s="2" t="s">
        <v>36</v>
      </c>
      <c r="U104" s="2" t="s">
        <v>37</v>
      </c>
      <c r="V104" s="2" t="s">
        <v>38</v>
      </c>
      <c r="W104" s="2">
        <v>8</v>
      </c>
      <c r="X104" s="2" t="s">
        <v>39</v>
      </c>
      <c r="Y104" s="2">
        <v>5</v>
      </c>
      <c r="Z104" s="2" t="s">
        <v>40</v>
      </c>
    </row>
    <row r="105" spans="1:26" x14ac:dyDescent="0.25">
      <c r="A105" s="2" t="s">
        <v>353</v>
      </c>
      <c r="B105" s="3">
        <v>46154</v>
      </c>
      <c r="C105" s="2" t="s">
        <v>354</v>
      </c>
      <c r="D105" s="2" t="s">
        <v>203</v>
      </c>
      <c r="E105" s="2" t="s">
        <v>44</v>
      </c>
      <c r="F105" s="2">
        <v>34</v>
      </c>
      <c r="G105" s="2" t="s">
        <v>99</v>
      </c>
      <c r="H105" s="2" t="s">
        <v>69</v>
      </c>
      <c r="I105" s="2" t="s">
        <v>100</v>
      </c>
      <c r="J105" s="2" t="s">
        <v>119</v>
      </c>
      <c r="K105" s="2">
        <v>3</v>
      </c>
      <c r="L105" s="4">
        <v>63200</v>
      </c>
      <c r="M105" s="5">
        <v>0</v>
      </c>
      <c r="N105" s="4">
        <v>0</v>
      </c>
      <c r="O105" s="4">
        <v>34128</v>
      </c>
      <c r="P105" s="4">
        <v>75</v>
      </c>
      <c r="Q105" s="4">
        <v>223803</v>
      </c>
      <c r="R105" s="2" t="s">
        <v>48</v>
      </c>
      <c r="S105" s="2" t="s">
        <v>89</v>
      </c>
      <c r="T105" s="2" t="s">
        <v>61</v>
      </c>
      <c r="U105" s="2" t="s">
        <v>62</v>
      </c>
      <c r="V105" s="2" t="s">
        <v>63</v>
      </c>
      <c r="W105" s="2">
        <v>2</v>
      </c>
      <c r="X105" s="2" t="s">
        <v>39</v>
      </c>
      <c r="Y105" s="2">
        <v>0</v>
      </c>
      <c r="Z105" s="2" t="s">
        <v>91</v>
      </c>
    </row>
    <row r="106" spans="1:26" x14ac:dyDescent="0.25">
      <c r="A106" s="2" t="s">
        <v>355</v>
      </c>
      <c r="B106" s="3">
        <v>46252</v>
      </c>
      <c r="C106" s="2" t="s">
        <v>356</v>
      </c>
      <c r="D106" s="2" t="s">
        <v>203</v>
      </c>
      <c r="E106" s="2" t="s">
        <v>44</v>
      </c>
      <c r="F106" s="2">
        <v>29</v>
      </c>
      <c r="G106" s="2" t="s">
        <v>45</v>
      </c>
      <c r="H106" s="2" t="s">
        <v>31</v>
      </c>
      <c r="I106" s="2" t="s">
        <v>46</v>
      </c>
      <c r="J106" s="2" t="s">
        <v>47</v>
      </c>
      <c r="K106" s="2">
        <v>4</v>
      </c>
      <c r="L106" s="4">
        <v>3100</v>
      </c>
      <c r="M106" s="5">
        <v>0.2</v>
      </c>
      <c r="N106" s="4">
        <v>2480</v>
      </c>
      <c r="O106" s="4">
        <v>1190.4000000000001</v>
      </c>
      <c r="P106" s="4">
        <v>250</v>
      </c>
      <c r="Q106" s="4">
        <v>11360.4</v>
      </c>
      <c r="R106" s="2" t="s">
        <v>88</v>
      </c>
      <c r="S106" s="2" t="s">
        <v>133</v>
      </c>
      <c r="T106" s="2" t="s">
        <v>95</v>
      </c>
      <c r="U106" s="2" t="s">
        <v>62</v>
      </c>
      <c r="V106" s="2" t="s">
        <v>63</v>
      </c>
      <c r="W106" s="2">
        <v>7</v>
      </c>
      <c r="X106" s="2" t="s">
        <v>39</v>
      </c>
      <c r="Y106" s="2">
        <v>5</v>
      </c>
      <c r="Z106" s="2" t="s">
        <v>40</v>
      </c>
    </row>
    <row r="107" spans="1:26" x14ac:dyDescent="0.25">
      <c r="A107" s="2" t="s">
        <v>357</v>
      </c>
      <c r="B107" s="3">
        <v>46049</v>
      </c>
      <c r="C107" s="2" t="s">
        <v>358</v>
      </c>
      <c r="D107" s="2" t="s">
        <v>67</v>
      </c>
      <c r="E107" s="2" t="s">
        <v>44</v>
      </c>
      <c r="F107" s="2">
        <v>60</v>
      </c>
      <c r="G107" s="2" t="s">
        <v>30</v>
      </c>
      <c r="H107" s="2" t="s">
        <v>31</v>
      </c>
      <c r="I107" s="2" t="s">
        <v>32</v>
      </c>
      <c r="J107" s="2" t="s">
        <v>170</v>
      </c>
      <c r="K107" s="2">
        <v>4</v>
      </c>
      <c r="L107" s="4">
        <v>2400</v>
      </c>
      <c r="M107" s="5">
        <v>0.25</v>
      </c>
      <c r="N107" s="4">
        <v>2400</v>
      </c>
      <c r="O107" s="4">
        <v>864</v>
      </c>
      <c r="P107" s="4">
        <v>50</v>
      </c>
      <c r="Q107" s="4">
        <v>8114</v>
      </c>
      <c r="R107" s="2" t="s">
        <v>59</v>
      </c>
      <c r="S107" s="2" t="s">
        <v>89</v>
      </c>
      <c r="T107" s="2" t="s">
        <v>36</v>
      </c>
      <c r="U107" s="2" t="s">
        <v>37</v>
      </c>
      <c r="V107" s="2" t="s">
        <v>38</v>
      </c>
      <c r="W107" s="2">
        <v>8</v>
      </c>
      <c r="X107" s="2" t="s">
        <v>39</v>
      </c>
      <c r="Y107" s="2">
        <v>5</v>
      </c>
      <c r="Z107" s="2" t="s">
        <v>40</v>
      </c>
    </row>
    <row r="108" spans="1:26" x14ac:dyDescent="0.25">
      <c r="A108" s="2" t="s">
        <v>359</v>
      </c>
      <c r="B108" s="3">
        <v>46093</v>
      </c>
      <c r="C108" s="2" t="s">
        <v>360</v>
      </c>
      <c r="D108" s="2" t="s">
        <v>129</v>
      </c>
      <c r="E108" s="2" t="s">
        <v>29</v>
      </c>
      <c r="F108" s="2">
        <v>60</v>
      </c>
      <c r="G108" s="2" t="s">
        <v>86</v>
      </c>
      <c r="H108" s="2" t="s">
        <v>56</v>
      </c>
      <c r="I108" s="2" t="s">
        <v>57</v>
      </c>
      <c r="J108" s="2" t="s">
        <v>87</v>
      </c>
      <c r="K108" s="2">
        <v>3</v>
      </c>
      <c r="L108" s="4">
        <v>5000</v>
      </c>
      <c r="M108" s="5">
        <v>0.25</v>
      </c>
      <c r="N108" s="4">
        <v>3750</v>
      </c>
      <c r="O108" s="4">
        <v>2025</v>
      </c>
      <c r="P108" s="4">
        <v>50</v>
      </c>
      <c r="Q108" s="4">
        <v>13325</v>
      </c>
      <c r="R108" s="2" t="s">
        <v>48</v>
      </c>
      <c r="S108" s="2" t="s">
        <v>35</v>
      </c>
      <c r="T108" s="2" t="s">
        <v>138</v>
      </c>
      <c r="U108" s="2" t="s">
        <v>62</v>
      </c>
      <c r="V108" s="2" t="s">
        <v>63</v>
      </c>
      <c r="W108" s="2">
        <v>3</v>
      </c>
      <c r="X108" s="2" t="s">
        <v>39</v>
      </c>
      <c r="Y108" s="2">
        <v>0</v>
      </c>
      <c r="Z108" s="2" t="s">
        <v>64</v>
      </c>
    </row>
    <row r="109" spans="1:26" x14ac:dyDescent="0.25">
      <c r="A109" s="2" t="s">
        <v>361</v>
      </c>
      <c r="B109" s="3">
        <v>46055</v>
      </c>
      <c r="C109" s="2" t="s">
        <v>362</v>
      </c>
      <c r="D109" s="2" t="s">
        <v>67</v>
      </c>
      <c r="E109" s="2" t="s">
        <v>29</v>
      </c>
      <c r="F109" s="2">
        <v>59</v>
      </c>
      <c r="G109" s="2" t="s">
        <v>177</v>
      </c>
      <c r="H109" s="2" t="s">
        <v>31</v>
      </c>
      <c r="I109" s="2" t="s">
        <v>32</v>
      </c>
      <c r="J109" s="2" t="s">
        <v>178</v>
      </c>
      <c r="K109" s="2">
        <v>4</v>
      </c>
      <c r="L109" s="4">
        <v>1400</v>
      </c>
      <c r="M109" s="5">
        <v>0.2</v>
      </c>
      <c r="N109" s="4">
        <v>1120</v>
      </c>
      <c r="O109" s="4">
        <v>224</v>
      </c>
      <c r="P109" s="4">
        <v>200</v>
      </c>
      <c r="Q109" s="4">
        <v>4904</v>
      </c>
      <c r="R109" s="2" t="s">
        <v>88</v>
      </c>
      <c r="S109" s="2" t="s">
        <v>89</v>
      </c>
      <c r="T109" s="2" t="s">
        <v>73</v>
      </c>
      <c r="U109" s="2" t="s">
        <v>74</v>
      </c>
      <c r="V109" s="2" t="s">
        <v>50</v>
      </c>
      <c r="W109" s="2">
        <v>6</v>
      </c>
      <c r="X109" s="2" t="s">
        <v>39</v>
      </c>
      <c r="Y109" s="2">
        <v>5</v>
      </c>
      <c r="Z109" s="2" t="s">
        <v>40</v>
      </c>
    </row>
    <row r="110" spans="1:26" x14ac:dyDescent="0.25">
      <c r="A110" s="2" t="s">
        <v>363</v>
      </c>
      <c r="B110" s="3">
        <v>46103</v>
      </c>
      <c r="C110" s="2" t="s">
        <v>364</v>
      </c>
      <c r="D110" s="2" t="s">
        <v>148</v>
      </c>
      <c r="E110" s="2" t="s">
        <v>29</v>
      </c>
      <c r="F110" s="2">
        <v>25</v>
      </c>
      <c r="G110" s="2" t="s">
        <v>99</v>
      </c>
      <c r="H110" s="2" t="s">
        <v>69</v>
      </c>
      <c r="I110" s="2" t="s">
        <v>100</v>
      </c>
      <c r="J110" s="2" t="s">
        <v>119</v>
      </c>
      <c r="K110" s="2">
        <v>4</v>
      </c>
      <c r="L110" s="4">
        <v>71500</v>
      </c>
      <c r="M110" s="5">
        <v>0.15</v>
      </c>
      <c r="N110" s="4">
        <v>42900</v>
      </c>
      <c r="O110" s="4">
        <v>43758</v>
      </c>
      <c r="P110" s="4">
        <v>0</v>
      </c>
      <c r="Q110" s="4">
        <v>286858</v>
      </c>
      <c r="R110" s="2" t="s">
        <v>59</v>
      </c>
      <c r="S110" s="2" t="s">
        <v>133</v>
      </c>
      <c r="T110" s="2" t="s">
        <v>61</v>
      </c>
      <c r="U110" s="2" t="s">
        <v>62</v>
      </c>
      <c r="V110" s="2" t="s">
        <v>63</v>
      </c>
      <c r="W110" s="2">
        <v>5</v>
      </c>
      <c r="X110" s="2" t="s">
        <v>39</v>
      </c>
      <c r="Y110" s="2">
        <v>0</v>
      </c>
      <c r="Z110" s="2" t="s">
        <v>91</v>
      </c>
    </row>
    <row r="111" spans="1:26" x14ac:dyDescent="0.25">
      <c r="A111" s="2" t="s">
        <v>365</v>
      </c>
      <c r="B111" s="3">
        <v>46200</v>
      </c>
      <c r="C111" s="2" t="s">
        <v>366</v>
      </c>
      <c r="D111" s="2" t="s">
        <v>114</v>
      </c>
      <c r="E111" s="2" t="s">
        <v>29</v>
      </c>
      <c r="F111" s="2">
        <v>25</v>
      </c>
      <c r="G111" s="2" t="s">
        <v>125</v>
      </c>
      <c r="H111" s="2" t="s">
        <v>69</v>
      </c>
      <c r="I111" s="2" t="s">
        <v>126</v>
      </c>
      <c r="J111" s="2" t="s">
        <v>164</v>
      </c>
      <c r="K111" s="2">
        <v>4</v>
      </c>
      <c r="L111" s="4">
        <v>3200</v>
      </c>
      <c r="M111" s="5">
        <v>0.25</v>
      </c>
      <c r="N111" s="4">
        <v>3200</v>
      </c>
      <c r="O111" s="4">
        <v>1152</v>
      </c>
      <c r="P111" s="4">
        <v>0</v>
      </c>
      <c r="Q111" s="4">
        <v>10752</v>
      </c>
      <c r="R111" s="2" t="s">
        <v>72</v>
      </c>
      <c r="S111" s="2" t="s">
        <v>133</v>
      </c>
      <c r="T111" s="2" t="s">
        <v>80</v>
      </c>
      <c r="U111" s="2" t="s">
        <v>81</v>
      </c>
      <c r="V111" s="2" t="s">
        <v>82</v>
      </c>
      <c r="W111" s="2">
        <v>6</v>
      </c>
      <c r="X111" s="2" t="s">
        <v>39</v>
      </c>
      <c r="Y111" s="2">
        <v>0</v>
      </c>
      <c r="Z111" s="2" t="s">
        <v>91</v>
      </c>
    </row>
    <row r="112" spans="1:26" x14ac:dyDescent="0.25">
      <c r="A112" s="2" t="s">
        <v>367</v>
      </c>
      <c r="B112" s="3">
        <v>46251</v>
      </c>
      <c r="C112" s="2" t="s">
        <v>368</v>
      </c>
      <c r="D112" s="2" t="s">
        <v>240</v>
      </c>
      <c r="E112" s="2" t="s">
        <v>29</v>
      </c>
      <c r="F112" s="2">
        <v>63</v>
      </c>
      <c r="G112" s="2" t="s">
        <v>55</v>
      </c>
      <c r="H112" s="2" t="s">
        <v>56</v>
      </c>
      <c r="I112" s="2" t="s">
        <v>57</v>
      </c>
      <c r="J112" s="2" t="s">
        <v>235</v>
      </c>
      <c r="K112" s="2">
        <v>2</v>
      </c>
      <c r="L112" s="4">
        <v>8100</v>
      </c>
      <c r="M112" s="5">
        <v>0.2</v>
      </c>
      <c r="N112" s="4">
        <v>3240</v>
      </c>
      <c r="O112" s="4">
        <v>648</v>
      </c>
      <c r="P112" s="4">
        <v>0</v>
      </c>
      <c r="Q112" s="4">
        <v>13608</v>
      </c>
      <c r="R112" s="2" t="s">
        <v>88</v>
      </c>
      <c r="S112" s="2" t="s">
        <v>89</v>
      </c>
      <c r="T112" s="2" t="s">
        <v>115</v>
      </c>
      <c r="U112" s="2" t="s">
        <v>62</v>
      </c>
      <c r="V112" s="2" t="s">
        <v>116</v>
      </c>
      <c r="W112" s="2">
        <v>3</v>
      </c>
      <c r="X112" s="2" t="s">
        <v>39</v>
      </c>
      <c r="Y112" s="2">
        <v>4</v>
      </c>
      <c r="Z112" s="2" t="s">
        <v>40</v>
      </c>
    </row>
    <row r="113" spans="1:26" x14ac:dyDescent="0.25">
      <c r="A113" s="2" t="s">
        <v>369</v>
      </c>
      <c r="B113" s="3">
        <v>46228</v>
      </c>
      <c r="C113" s="2" t="s">
        <v>370</v>
      </c>
      <c r="D113" s="2" t="s">
        <v>132</v>
      </c>
      <c r="E113" s="2" t="s">
        <v>29</v>
      </c>
      <c r="F113" s="2">
        <v>57</v>
      </c>
      <c r="G113" s="2" t="s">
        <v>142</v>
      </c>
      <c r="H113" s="2" t="s">
        <v>69</v>
      </c>
      <c r="I113" s="2" t="s">
        <v>143</v>
      </c>
      <c r="J113" s="2" t="s">
        <v>94</v>
      </c>
      <c r="K113" s="2">
        <v>3</v>
      </c>
      <c r="L113" s="4">
        <v>52700</v>
      </c>
      <c r="M113" s="5">
        <v>0.25</v>
      </c>
      <c r="N113" s="4">
        <v>39525</v>
      </c>
      <c r="O113" s="4">
        <v>21343.5</v>
      </c>
      <c r="P113" s="4">
        <v>100</v>
      </c>
      <c r="Q113" s="4">
        <v>140018.5</v>
      </c>
      <c r="R113" s="2" t="s">
        <v>59</v>
      </c>
      <c r="S113" s="2" t="s">
        <v>35</v>
      </c>
      <c r="T113" s="2" t="s">
        <v>255</v>
      </c>
      <c r="U113" s="2" t="s">
        <v>256</v>
      </c>
      <c r="V113" s="2" t="s">
        <v>38</v>
      </c>
      <c r="W113" s="2">
        <v>7</v>
      </c>
      <c r="X113" s="2" t="s">
        <v>39</v>
      </c>
      <c r="Y113" s="2">
        <v>0</v>
      </c>
      <c r="Z113" s="2" t="s">
        <v>91</v>
      </c>
    </row>
    <row r="114" spans="1:26" x14ac:dyDescent="0.25">
      <c r="A114" s="2" t="s">
        <v>371</v>
      </c>
      <c r="B114" s="3">
        <v>46055</v>
      </c>
      <c r="C114" s="2" t="s">
        <v>330</v>
      </c>
      <c r="D114" s="2" t="s">
        <v>169</v>
      </c>
      <c r="E114" s="2" t="s">
        <v>29</v>
      </c>
      <c r="F114" s="2">
        <v>46</v>
      </c>
      <c r="G114" s="2" t="s">
        <v>45</v>
      </c>
      <c r="H114" s="2" t="s">
        <v>31</v>
      </c>
      <c r="I114" s="2" t="s">
        <v>46</v>
      </c>
      <c r="J114" s="2" t="s">
        <v>47</v>
      </c>
      <c r="K114" s="2">
        <v>5</v>
      </c>
      <c r="L114" s="4">
        <v>3000</v>
      </c>
      <c r="M114" s="5">
        <v>0.05</v>
      </c>
      <c r="N114" s="4">
        <v>750</v>
      </c>
      <c r="O114" s="4">
        <v>2565</v>
      </c>
      <c r="P114" s="4">
        <v>200</v>
      </c>
      <c r="Q114" s="4">
        <v>17015</v>
      </c>
      <c r="R114" s="2" t="s">
        <v>48</v>
      </c>
      <c r="S114" s="2" t="s">
        <v>35</v>
      </c>
      <c r="T114" s="2" t="s">
        <v>144</v>
      </c>
      <c r="U114" s="2" t="s">
        <v>145</v>
      </c>
      <c r="V114" s="2" t="s">
        <v>38</v>
      </c>
      <c r="W114" s="2">
        <v>3</v>
      </c>
      <c r="X114" s="2" t="s">
        <v>39</v>
      </c>
      <c r="Y114" s="2">
        <v>0</v>
      </c>
      <c r="Z114" s="2" t="s">
        <v>91</v>
      </c>
    </row>
    <row r="115" spans="1:26" x14ac:dyDescent="0.25">
      <c r="A115" s="2" t="s">
        <v>372</v>
      </c>
      <c r="B115" s="3">
        <v>46235</v>
      </c>
      <c r="C115" s="2" t="s">
        <v>291</v>
      </c>
      <c r="D115" s="2" t="s">
        <v>28</v>
      </c>
      <c r="E115" s="2" t="s">
        <v>29</v>
      </c>
      <c r="F115" s="2">
        <v>37</v>
      </c>
      <c r="G115" s="2" t="s">
        <v>125</v>
      </c>
      <c r="H115" s="2" t="s">
        <v>69</v>
      </c>
      <c r="I115" s="2" t="s">
        <v>126</v>
      </c>
      <c r="J115" s="2" t="s">
        <v>271</v>
      </c>
      <c r="K115" s="2">
        <v>3</v>
      </c>
      <c r="L115" s="4">
        <v>10000</v>
      </c>
      <c r="M115" s="5">
        <v>0.05</v>
      </c>
      <c r="N115" s="4">
        <v>1500</v>
      </c>
      <c r="O115" s="4">
        <v>3420</v>
      </c>
      <c r="P115" s="4">
        <v>150</v>
      </c>
      <c r="Q115" s="4">
        <v>32070</v>
      </c>
      <c r="R115" s="2" t="s">
        <v>34</v>
      </c>
      <c r="S115" s="2" t="s">
        <v>133</v>
      </c>
      <c r="T115" s="2" t="s">
        <v>173</v>
      </c>
      <c r="U115" s="2" t="s">
        <v>174</v>
      </c>
      <c r="V115" s="2" t="s">
        <v>82</v>
      </c>
      <c r="W115" s="2">
        <v>5</v>
      </c>
      <c r="X115" s="2" t="s">
        <v>39</v>
      </c>
      <c r="Y115" s="2">
        <v>0</v>
      </c>
      <c r="Z115" s="2" t="s">
        <v>64</v>
      </c>
    </row>
    <row r="116" spans="1:26" x14ac:dyDescent="0.25">
      <c r="A116" s="2" t="s">
        <v>373</v>
      </c>
      <c r="B116" s="3">
        <v>46055</v>
      </c>
      <c r="C116" s="2" t="s">
        <v>374</v>
      </c>
      <c r="D116" s="2" t="s">
        <v>240</v>
      </c>
      <c r="E116" s="2" t="s">
        <v>29</v>
      </c>
      <c r="F116" s="2">
        <v>50</v>
      </c>
      <c r="G116" s="2" t="s">
        <v>86</v>
      </c>
      <c r="H116" s="2" t="s">
        <v>56</v>
      </c>
      <c r="I116" s="2" t="s">
        <v>57</v>
      </c>
      <c r="J116" s="2" t="s">
        <v>245</v>
      </c>
      <c r="K116" s="2">
        <v>5</v>
      </c>
      <c r="L116" s="4">
        <v>5500</v>
      </c>
      <c r="M116" s="5">
        <v>0.05</v>
      </c>
      <c r="N116" s="4">
        <v>1375</v>
      </c>
      <c r="O116" s="4">
        <v>1306.25</v>
      </c>
      <c r="P116" s="4">
        <v>200</v>
      </c>
      <c r="Q116" s="4">
        <v>27631.25</v>
      </c>
      <c r="R116" s="2" t="s">
        <v>72</v>
      </c>
      <c r="S116" s="2" t="s">
        <v>35</v>
      </c>
      <c r="T116" s="2" t="s">
        <v>144</v>
      </c>
      <c r="U116" s="2" t="s">
        <v>145</v>
      </c>
      <c r="V116" s="2" t="s">
        <v>38</v>
      </c>
      <c r="W116" s="2">
        <v>10</v>
      </c>
      <c r="X116" s="2" t="s">
        <v>51</v>
      </c>
      <c r="Y116" s="2">
        <v>3</v>
      </c>
      <c r="Z116" s="2" t="s">
        <v>40</v>
      </c>
    </row>
    <row r="117" spans="1:26" x14ac:dyDescent="0.25">
      <c r="A117" s="2" t="s">
        <v>375</v>
      </c>
      <c r="B117" s="3">
        <v>46034</v>
      </c>
      <c r="C117" s="2" t="s">
        <v>376</v>
      </c>
      <c r="D117" s="2" t="s">
        <v>85</v>
      </c>
      <c r="E117" s="2" t="s">
        <v>44</v>
      </c>
      <c r="F117" s="2">
        <v>59</v>
      </c>
      <c r="G117" s="2" t="s">
        <v>68</v>
      </c>
      <c r="H117" s="2" t="s">
        <v>69</v>
      </c>
      <c r="I117" s="2" t="s">
        <v>70</v>
      </c>
      <c r="J117" s="2" t="s">
        <v>225</v>
      </c>
      <c r="K117" s="2">
        <v>5</v>
      </c>
      <c r="L117" s="4">
        <v>34500</v>
      </c>
      <c r="M117" s="5">
        <v>0</v>
      </c>
      <c r="N117" s="4">
        <v>0</v>
      </c>
      <c r="O117" s="4">
        <v>20700</v>
      </c>
      <c r="P117" s="4">
        <v>200</v>
      </c>
      <c r="Q117" s="4">
        <v>193400</v>
      </c>
      <c r="R117" s="2" t="s">
        <v>48</v>
      </c>
      <c r="S117" s="2" t="s">
        <v>133</v>
      </c>
      <c r="T117" s="2" t="s">
        <v>255</v>
      </c>
      <c r="U117" s="2" t="s">
        <v>256</v>
      </c>
      <c r="V117" s="2" t="s">
        <v>38</v>
      </c>
      <c r="W117" s="2">
        <v>5</v>
      </c>
      <c r="X117" s="2" t="s">
        <v>39</v>
      </c>
      <c r="Y117" s="2">
        <v>4</v>
      </c>
      <c r="Z117" s="2" t="s">
        <v>40</v>
      </c>
    </row>
    <row r="118" spans="1:26" x14ac:dyDescent="0.25">
      <c r="A118" s="2" t="s">
        <v>377</v>
      </c>
      <c r="B118" s="3">
        <v>46139</v>
      </c>
      <c r="C118" s="2" t="s">
        <v>378</v>
      </c>
      <c r="D118" s="2" t="s">
        <v>67</v>
      </c>
      <c r="E118" s="2" t="s">
        <v>29</v>
      </c>
      <c r="F118" s="2">
        <v>28</v>
      </c>
      <c r="G118" s="2" t="s">
        <v>45</v>
      </c>
      <c r="H118" s="2" t="s">
        <v>31</v>
      </c>
      <c r="I118" s="2" t="s">
        <v>46</v>
      </c>
      <c r="J118" s="2" t="s">
        <v>260</v>
      </c>
      <c r="K118" s="2">
        <v>4</v>
      </c>
      <c r="L118" s="4">
        <v>3700</v>
      </c>
      <c r="M118" s="5">
        <v>0.05</v>
      </c>
      <c r="N118" s="4">
        <v>740</v>
      </c>
      <c r="O118" s="4">
        <v>1687.2</v>
      </c>
      <c r="P118" s="4">
        <v>150</v>
      </c>
      <c r="Q118" s="4">
        <v>15897.2</v>
      </c>
      <c r="R118" s="2" t="s">
        <v>88</v>
      </c>
      <c r="S118" s="2" t="s">
        <v>89</v>
      </c>
      <c r="T118" s="2" t="s">
        <v>90</v>
      </c>
      <c r="U118" s="2" t="s">
        <v>62</v>
      </c>
      <c r="V118" s="2" t="s">
        <v>63</v>
      </c>
      <c r="W118" s="2">
        <v>6</v>
      </c>
      <c r="X118" s="2" t="s">
        <v>39</v>
      </c>
      <c r="Y118" s="2">
        <v>0</v>
      </c>
      <c r="Z118" s="2" t="s">
        <v>64</v>
      </c>
    </row>
    <row r="119" spans="1:26" x14ac:dyDescent="0.25">
      <c r="A119" s="2" t="s">
        <v>379</v>
      </c>
      <c r="B119" s="3">
        <v>46056</v>
      </c>
      <c r="C119" s="2" t="s">
        <v>380</v>
      </c>
      <c r="D119" s="2" t="s">
        <v>54</v>
      </c>
      <c r="E119" s="2" t="s">
        <v>29</v>
      </c>
      <c r="F119" s="2">
        <v>38</v>
      </c>
      <c r="G119" s="2" t="s">
        <v>68</v>
      </c>
      <c r="H119" s="2" t="s">
        <v>69</v>
      </c>
      <c r="I119" s="2" t="s">
        <v>70</v>
      </c>
      <c r="J119" s="2" t="s">
        <v>225</v>
      </c>
      <c r="K119" s="2">
        <v>1</v>
      </c>
      <c r="L119" s="4">
        <v>15400</v>
      </c>
      <c r="M119" s="5">
        <v>0.15</v>
      </c>
      <c r="N119" s="4">
        <v>2310</v>
      </c>
      <c r="O119" s="4">
        <v>654.5</v>
      </c>
      <c r="P119" s="4">
        <v>50</v>
      </c>
      <c r="Q119" s="4">
        <v>13794.5</v>
      </c>
      <c r="R119" s="2" t="s">
        <v>34</v>
      </c>
      <c r="S119" s="2" t="s">
        <v>133</v>
      </c>
      <c r="T119" s="2" t="s">
        <v>95</v>
      </c>
      <c r="U119" s="2" t="s">
        <v>62</v>
      </c>
      <c r="V119" s="2" t="s">
        <v>63</v>
      </c>
      <c r="W119" s="2">
        <v>1</v>
      </c>
      <c r="X119" s="2" t="s">
        <v>39</v>
      </c>
      <c r="Y119" s="2">
        <v>5</v>
      </c>
      <c r="Z119" s="2" t="s">
        <v>40</v>
      </c>
    </row>
    <row r="120" spans="1:26" x14ac:dyDescent="0.25">
      <c r="A120" s="2" t="s">
        <v>381</v>
      </c>
      <c r="B120" s="3">
        <v>46262</v>
      </c>
      <c r="C120" s="2" t="s">
        <v>382</v>
      </c>
      <c r="D120" s="2" t="s">
        <v>85</v>
      </c>
      <c r="E120" s="2" t="s">
        <v>44</v>
      </c>
      <c r="F120" s="2">
        <v>30</v>
      </c>
      <c r="G120" s="2" t="s">
        <v>125</v>
      </c>
      <c r="H120" s="2" t="s">
        <v>69</v>
      </c>
      <c r="I120" s="2" t="s">
        <v>126</v>
      </c>
      <c r="J120" s="2" t="s">
        <v>71</v>
      </c>
      <c r="K120" s="2">
        <v>5</v>
      </c>
      <c r="L120" s="4">
        <v>6900</v>
      </c>
      <c r="M120" s="5">
        <v>0.15</v>
      </c>
      <c r="N120" s="4">
        <v>5175</v>
      </c>
      <c r="O120" s="4">
        <v>3519</v>
      </c>
      <c r="P120" s="4">
        <v>100</v>
      </c>
      <c r="Q120" s="4">
        <v>32944</v>
      </c>
      <c r="R120" s="2" t="s">
        <v>48</v>
      </c>
      <c r="S120" s="2" t="s">
        <v>60</v>
      </c>
      <c r="T120" s="2" t="s">
        <v>138</v>
      </c>
      <c r="U120" s="2" t="s">
        <v>62</v>
      </c>
      <c r="V120" s="2" t="s">
        <v>63</v>
      </c>
      <c r="W120" s="2">
        <v>2</v>
      </c>
      <c r="X120" s="2" t="s">
        <v>39</v>
      </c>
      <c r="Y120" s="2">
        <v>0</v>
      </c>
      <c r="Z120" s="2" t="s">
        <v>64</v>
      </c>
    </row>
    <row r="121" spans="1:26" x14ac:dyDescent="0.25">
      <c r="A121" s="2" t="s">
        <v>383</v>
      </c>
      <c r="B121" s="3">
        <v>46078</v>
      </c>
      <c r="C121" s="2" t="s">
        <v>384</v>
      </c>
      <c r="D121" s="2" t="s">
        <v>85</v>
      </c>
      <c r="E121" s="2" t="s">
        <v>44</v>
      </c>
      <c r="F121" s="2">
        <v>21</v>
      </c>
      <c r="G121" s="2" t="s">
        <v>99</v>
      </c>
      <c r="H121" s="2" t="s">
        <v>69</v>
      </c>
      <c r="I121" s="2" t="s">
        <v>100</v>
      </c>
      <c r="J121" s="2" t="s">
        <v>157</v>
      </c>
      <c r="K121" s="2">
        <v>4</v>
      </c>
      <c r="L121" s="4">
        <v>75500</v>
      </c>
      <c r="M121" s="5">
        <v>0.25</v>
      </c>
      <c r="N121" s="4">
        <v>75500</v>
      </c>
      <c r="O121" s="4">
        <v>40770</v>
      </c>
      <c r="P121" s="4">
        <v>100</v>
      </c>
      <c r="Q121" s="4">
        <v>267370</v>
      </c>
      <c r="R121" s="2" t="s">
        <v>88</v>
      </c>
      <c r="S121" s="2" t="s">
        <v>89</v>
      </c>
      <c r="T121" s="2" t="s">
        <v>61</v>
      </c>
      <c r="U121" s="2" t="s">
        <v>62</v>
      </c>
      <c r="V121" s="2" t="s">
        <v>63</v>
      </c>
      <c r="W121" s="2">
        <v>9</v>
      </c>
      <c r="X121" s="2" t="s">
        <v>39</v>
      </c>
      <c r="Y121" s="2">
        <v>4</v>
      </c>
      <c r="Z121" s="2" t="s">
        <v>40</v>
      </c>
    </row>
    <row r="122" spans="1:26" x14ac:dyDescent="0.25">
      <c r="A122" s="2" t="s">
        <v>385</v>
      </c>
      <c r="B122" s="3">
        <v>46116</v>
      </c>
      <c r="C122" s="2" t="s">
        <v>386</v>
      </c>
      <c r="D122" s="2" t="s">
        <v>129</v>
      </c>
      <c r="E122" s="2" t="s">
        <v>44</v>
      </c>
      <c r="F122" s="2">
        <v>21</v>
      </c>
      <c r="G122" s="2" t="s">
        <v>198</v>
      </c>
      <c r="H122" s="2" t="s">
        <v>105</v>
      </c>
      <c r="I122" s="2" t="s">
        <v>199</v>
      </c>
      <c r="J122" s="2" t="s">
        <v>200</v>
      </c>
      <c r="K122" s="2">
        <v>2</v>
      </c>
      <c r="L122" s="4">
        <v>13200</v>
      </c>
      <c r="M122" s="5">
        <v>0.2</v>
      </c>
      <c r="N122" s="4">
        <v>5280</v>
      </c>
      <c r="O122" s="4">
        <v>2534.4</v>
      </c>
      <c r="P122" s="4">
        <v>0</v>
      </c>
      <c r="Q122" s="4">
        <v>23654.400000000001</v>
      </c>
      <c r="R122" s="2" t="s">
        <v>59</v>
      </c>
      <c r="S122" s="2" t="s">
        <v>35</v>
      </c>
      <c r="T122" s="2" t="s">
        <v>134</v>
      </c>
      <c r="U122" s="2" t="s">
        <v>135</v>
      </c>
      <c r="V122" s="2" t="s">
        <v>50</v>
      </c>
      <c r="W122" s="2">
        <v>9</v>
      </c>
      <c r="X122" s="2" t="s">
        <v>39</v>
      </c>
      <c r="Y122" s="2">
        <v>5</v>
      </c>
      <c r="Z122" s="2" t="s">
        <v>40</v>
      </c>
    </row>
    <row r="123" spans="1:26" x14ac:dyDescent="0.25">
      <c r="A123" s="2" t="s">
        <v>387</v>
      </c>
      <c r="B123" s="3">
        <v>46055</v>
      </c>
      <c r="C123" s="2" t="s">
        <v>388</v>
      </c>
      <c r="D123" s="2" t="s">
        <v>28</v>
      </c>
      <c r="E123" s="2" t="s">
        <v>44</v>
      </c>
      <c r="F123" s="2">
        <v>41</v>
      </c>
      <c r="G123" s="2" t="s">
        <v>177</v>
      </c>
      <c r="H123" s="2" t="s">
        <v>31</v>
      </c>
      <c r="I123" s="2" t="s">
        <v>32</v>
      </c>
      <c r="J123" s="2" t="s">
        <v>178</v>
      </c>
      <c r="K123" s="2">
        <v>2</v>
      </c>
      <c r="L123" s="4">
        <v>2400</v>
      </c>
      <c r="M123" s="5">
        <v>0.2</v>
      </c>
      <c r="N123" s="4">
        <v>960</v>
      </c>
      <c r="O123" s="4">
        <v>691.2</v>
      </c>
      <c r="P123" s="4">
        <v>100</v>
      </c>
      <c r="Q123" s="4">
        <v>4631.2</v>
      </c>
      <c r="R123" s="2" t="s">
        <v>59</v>
      </c>
      <c r="S123" s="2" t="s">
        <v>89</v>
      </c>
      <c r="T123" s="2" t="s">
        <v>255</v>
      </c>
      <c r="U123" s="2" t="s">
        <v>256</v>
      </c>
      <c r="V123" s="2" t="s">
        <v>38</v>
      </c>
      <c r="W123" s="2">
        <v>1</v>
      </c>
      <c r="X123" s="2" t="s">
        <v>39</v>
      </c>
      <c r="Y123" s="2">
        <v>4</v>
      </c>
      <c r="Z123" s="2" t="s">
        <v>40</v>
      </c>
    </row>
    <row r="124" spans="1:26" x14ac:dyDescent="0.25">
      <c r="A124" s="2" t="s">
        <v>389</v>
      </c>
      <c r="B124" s="3">
        <v>46061</v>
      </c>
      <c r="C124" s="2" t="s">
        <v>224</v>
      </c>
      <c r="D124" s="2" t="s">
        <v>390</v>
      </c>
      <c r="E124" s="2" t="s">
        <v>29</v>
      </c>
      <c r="F124" s="2">
        <v>38</v>
      </c>
      <c r="G124" s="2" t="s">
        <v>198</v>
      </c>
      <c r="H124" s="2" t="s">
        <v>105</v>
      </c>
      <c r="I124" s="2" t="s">
        <v>199</v>
      </c>
      <c r="J124" s="2" t="s">
        <v>160</v>
      </c>
      <c r="K124" s="2">
        <v>2</v>
      </c>
      <c r="L124" s="4">
        <v>14000</v>
      </c>
      <c r="M124" s="5">
        <v>0.2</v>
      </c>
      <c r="N124" s="4">
        <v>5600</v>
      </c>
      <c r="O124" s="4">
        <v>4032</v>
      </c>
      <c r="P124" s="4">
        <v>250</v>
      </c>
      <c r="Q124" s="4">
        <v>26682</v>
      </c>
      <c r="R124" s="2" t="s">
        <v>59</v>
      </c>
      <c r="S124" s="2" t="s">
        <v>133</v>
      </c>
      <c r="T124" s="2" t="s">
        <v>61</v>
      </c>
      <c r="U124" s="2" t="s">
        <v>62</v>
      </c>
      <c r="V124" s="2" t="s">
        <v>63</v>
      </c>
      <c r="W124" s="2">
        <v>10</v>
      </c>
      <c r="X124" s="2" t="s">
        <v>122</v>
      </c>
      <c r="Y124" s="2">
        <v>5</v>
      </c>
      <c r="Z124" s="2" t="s">
        <v>40</v>
      </c>
    </row>
    <row r="125" spans="1:26" x14ac:dyDescent="0.25">
      <c r="A125" s="2" t="s">
        <v>391</v>
      </c>
      <c r="B125" s="3">
        <v>46144</v>
      </c>
      <c r="C125" s="2" t="s">
        <v>392</v>
      </c>
      <c r="D125" s="2" t="s">
        <v>234</v>
      </c>
      <c r="E125" s="2" t="s">
        <v>44</v>
      </c>
      <c r="F125" s="2">
        <v>39</v>
      </c>
      <c r="G125" s="2" t="s">
        <v>86</v>
      </c>
      <c r="H125" s="2" t="s">
        <v>56</v>
      </c>
      <c r="I125" s="2" t="s">
        <v>57</v>
      </c>
      <c r="J125" s="2" t="s">
        <v>245</v>
      </c>
      <c r="K125" s="2">
        <v>4</v>
      </c>
      <c r="L125" s="4">
        <v>5500</v>
      </c>
      <c r="M125" s="5">
        <v>0.1</v>
      </c>
      <c r="N125" s="4">
        <v>2200</v>
      </c>
      <c r="O125" s="4">
        <v>3564</v>
      </c>
      <c r="P125" s="4">
        <v>250</v>
      </c>
      <c r="Q125" s="4">
        <v>23614</v>
      </c>
      <c r="R125" s="2" t="s">
        <v>59</v>
      </c>
      <c r="S125" s="2" t="s">
        <v>60</v>
      </c>
      <c r="T125" s="2" t="s">
        <v>36</v>
      </c>
      <c r="U125" s="2" t="s">
        <v>37</v>
      </c>
      <c r="V125" s="2" t="s">
        <v>38</v>
      </c>
      <c r="W125" s="2">
        <v>1</v>
      </c>
      <c r="X125" s="2" t="s">
        <v>39</v>
      </c>
      <c r="Y125" s="2">
        <v>5</v>
      </c>
      <c r="Z125" s="2" t="s">
        <v>40</v>
      </c>
    </row>
    <row r="126" spans="1:26" x14ac:dyDescent="0.25">
      <c r="A126" s="2" t="s">
        <v>393</v>
      </c>
      <c r="B126" s="3">
        <v>46207</v>
      </c>
      <c r="C126" s="2" t="s">
        <v>394</v>
      </c>
      <c r="D126" s="2" t="s">
        <v>129</v>
      </c>
      <c r="E126" s="2" t="s">
        <v>44</v>
      </c>
      <c r="F126" s="2">
        <v>28</v>
      </c>
      <c r="G126" s="2" t="s">
        <v>104</v>
      </c>
      <c r="H126" s="2" t="s">
        <v>105</v>
      </c>
      <c r="I126" s="2" t="s">
        <v>106</v>
      </c>
      <c r="J126" s="2" t="s">
        <v>107</v>
      </c>
      <c r="K126" s="2">
        <v>5</v>
      </c>
      <c r="L126" s="4">
        <v>14700</v>
      </c>
      <c r="M126" s="5">
        <v>0.05</v>
      </c>
      <c r="N126" s="4">
        <v>3675</v>
      </c>
      <c r="O126" s="4">
        <v>12568.5</v>
      </c>
      <c r="P126" s="4">
        <v>50</v>
      </c>
      <c r="Q126" s="4">
        <v>82443.5</v>
      </c>
      <c r="R126" s="2" t="s">
        <v>34</v>
      </c>
      <c r="S126" s="2" t="s">
        <v>35</v>
      </c>
      <c r="T126" s="2" t="s">
        <v>138</v>
      </c>
      <c r="U126" s="2" t="s">
        <v>62</v>
      </c>
      <c r="V126" s="2" t="s">
        <v>63</v>
      </c>
      <c r="W126" s="2">
        <v>10</v>
      </c>
      <c r="X126" s="2" t="s">
        <v>39</v>
      </c>
      <c r="Y126" s="2">
        <v>0</v>
      </c>
      <c r="Z126" s="2" t="s">
        <v>64</v>
      </c>
    </row>
    <row r="127" spans="1:26" x14ac:dyDescent="0.25">
      <c r="A127" s="2" t="s">
        <v>395</v>
      </c>
      <c r="B127" s="3">
        <v>46135</v>
      </c>
      <c r="C127" s="2" t="s">
        <v>396</v>
      </c>
      <c r="D127" s="2" t="s">
        <v>169</v>
      </c>
      <c r="E127" s="2" t="s">
        <v>44</v>
      </c>
      <c r="F127" s="2">
        <v>27</v>
      </c>
      <c r="G127" s="2" t="s">
        <v>78</v>
      </c>
      <c r="H127" s="2" t="s">
        <v>31</v>
      </c>
      <c r="I127" s="2" t="s">
        <v>79</v>
      </c>
      <c r="J127" s="2" t="s">
        <v>170</v>
      </c>
      <c r="K127" s="2">
        <v>4</v>
      </c>
      <c r="L127" s="4">
        <v>7900</v>
      </c>
      <c r="M127" s="5">
        <v>0.2</v>
      </c>
      <c r="N127" s="4">
        <v>6320</v>
      </c>
      <c r="O127" s="4">
        <v>3033.6</v>
      </c>
      <c r="P127" s="4">
        <v>250</v>
      </c>
      <c r="Q127" s="4">
        <v>28563.599999999999</v>
      </c>
      <c r="R127" s="2" t="s">
        <v>34</v>
      </c>
      <c r="S127" s="2" t="s">
        <v>133</v>
      </c>
      <c r="T127" s="2" t="s">
        <v>165</v>
      </c>
      <c r="U127" s="2" t="s">
        <v>166</v>
      </c>
      <c r="V127" s="2" t="s">
        <v>82</v>
      </c>
      <c r="W127" s="2">
        <v>1</v>
      </c>
      <c r="X127" s="2" t="s">
        <v>39</v>
      </c>
      <c r="Y127" s="2">
        <v>0</v>
      </c>
      <c r="Z127" s="2" t="s">
        <v>91</v>
      </c>
    </row>
    <row r="128" spans="1:26" x14ac:dyDescent="0.25">
      <c r="A128" s="2" t="s">
        <v>397</v>
      </c>
      <c r="B128" s="3">
        <v>46192</v>
      </c>
      <c r="C128" s="2" t="s">
        <v>398</v>
      </c>
      <c r="D128" s="2" t="s">
        <v>114</v>
      </c>
      <c r="E128" s="2" t="s">
        <v>44</v>
      </c>
      <c r="F128" s="2">
        <v>38</v>
      </c>
      <c r="G128" s="2" t="s">
        <v>125</v>
      </c>
      <c r="H128" s="2" t="s">
        <v>69</v>
      </c>
      <c r="I128" s="2" t="s">
        <v>126</v>
      </c>
      <c r="J128" s="2" t="s">
        <v>71</v>
      </c>
      <c r="K128" s="2">
        <v>5</v>
      </c>
      <c r="L128" s="4">
        <v>5300</v>
      </c>
      <c r="M128" s="5">
        <v>0.2</v>
      </c>
      <c r="N128" s="4">
        <v>5300</v>
      </c>
      <c r="O128" s="4">
        <v>2544</v>
      </c>
      <c r="P128" s="4">
        <v>200</v>
      </c>
      <c r="Q128" s="4">
        <v>23944</v>
      </c>
      <c r="R128" s="2" t="s">
        <v>88</v>
      </c>
      <c r="S128" s="2" t="s">
        <v>60</v>
      </c>
      <c r="T128" s="2" t="s">
        <v>80</v>
      </c>
      <c r="U128" s="2" t="s">
        <v>81</v>
      </c>
      <c r="V128" s="2" t="s">
        <v>82</v>
      </c>
      <c r="W128" s="2">
        <v>5</v>
      </c>
      <c r="X128" s="2" t="s">
        <v>39</v>
      </c>
      <c r="Y128" s="2">
        <v>4</v>
      </c>
      <c r="Z128" s="2" t="s">
        <v>40</v>
      </c>
    </row>
    <row r="129" spans="1:26" x14ac:dyDescent="0.25">
      <c r="A129" s="2" t="s">
        <v>399</v>
      </c>
      <c r="B129" s="3">
        <v>46264</v>
      </c>
      <c r="C129" s="2" t="s">
        <v>400</v>
      </c>
      <c r="D129" s="2" t="s">
        <v>240</v>
      </c>
      <c r="E129" s="2" t="s">
        <v>44</v>
      </c>
      <c r="F129" s="2">
        <v>63</v>
      </c>
      <c r="G129" s="2" t="s">
        <v>68</v>
      </c>
      <c r="H129" s="2" t="s">
        <v>69</v>
      </c>
      <c r="I129" s="2" t="s">
        <v>70</v>
      </c>
      <c r="J129" s="2" t="s">
        <v>225</v>
      </c>
      <c r="K129" s="2">
        <v>3</v>
      </c>
      <c r="L129" s="4">
        <v>26300</v>
      </c>
      <c r="M129" s="5">
        <v>0.1</v>
      </c>
      <c r="N129" s="4">
        <v>7890</v>
      </c>
      <c r="O129" s="4">
        <v>12781.8</v>
      </c>
      <c r="P129" s="4">
        <v>250</v>
      </c>
      <c r="Q129" s="4">
        <v>84041.8</v>
      </c>
      <c r="R129" s="2" t="s">
        <v>88</v>
      </c>
      <c r="S129" s="2" t="s">
        <v>60</v>
      </c>
      <c r="T129" s="2" t="s">
        <v>36</v>
      </c>
      <c r="U129" s="2" t="s">
        <v>37</v>
      </c>
      <c r="V129" s="2" t="s">
        <v>38</v>
      </c>
      <c r="W129" s="2">
        <v>5</v>
      </c>
      <c r="X129" s="2" t="s">
        <v>39</v>
      </c>
      <c r="Y129" s="2">
        <v>5</v>
      </c>
      <c r="Z129" s="2" t="s">
        <v>40</v>
      </c>
    </row>
    <row r="130" spans="1:26" x14ac:dyDescent="0.25">
      <c r="A130" s="2" t="s">
        <v>401</v>
      </c>
      <c r="B130" s="3">
        <v>46097</v>
      </c>
      <c r="C130" s="2" t="s">
        <v>402</v>
      </c>
      <c r="D130" s="2" t="s">
        <v>129</v>
      </c>
      <c r="E130" s="2" t="s">
        <v>44</v>
      </c>
      <c r="F130" s="2">
        <v>63</v>
      </c>
      <c r="G130" s="2" t="s">
        <v>142</v>
      </c>
      <c r="H130" s="2" t="s">
        <v>69</v>
      </c>
      <c r="I130" s="2" t="s">
        <v>143</v>
      </c>
      <c r="J130" s="2" t="s">
        <v>403</v>
      </c>
      <c r="K130" s="2">
        <v>4</v>
      </c>
      <c r="L130" s="4">
        <v>79100</v>
      </c>
      <c r="M130" s="5">
        <v>0.1</v>
      </c>
      <c r="N130" s="4">
        <v>31640</v>
      </c>
      <c r="O130" s="4">
        <v>51256.800000000003</v>
      </c>
      <c r="P130" s="4">
        <v>100</v>
      </c>
      <c r="Q130" s="4">
        <v>336116.8</v>
      </c>
      <c r="R130" s="2" t="s">
        <v>59</v>
      </c>
      <c r="S130" s="2" t="s">
        <v>133</v>
      </c>
      <c r="T130" s="2" t="s">
        <v>115</v>
      </c>
      <c r="U130" s="2" t="s">
        <v>62</v>
      </c>
      <c r="V130" s="2" t="s">
        <v>116</v>
      </c>
      <c r="W130" s="2">
        <v>4</v>
      </c>
      <c r="X130" s="2" t="s">
        <v>39</v>
      </c>
      <c r="Y130" s="2">
        <v>0</v>
      </c>
      <c r="Z130" s="2" t="s">
        <v>64</v>
      </c>
    </row>
    <row r="131" spans="1:26" x14ac:dyDescent="0.25">
      <c r="A131" s="2" t="s">
        <v>404</v>
      </c>
      <c r="B131" s="3">
        <v>46058</v>
      </c>
      <c r="C131" s="2" t="s">
        <v>244</v>
      </c>
      <c r="D131" s="2" t="s">
        <v>28</v>
      </c>
      <c r="E131" s="2" t="s">
        <v>29</v>
      </c>
      <c r="F131" s="2">
        <v>33</v>
      </c>
      <c r="G131" s="2" t="s">
        <v>99</v>
      </c>
      <c r="H131" s="2" t="s">
        <v>69</v>
      </c>
      <c r="I131" s="2" t="s">
        <v>100</v>
      </c>
      <c r="J131" s="2" t="s">
        <v>119</v>
      </c>
      <c r="K131" s="2">
        <v>2</v>
      </c>
      <c r="L131" s="4">
        <v>47600</v>
      </c>
      <c r="M131" s="5">
        <v>0</v>
      </c>
      <c r="N131" s="4">
        <v>0</v>
      </c>
      <c r="O131" s="4">
        <v>11424</v>
      </c>
      <c r="P131" s="4">
        <v>75</v>
      </c>
      <c r="Q131" s="4">
        <v>106699</v>
      </c>
      <c r="R131" s="2" t="s">
        <v>34</v>
      </c>
      <c r="S131" s="2" t="s">
        <v>89</v>
      </c>
      <c r="T131" s="2" t="s">
        <v>36</v>
      </c>
      <c r="U131" s="2" t="s">
        <v>37</v>
      </c>
      <c r="V131" s="2" t="s">
        <v>38</v>
      </c>
      <c r="W131" s="2">
        <v>8</v>
      </c>
      <c r="X131" s="2" t="s">
        <v>39</v>
      </c>
      <c r="Y131" s="2">
        <v>3</v>
      </c>
      <c r="Z131" s="2" t="s">
        <v>40</v>
      </c>
    </row>
    <row r="132" spans="1:26" x14ac:dyDescent="0.25">
      <c r="A132" s="2" t="s">
        <v>405</v>
      </c>
      <c r="B132" s="3">
        <v>46190</v>
      </c>
      <c r="C132" s="2" t="s">
        <v>406</v>
      </c>
      <c r="D132" s="2" t="s">
        <v>114</v>
      </c>
      <c r="E132" s="2" t="s">
        <v>44</v>
      </c>
      <c r="F132" s="2">
        <v>59</v>
      </c>
      <c r="G132" s="2" t="s">
        <v>68</v>
      </c>
      <c r="H132" s="2" t="s">
        <v>69</v>
      </c>
      <c r="I132" s="2" t="s">
        <v>70</v>
      </c>
      <c r="J132" s="2" t="s">
        <v>71</v>
      </c>
      <c r="K132" s="2">
        <v>3</v>
      </c>
      <c r="L132" s="4">
        <v>16400</v>
      </c>
      <c r="M132" s="5">
        <v>0.25</v>
      </c>
      <c r="N132" s="4">
        <v>12300</v>
      </c>
      <c r="O132" s="4">
        <v>1845</v>
      </c>
      <c r="P132" s="4">
        <v>250</v>
      </c>
      <c r="Q132" s="4">
        <v>38995</v>
      </c>
      <c r="R132" s="2" t="s">
        <v>34</v>
      </c>
      <c r="S132" s="2" t="s">
        <v>89</v>
      </c>
      <c r="T132" s="2" t="s">
        <v>95</v>
      </c>
      <c r="U132" s="2" t="s">
        <v>62</v>
      </c>
      <c r="V132" s="2" t="s">
        <v>63</v>
      </c>
      <c r="W132" s="2">
        <v>10</v>
      </c>
      <c r="X132" s="2" t="s">
        <v>39</v>
      </c>
      <c r="Y132" s="2">
        <v>5</v>
      </c>
      <c r="Z132" s="2" t="s">
        <v>40</v>
      </c>
    </row>
    <row r="133" spans="1:26" x14ac:dyDescent="0.25">
      <c r="A133" s="2" t="s">
        <v>407</v>
      </c>
      <c r="B133" s="3">
        <v>46248</v>
      </c>
      <c r="C133" s="2" t="s">
        <v>408</v>
      </c>
      <c r="D133" s="2" t="s">
        <v>210</v>
      </c>
      <c r="E133" s="2" t="s">
        <v>29</v>
      </c>
      <c r="F133" s="2">
        <v>43</v>
      </c>
      <c r="G133" s="2" t="s">
        <v>45</v>
      </c>
      <c r="H133" s="2" t="s">
        <v>31</v>
      </c>
      <c r="I133" s="2" t="s">
        <v>46</v>
      </c>
      <c r="J133" s="2" t="s">
        <v>190</v>
      </c>
      <c r="K133" s="2">
        <v>3</v>
      </c>
      <c r="L133" s="4">
        <v>1000</v>
      </c>
      <c r="M133" s="5">
        <v>0</v>
      </c>
      <c r="N133" s="4">
        <v>0</v>
      </c>
      <c r="O133" s="4">
        <v>360</v>
      </c>
      <c r="P133" s="4">
        <v>150</v>
      </c>
      <c r="Q133" s="4">
        <v>3510</v>
      </c>
      <c r="R133" s="2" t="s">
        <v>88</v>
      </c>
      <c r="S133" s="2" t="s">
        <v>89</v>
      </c>
      <c r="T133" s="2" t="s">
        <v>144</v>
      </c>
      <c r="U133" s="2" t="s">
        <v>145</v>
      </c>
      <c r="V133" s="2" t="s">
        <v>38</v>
      </c>
      <c r="W133" s="2">
        <v>2</v>
      </c>
      <c r="X133" s="2" t="s">
        <v>39</v>
      </c>
      <c r="Y133" s="2">
        <v>0</v>
      </c>
      <c r="Z133" s="2" t="s">
        <v>64</v>
      </c>
    </row>
    <row r="134" spans="1:26" x14ac:dyDescent="0.25">
      <c r="A134" s="2" t="s">
        <v>409</v>
      </c>
      <c r="B134" s="3">
        <v>46187</v>
      </c>
      <c r="C134" s="2" t="s">
        <v>410</v>
      </c>
      <c r="D134" s="2" t="s">
        <v>132</v>
      </c>
      <c r="E134" s="2" t="s">
        <v>44</v>
      </c>
      <c r="F134" s="2">
        <v>26</v>
      </c>
      <c r="G134" s="2" t="s">
        <v>104</v>
      </c>
      <c r="H134" s="2" t="s">
        <v>105</v>
      </c>
      <c r="I134" s="2" t="s">
        <v>106</v>
      </c>
      <c r="J134" s="2" t="s">
        <v>160</v>
      </c>
      <c r="K134" s="2">
        <v>3</v>
      </c>
      <c r="L134" s="4">
        <v>9900</v>
      </c>
      <c r="M134" s="5">
        <v>0</v>
      </c>
      <c r="N134" s="4">
        <v>0</v>
      </c>
      <c r="O134" s="4">
        <v>3564</v>
      </c>
      <c r="P134" s="4">
        <v>50</v>
      </c>
      <c r="Q134" s="4">
        <v>33314</v>
      </c>
      <c r="R134" s="2" t="s">
        <v>88</v>
      </c>
      <c r="S134" s="2" t="s">
        <v>60</v>
      </c>
      <c r="T134" s="2" t="s">
        <v>36</v>
      </c>
      <c r="U134" s="2" t="s">
        <v>37</v>
      </c>
      <c r="V134" s="2" t="s">
        <v>38</v>
      </c>
      <c r="W134" s="2">
        <v>8</v>
      </c>
      <c r="X134" s="2" t="s">
        <v>39</v>
      </c>
      <c r="Y134" s="2">
        <v>3</v>
      </c>
      <c r="Z134" s="2" t="s">
        <v>40</v>
      </c>
    </row>
    <row r="135" spans="1:26" x14ac:dyDescent="0.25">
      <c r="A135" s="2" t="s">
        <v>411</v>
      </c>
      <c r="B135" s="3">
        <v>46067</v>
      </c>
      <c r="C135" s="2" t="s">
        <v>412</v>
      </c>
      <c r="D135" s="2" t="s">
        <v>390</v>
      </c>
      <c r="E135" s="2" t="s">
        <v>44</v>
      </c>
      <c r="F135" s="2">
        <v>45</v>
      </c>
      <c r="G135" s="2" t="s">
        <v>104</v>
      </c>
      <c r="H135" s="2" t="s">
        <v>105</v>
      </c>
      <c r="I135" s="2" t="s">
        <v>106</v>
      </c>
      <c r="J135" s="2" t="s">
        <v>160</v>
      </c>
      <c r="K135" s="2">
        <v>1</v>
      </c>
      <c r="L135" s="4">
        <v>15200</v>
      </c>
      <c r="M135" s="5">
        <v>0.25</v>
      </c>
      <c r="N135" s="4">
        <v>3800</v>
      </c>
      <c r="O135" s="4">
        <v>570</v>
      </c>
      <c r="P135" s="4">
        <v>50</v>
      </c>
      <c r="Q135" s="4">
        <v>12020</v>
      </c>
      <c r="R135" s="2" t="s">
        <v>48</v>
      </c>
      <c r="S135" s="2" t="s">
        <v>133</v>
      </c>
      <c r="T135" s="2" t="s">
        <v>90</v>
      </c>
      <c r="U135" s="2" t="s">
        <v>62</v>
      </c>
      <c r="V135" s="2" t="s">
        <v>63</v>
      </c>
      <c r="W135" s="2">
        <v>8</v>
      </c>
      <c r="X135" s="2" t="s">
        <v>39</v>
      </c>
      <c r="Y135" s="2">
        <v>4</v>
      </c>
      <c r="Z135" s="2" t="s">
        <v>40</v>
      </c>
    </row>
    <row r="136" spans="1:26" x14ac:dyDescent="0.25">
      <c r="A136" s="2" t="s">
        <v>413</v>
      </c>
      <c r="B136" s="3">
        <v>46267</v>
      </c>
      <c r="C136" s="2" t="s">
        <v>180</v>
      </c>
      <c r="D136" s="2" t="s">
        <v>169</v>
      </c>
      <c r="E136" s="2" t="s">
        <v>44</v>
      </c>
      <c r="F136" s="2">
        <v>55</v>
      </c>
      <c r="G136" s="2" t="s">
        <v>55</v>
      </c>
      <c r="H136" s="2" t="s">
        <v>56</v>
      </c>
      <c r="I136" s="2" t="s">
        <v>57</v>
      </c>
      <c r="J136" s="2" t="s">
        <v>235</v>
      </c>
      <c r="K136" s="2">
        <v>1</v>
      </c>
      <c r="L136" s="4">
        <v>6800</v>
      </c>
      <c r="M136" s="5">
        <v>0.25</v>
      </c>
      <c r="N136" s="4">
        <v>1700</v>
      </c>
      <c r="O136" s="4">
        <v>612</v>
      </c>
      <c r="P136" s="4">
        <v>200</v>
      </c>
      <c r="Q136" s="4">
        <v>5912</v>
      </c>
      <c r="R136" s="2" t="s">
        <v>88</v>
      </c>
      <c r="S136" s="2" t="s">
        <v>60</v>
      </c>
      <c r="T136" s="2" t="s">
        <v>115</v>
      </c>
      <c r="U136" s="2" t="s">
        <v>62</v>
      </c>
      <c r="V136" s="2" t="s">
        <v>116</v>
      </c>
      <c r="W136" s="2">
        <v>1</v>
      </c>
      <c r="X136" s="2" t="s">
        <v>39</v>
      </c>
      <c r="Y136" s="2">
        <v>0</v>
      </c>
      <c r="Z136" s="2" t="s">
        <v>91</v>
      </c>
    </row>
    <row r="137" spans="1:26" x14ac:dyDescent="0.25">
      <c r="A137" s="2" t="s">
        <v>414</v>
      </c>
      <c r="B137" s="3">
        <v>46126</v>
      </c>
      <c r="C137" s="2" t="s">
        <v>66</v>
      </c>
      <c r="D137" s="2" t="s">
        <v>141</v>
      </c>
      <c r="E137" s="2" t="s">
        <v>44</v>
      </c>
      <c r="F137" s="2">
        <v>62</v>
      </c>
      <c r="G137" s="2" t="s">
        <v>142</v>
      </c>
      <c r="H137" s="2" t="s">
        <v>69</v>
      </c>
      <c r="I137" s="2" t="s">
        <v>143</v>
      </c>
      <c r="J137" s="2" t="s">
        <v>403</v>
      </c>
      <c r="K137" s="2">
        <v>3</v>
      </c>
      <c r="L137" s="4">
        <v>74900</v>
      </c>
      <c r="M137" s="5">
        <v>0.05</v>
      </c>
      <c r="N137" s="4">
        <v>11235</v>
      </c>
      <c r="O137" s="4">
        <v>10673.25</v>
      </c>
      <c r="P137" s="4">
        <v>50</v>
      </c>
      <c r="Q137" s="4">
        <v>224188.25</v>
      </c>
      <c r="R137" s="2" t="s">
        <v>59</v>
      </c>
      <c r="S137" s="2" t="s">
        <v>89</v>
      </c>
      <c r="T137" s="2" t="s">
        <v>73</v>
      </c>
      <c r="U137" s="2" t="s">
        <v>74</v>
      </c>
      <c r="V137" s="2" t="s">
        <v>50</v>
      </c>
      <c r="W137" s="2">
        <v>3</v>
      </c>
      <c r="X137" s="2" t="s">
        <v>51</v>
      </c>
      <c r="Y137" s="2">
        <v>4</v>
      </c>
      <c r="Z137" s="2" t="s">
        <v>40</v>
      </c>
    </row>
    <row r="138" spans="1:26" x14ac:dyDescent="0.25">
      <c r="A138" s="2" t="s">
        <v>415</v>
      </c>
      <c r="B138" s="3">
        <v>46216</v>
      </c>
      <c r="C138" s="2" t="s">
        <v>416</v>
      </c>
      <c r="D138" s="2" t="s">
        <v>132</v>
      </c>
      <c r="E138" s="2" t="s">
        <v>29</v>
      </c>
      <c r="F138" s="2">
        <v>33</v>
      </c>
      <c r="G138" s="2" t="s">
        <v>86</v>
      </c>
      <c r="H138" s="2" t="s">
        <v>56</v>
      </c>
      <c r="I138" s="2" t="s">
        <v>57</v>
      </c>
      <c r="J138" s="2" t="s">
        <v>58</v>
      </c>
      <c r="K138" s="2">
        <v>1</v>
      </c>
      <c r="L138" s="4">
        <v>5100</v>
      </c>
      <c r="M138" s="5">
        <v>0.15</v>
      </c>
      <c r="N138" s="4">
        <v>765</v>
      </c>
      <c r="O138" s="4">
        <v>780.3</v>
      </c>
      <c r="P138" s="4">
        <v>200</v>
      </c>
      <c r="Q138" s="4">
        <v>5315.3</v>
      </c>
      <c r="R138" s="2" t="s">
        <v>72</v>
      </c>
      <c r="S138" s="2" t="s">
        <v>60</v>
      </c>
      <c r="T138" s="2" t="s">
        <v>49</v>
      </c>
      <c r="U138" s="2" t="s">
        <v>49</v>
      </c>
      <c r="V138" s="2" t="s">
        <v>50</v>
      </c>
      <c r="W138" s="2">
        <v>2</v>
      </c>
      <c r="X138" s="2" t="s">
        <v>39</v>
      </c>
      <c r="Y138" s="2">
        <v>0</v>
      </c>
      <c r="Z138" s="2" t="s">
        <v>64</v>
      </c>
    </row>
    <row r="139" spans="1:26" x14ac:dyDescent="0.25">
      <c r="A139" s="2" t="s">
        <v>417</v>
      </c>
      <c r="B139" s="3">
        <v>46169</v>
      </c>
      <c r="C139" s="2" t="s">
        <v>252</v>
      </c>
      <c r="D139" s="2" t="s">
        <v>132</v>
      </c>
      <c r="E139" s="2" t="s">
        <v>29</v>
      </c>
      <c r="F139" s="2">
        <v>28</v>
      </c>
      <c r="G139" s="2" t="s">
        <v>177</v>
      </c>
      <c r="H139" s="2" t="s">
        <v>31</v>
      </c>
      <c r="I139" s="2" t="s">
        <v>32</v>
      </c>
      <c r="J139" s="2" t="s">
        <v>280</v>
      </c>
      <c r="K139" s="2">
        <v>1</v>
      </c>
      <c r="L139" s="4">
        <v>2500</v>
      </c>
      <c r="M139" s="5">
        <v>0.25</v>
      </c>
      <c r="N139" s="4">
        <v>625</v>
      </c>
      <c r="O139" s="4">
        <v>337.5</v>
      </c>
      <c r="P139" s="4">
        <v>100</v>
      </c>
      <c r="Q139" s="4">
        <v>2312.5</v>
      </c>
      <c r="R139" s="2" t="s">
        <v>48</v>
      </c>
      <c r="S139" s="2" t="s">
        <v>35</v>
      </c>
      <c r="T139" s="2" t="s">
        <v>95</v>
      </c>
      <c r="U139" s="2" t="s">
        <v>62</v>
      </c>
      <c r="V139" s="2" t="s">
        <v>63</v>
      </c>
      <c r="W139" s="2">
        <v>9</v>
      </c>
      <c r="X139" s="2" t="s">
        <v>39</v>
      </c>
      <c r="Y139" s="2">
        <v>4</v>
      </c>
      <c r="Z139" s="2" t="s">
        <v>40</v>
      </c>
    </row>
    <row r="140" spans="1:26" x14ac:dyDescent="0.25">
      <c r="A140" s="2" t="s">
        <v>418</v>
      </c>
      <c r="B140" s="3">
        <v>46166</v>
      </c>
      <c r="C140" s="2" t="s">
        <v>419</v>
      </c>
      <c r="D140" s="2" t="s">
        <v>98</v>
      </c>
      <c r="E140" s="2" t="s">
        <v>44</v>
      </c>
      <c r="F140" s="2">
        <v>64</v>
      </c>
      <c r="G140" s="2" t="s">
        <v>99</v>
      </c>
      <c r="H140" s="2" t="s">
        <v>69</v>
      </c>
      <c r="I140" s="2" t="s">
        <v>100</v>
      </c>
      <c r="J140" s="2" t="s">
        <v>218</v>
      </c>
      <c r="K140" s="2">
        <v>3</v>
      </c>
      <c r="L140" s="4">
        <v>86800</v>
      </c>
      <c r="M140" s="5">
        <v>0</v>
      </c>
      <c r="N140" s="4">
        <v>0</v>
      </c>
      <c r="O140" s="4">
        <v>46872</v>
      </c>
      <c r="P140" s="4">
        <v>50</v>
      </c>
      <c r="Q140" s="4">
        <v>307322</v>
      </c>
      <c r="R140" s="2" t="s">
        <v>72</v>
      </c>
      <c r="S140" s="2" t="s">
        <v>89</v>
      </c>
      <c r="T140" s="2" t="s">
        <v>144</v>
      </c>
      <c r="U140" s="2" t="s">
        <v>145</v>
      </c>
      <c r="V140" s="2" t="s">
        <v>38</v>
      </c>
      <c r="W140" s="2">
        <v>2</v>
      </c>
      <c r="X140" s="2" t="s">
        <v>39</v>
      </c>
      <c r="Y140" s="2">
        <v>3</v>
      </c>
      <c r="Z140" s="2" t="s">
        <v>40</v>
      </c>
    </row>
    <row r="141" spans="1:26" x14ac:dyDescent="0.25">
      <c r="A141" s="2" t="s">
        <v>420</v>
      </c>
      <c r="B141" s="3">
        <v>46031</v>
      </c>
      <c r="C141" s="2" t="s">
        <v>421</v>
      </c>
      <c r="D141" s="2" t="s">
        <v>240</v>
      </c>
      <c r="E141" s="2" t="s">
        <v>44</v>
      </c>
      <c r="F141" s="2">
        <v>29</v>
      </c>
      <c r="G141" s="2" t="s">
        <v>125</v>
      </c>
      <c r="H141" s="2" t="s">
        <v>69</v>
      </c>
      <c r="I141" s="2" t="s">
        <v>126</v>
      </c>
      <c r="J141" s="2" t="s">
        <v>71</v>
      </c>
      <c r="K141" s="2">
        <v>3</v>
      </c>
      <c r="L141" s="4">
        <v>5800</v>
      </c>
      <c r="M141" s="5">
        <v>0.15</v>
      </c>
      <c r="N141" s="4">
        <v>2610</v>
      </c>
      <c r="O141" s="4">
        <v>1774.8</v>
      </c>
      <c r="P141" s="4">
        <v>100</v>
      </c>
      <c r="Q141" s="4">
        <v>16664.8</v>
      </c>
      <c r="R141" s="2" t="s">
        <v>48</v>
      </c>
      <c r="S141" s="2" t="s">
        <v>60</v>
      </c>
      <c r="T141" s="2" t="s">
        <v>95</v>
      </c>
      <c r="U141" s="2" t="s">
        <v>62</v>
      </c>
      <c r="V141" s="2" t="s">
        <v>63</v>
      </c>
      <c r="W141" s="2">
        <v>9</v>
      </c>
      <c r="X141" s="2" t="s">
        <v>122</v>
      </c>
      <c r="Y141" s="2">
        <v>4</v>
      </c>
      <c r="Z141" s="2" t="s">
        <v>40</v>
      </c>
    </row>
    <row r="142" spans="1:26" x14ac:dyDescent="0.25">
      <c r="A142" s="2" t="s">
        <v>422</v>
      </c>
      <c r="B142" s="3">
        <v>46209</v>
      </c>
      <c r="C142" s="2" t="s">
        <v>97</v>
      </c>
      <c r="D142" s="2" t="s">
        <v>77</v>
      </c>
      <c r="E142" s="2" t="s">
        <v>29</v>
      </c>
      <c r="F142" s="2">
        <v>19</v>
      </c>
      <c r="G142" s="2" t="s">
        <v>30</v>
      </c>
      <c r="H142" s="2" t="s">
        <v>31</v>
      </c>
      <c r="I142" s="2" t="s">
        <v>32</v>
      </c>
      <c r="J142" s="2" t="s">
        <v>269</v>
      </c>
      <c r="K142" s="2">
        <v>5</v>
      </c>
      <c r="L142" s="4">
        <v>1800</v>
      </c>
      <c r="M142" s="5">
        <v>0.2</v>
      </c>
      <c r="N142" s="4">
        <v>1800</v>
      </c>
      <c r="O142" s="4">
        <v>864</v>
      </c>
      <c r="P142" s="4">
        <v>250</v>
      </c>
      <c r="Q142" s="4">
        <v>8314</v>
      </c>
      <c r="R142" s="2" t="s">
        <v>72</v>
      </c>
      <c r="S142" s="2" t="s">
        <v>35</v>
      </c>
      <c r="T142" s="2" t="s">
        <v>115</v>
      </c>
      <c r="U142" s="2" t="s">
        <v>62</v>
      </c>
      <c r="V142" s="2" t="s">
        <v>116</v>
      </c>
      <c r="W142" s="2">
        <v>4</v>
      </c>
      <c r="X142" s="2" t="s">
        <v>39</v>
      </c>
      <c r="Y142" s="2">
        <v>4</v>
      </c>
      <c r="Z142" s="2" t="s">
        <v>40</v>
      </c>
    </row>
    <row r="143" spans="1:26" x14ac:dyDescent="0.25">
      <c r="A143" s="2" t="s">
        <v>423</v>
      </c>
      <c r="B143" s="3">
        <v>46230</v>
      </c>
      <c r="C143" s="2" t="s">
        <v>424</v>
      </c>
      <c r="D143" s="2" t="s">
        <v>163</v>
      </c>
      <c r="E143" s="2" t="s">
        <v>29</v>
      </c>
      <c r="F143" s="2">
        <v>33</v>
      </c>
      <c r="G143" s="2" t="s">
        <v>68</v>
      </c>
      <c r="H143" s="2" t="s">
        <v>69</v>
      </c>
      <c r="I143" s="2" t="s">
        <v>70</v>
      </c>
      <c r="J143" s="2" t="s">
        <v>110</v>
      </c>
      <c r="K143" s="2">
        <v>1</v>
      </c>
      <c r="L143" s="4">
        <v>32200</v>
      </c>
      <c r="M143" s="5">
        <v>0</v>
      </c>
      <c r="N143" s="4">
        <v>0</v>
      </c>
      <c r="O143" s="4">
        <v>3864</v>
      </c>
      <c r="P143" s="4">
        <v>150</v>
      </c>
      <c r="Q143" s="4">
        <v>36214</v>
      </c>
      <c r="R143" s="2" t="s">
        <v>34</v>
      </c>
      <c r="S143" s="2" t="s">
        <v>35</v>
      </c>
      <c r="T143" s="2" t="s">
        <v>120</v>
      </c>
      <c r="U143" s="2" t="s">
        <v>121</v>
      </c>
      <c r="V143" s="2" t="s">
        <v>38</v>
      </c>
      <c r="W143" s="2">
        <v>1</v>
      </c>
      <c r="X143" s="2" t="s">
        <v>39</v>
      </c>
      <c r="Y143" s="2">
        <v>4</v>
      </c>
      <c r="Z143" s="2" t="s">
        <v>40</v>
      </c>
    </row>
    <row r="144" spans="1:26" x14ac:dyDescent="0.25">
      <c r="A144" s="2" t="s">
        <v>425</v>
      </c>
      <c r="B144" s="3">
        <v>46058</v>
      </c>
      <c r="C144" s="2" t="s">
        <v>426</v>
      </c>
      <c r="D144" s="2" t="s">
        <v>141</v>
      </c>
      <c r="E144" s="2" t="s">
        <v>44</v>
      </c>
      <c r="F144" s="2">
        <v>32</v>
      </c>
      <c r="G144" s="2" t="s">
        <v>55</v>
      </c>
      <c r="H144" s="2" t="s">
        <v>56</v>
      </c>
      <c r="I144" s="2" t="s">
        <v>57</v>
      </c>
      <c r="J144" s="2" t="s">
        <v>235</v>
      </c>
      <c r="K144" s="2">
        <v>3</v>
      </c>
      <c r="L144" s="4">
        <v>10800</v>
      </c>
      <c r="M144" s="5">
        <v>0.2</v>
      </c>
      <c r="N144" s="4">
        <v>6480</v>
      </c>
      <c r="O144" s="4">
        <v>4665.6000000000004</v>
      </c>
      <c r="P144" s="4">
        <v>250</v>
      </c>
      <c r="Q144" s="4">
        <v>30835.599999999999</v>
      </c>
      <c r="R144" s="2" t="s">
        <v>48</v>
      </c>
      <c r="S144" s="2" t="s">
        <v>133</v>
      </c>
      <c r="T144" s="2" t="s">
        <v>49</v>
      </c>
      <c r="U144" s="2" t="s">
        <v>49</v>
      </c>
      <c r="V144" s="2" t="s">
        <v>50</v>
      </c>
      <c r="W144" s="2">
        <v>4</v>
      </c>
      <c r="X144" s="2" t="s">
        <v>39</v>
      </c>
      <c r="Y144" s="2">
        <v>5</v>
      </c>
      <c r="Z144" s="2" t="s">
        <v>40</v>
      </c>
    </row>
    <row r="145" spans="1:26" x14ac:dyDescent="0.25">
      <c r="A145" s="2" t="s">
        <v>427</v>
      </c>
      <c r="B145" s="3">
        <v>46093</v>
      </c>
      <c r="C145" s="2" t="s">
        <v>378</v>
      </c>
      <c r="D145" s="2" t="s">
        <v>129</v>
      </c>
      <c r="E145" s="2" t="s">
        <v>29</v>
      </c>
      <c r="F145" s="2">
        <v>58</v>
      </c>
      <c r="G145" s="2" t="s">
        <v>86</v>
      </c>
      <c r="H145" s="2" t="s">
        <v>56</v>
      </c>
      <c r="I145" s="2" t="s">
        <v>57</v>
      </c>
      <c r="J145" s="2" t="s">
        <v>87</v>
      </c>
      <c r="K145" s="2">
        <v>5</v>
      </c>
      <c r="L145" s="4">
        <v>4900</v>
      </c>
      <c r="M145" s="5">
        <v>0</v>
      </c>
      <c r="N145" s="4">
        <v>0</v>
      </c>
      <c r="O145" s="4">
        <v>2940</v>
      </c>
      <c r="P145" s="4">
        <v>200</v>
      </c>
      <c r="Q145" s="4">
        <v>27640</v>
      </c>
      <c r="R145" s="2" t="s">
        <v>48</v>
      </c>
      <c r="S145" s="2" t="s">
        <v>89</v>
      </c>
      <c r="T145" s="2" t="s">
        <v>120</v>
      </c>
      <c r="U145" s="2" t="s">
        <v>121</v>
      </c>
      <c r="V145" s="2" t="s">
        <v>38</v>
      </c>
      <c r="W145" s="2">
        <v>7</v>
      </c>
      <c r="X145" s="2" t="s">
        <v>39</v>
      </c>
      <c r="Y145" s="2">
        <v>0</v>
      </c>
      <c r="Z145" s="2" t="s">
        <v>91</v>
      </c>
    </row>
    <row r="146" spans="1:26" x14ac:dyDescent="0.25">
      <c r="A146" s="2" t="s">
        <v>428</v>
      </c>
      <c r="B146" s="3">
        <v>46061</v>
      </c>
      <c r="C146" s="2" t="s">
        <v>429</v>
      </c>
      <c r="D146" s="2" t="s">
        <v>240</v>
      </c>
      <c r="E146" s="2" t="s">
        <v>44</v>
      </c>
      <c r="F146" s="2">
        <v>29</v>
      </c>
      <c r="G146" s="2" t="s">
        <v>104</v>
      </c>
      <c r="H146" s="2" t="s">
        <v>105</v>
      </c>
      <c r="I146" s="2" t="s">
        <v>106</v>
      </c>
      <c r="J146" s="2" t="s">
        <v>160</v>
      </c>
      <c r="K146" s="2">
        <v>2</v>
      </c>
      <c r="L146" s="4">
        <v>10700</v>
      </c>
      <c r="M146" s="5">
        <v>0.1</v>
      </c>
      <c r="N146" s="4">
        <v>2140</v>
      </c>
      <c r="O146" s="4">
        <v>3466.8</v>
      </c>
      <c r="P146" s="4">
        <v>50</v>
      </c>
      <c r="Q146" s="4">
        <v>22776.799999999999</v>
      </c>
      <c r="R146" s="2" t="s">
        <v>48</v>
      </c>
      <c r="S146" s="2" t="s">
        <v>89</v>
      </c>
      <c r="T146" s="2" t="s">
        <v>80</v>
      </c>
      <c r="U146" s="2" t="s">
        <v>81</v>
      </c>
      <c r="V146" s="2" t="s">
        <v>82</v>
      </c>
      <c r="W146" s="2">
        <v>8</v>
      </c>
      <c r="X146" s="2" t="s">
        <v>39</v>
      </c>
      <c r="Y146" s="2">
        <v>0</v>
      </c>
      <c r="Z146" s="2" t="s">
        <v>64</v>
      </c>
    </row>
    <row r="147" spans="1:26" x14ac:dyDescent="0.25">
      <c r="A147" s="2" t="s">
        <v>430</v>
      </c>
      <c r="B147" s="3">
        <v>46165</v>
      </c>
      <c r="C147" s="2" t="s">
        <v>76</v>
      </c>
      <c r="D147" s="2" t="s">
        <v>141</v>
      </c>
      <c r="E147" s="2" t="s">
        <v>29</v>
      </c>
      <c r="F147" s="2">
        <v>42</v>
      </c>
      <c r="G147" s="2" t="s">
        <v>68</v>
      </c>
      <c r="H147" s="2" t="s">
        <v>69</v>
      </c>
      <c r="I147" s="2" t="s">
        <v>70</v>
      </c>
      <c r="J147" s="2" t="s">
        <v>71</v>
      </c>
      <c r="K147" s="2">
        <v>2</v>
      </c>
      <c r="L147" s="4">
        <v>18700</v>
      </c>
      <c r="M147" s="5">
        <v>0.25</v>
      </c>
      <c r="N147" s="4">
        <v>9350</v>
      </c>
      <c r="O147" s="4">
        <v>1402.5</v>
      </c>
      <c r="P147" s="4">
        <v>100</v>
      </c>
      <c r="Q147" s="4">
        <v>29552.5</v>
      </c>
      <c r="R147" s="2" t="s">
        <v>48</v>
      </c>
      <c r="S147" s="2" t="s">
        <v>35</v>
      </c>
      <c r="T147" s="2" t="s">
        <v>165</v>
      </c>
      <c r="U147" s="2" t="s">
        <v>166</v>
      </c>
      <c r="V147" s="2" t="s">
        <v>82</v>
      </c>
      <c r="W147" s="2">
        <v>6</v>
      </c>
      <c r="X147" s="2" t="s">
        <v>39</v>
      </c>
      <c r="Y147" s="2">
        <v>4</v>
      </c>
      <c r="Z147" s="2" t="s">
        <v>40</v>
      </c>
    </row>
    <row r="148" spans="1:26" x14ac:dyDescent="0.25">
      <c r="A148" s="2" t="s">
        <v>431</v>
      </c>
      <c r="B148" s="3">
        <v>46246</v>
      </c>
      <c r="C148" s="2" t="s">
        <v>432</v>
      </c>
      <c r="D148" s="2" t="s">
        <v>67</v>
      </c>
      <c r="E148" s="2" t="s">
        <v>29</v>
      </c>
      <c r="F148" s="2">
        <v>55</v>
      </c>
      <c r="G148" s="2" t="s">
        <v>55</v>
      </c>
      <c r="H148" s="2" t="s">
        <v>56</v>
      </c>
      <c r="I148" s="2" t="s">
        <v>57</v>
      </c>
      <c r="J148" s="2" t="s">
        <v>235</v>
      </c>
      <c r="K148" s="2">
        <v>5</v>
      </c>
      <c r="L148" s="4">
        <v>6200</v>
      </c>
      <c r="M148" s="5">
        <v>0.15</v>
      </c>
      <c r="N148" s="4">
        <v>4650</v>
      </c>
      <c r="O148" s="4">
        <v>1317.5</v>
      </c>
      <c r="P148" s="4">
        <v>250</v>
      </c>
      <c r="Q148" s="4">
        <v>27917.5</v>
      </c>
      <c r="R148" s="2" t="s">
        <v>72</v>
      </c>
      <c r="S148" s="2" t="s">
        <v>89</v>
      </c>
      <c r="T148" s="2" t="s">
        <v>173</v>
      </c>
      <c r="U148" s="2" t="s">
        <v>174</v>
      </c>
      <c r="V148" s="2" t="s">
        <v>82</v>
      </c>
      <c r="W148" s="2">
        <v>6</v>
      </c>
      <c r="X148" s="2" t="s">
        <v>122</v>
      </c>
      <c r="Y148" s="2">
        <v>4</v>
      </c>
      <c r="Z148" s="2" t="s">
        <v>40</v>
      </c>
    </row>
    <row r="149" spans="1:26" x14ac:dyDescent="0.25">
      <c r="A149" s="2" t="s">
        <v>433</v>
      </c>
      <c r="B149" s="3">
        <v>46257</v>
      </c>
      <c r="C149" s="2" t="s">
        <v>434</v>
      </c>
      <c r="D149" s="2" t="s">
        <v>77</v>
      </c>
      <c r="E149" s="2" t="s">
        <v>29</v>
      </c>
      <c r="F149" s="2">
        <v>43</v>
      </c>
      <c r="G149" s="2" t="s">
        <v>68</v>
      </c>
      <c r="H149" s="2" t="s">
        <v>69</v>
      </c>
      <c r="I149" s="2" t="s">
        <v>70</v>
      </c>
      <c r="J149" s="2" t="s">
        <v>71</v>
      </c>
      <c r="K149" s="2">
        <v>3</v>
      </c>
      <c r="L149" s="4">
        <v>21200</v>
      </c>
      <c r="M149" s="5">
        <v>0.15</v>
      </c>
      <c r="N149" s="4">
        <v>9540</v>
      </c>
      <c r="O149" s="4">
        <v>9730.7999999999993</v>
      </c>
      <c r="P149" s="4">
        <v>200</v>
      </c>
      <c r="Q149" s="4">
        <v>63990.8</v>
      </c>
      <c r="R149" s="2" t="s">
        <v>48</v>
      </c>
      <c r="S149" s="2" t="s">
        <v>133</v>
      </c>
      <c r="T149" s="2" t="s">
        <v>49</v>
      </c>
      <c r="U149" s="2" t="s">
        <v>49</v>
      </c>
      <c r="V149" s="2" t="s">
        <v>50</v>
      </c>
      <c r="W149" s="2">
        <v>5</v>
      </c>
      <c r="X149" s="2" t="s">
        <v>39</v>
      </c>
      <c r="Y149" s="2">
        <v>5</v>
      </c>
      <c r="Z149" s="2" t="s">
        <v>40</v>
      </c>
    </row>
    <row r="150" spans="1:26" x14ac:dyDescent="0.25">
      <c r="A150" s="2" t="s">
        <v>435</v>
      </c>
      <c r="B150" s="3">
        <v>46257</v>
      </c>
      <c r="C150" s="2" t="s">
        <v>436</v>
      </c>
      <c r="D150" s="2" t="s">
        <v>43</v>
      </c>
      <c r="E150" s="2" t="s">
        <v>44</v>
      </c>
      <c r="F150" s="2">
        <v>38</v>
      </c>
      <c r="G150" s="2" t="s">
        <v>78</v>
      </c>
      <c r="H150" s="2" t="s">
        <v>31</v>
      </c>
      <c r="I150" s="2" t="s">
        <v>79</v>
      </c>
      <c r="J150" s="2" t="s">
        <v>204</v>
      </c>
      <c r="K150" s="2">
        <v>5</v>
      </c>
      <c r="L150" s="4">
        <v>4300</v>
      </c>
      <c r="M150" s="5">
        <v>0.25</v>
      </c>
      <c r="N150" s="4">
        <v>5375</v>
      </c>
      <c r="O150" s="4">
        <v>806.25</v>
      </c>
      <c r="P150" s="4">
        <v>0</v>
      </c>
      <c r="Q150" s="4">
        <v>16931.25</v>
      </c>
      <c r="R150" s="2" t="s">
        <v>48</v>
      </c>
      <c r="S150" s="2" t="s">
        <v>133</v>
      </c>
      <c r="T150" s="2" t="s">
        <v>61</v>
      </c>
      <c r="U150" s="2" t="s">
        <v>62</v>
      </c>
      <c r="V150" s="2" t="s">
        <v>63</v>
      </c>
      <c r="W150" s="2">
        <v>9</v>
      </c>
      <c r="X150" s="2" t="s">
        <v>39</v>
      </c>
      <c r="Y150" s="2">
        <v>0</v>
      </c>
      <c r="Z150" s="2" t="s">
        <v>64</v>
      </c>
    </row>
    <row r="151" spans="1:26" x14ac:dyDescent="0.25">
      <c r="A151" s="2" t="s">
        <v>437</v>
      </c>
      <c r="B151" s="3">
        <v>46062</v>
      </c>
      <c r="C151" s="2" t="s">
        <v>438</v>
      </c>
      <c r="D151" s="2" t="s">
        <v>43</v>
      </c>
      <c r="E151" s="2" t="s">
        <v>44</v>
      </c>
      <c r="F151" s="2">
        <v>32</v>
      </c>
      <c r="G151" s="2" t="s">
        <v>78</v>
      </c>
      <c r="H151" s="2" t="s">
        <v>31</v>
      </c>
      <c r="I151" s="2" t="s">
        <v>79</v>
      </c>
      <c r="J151" s="2" t="s">
        <v>170</v>
      </c>
      <c r="K151" s="2">
        <v>4</v>
      </c>
      <c r="L151" s="4">
        <v>5800</v>
      </c>
      <c r="M151" s="5">
        <v>0.1</v>
      </c>
      <c r="N151" s="4">
        <v>2320</v>
      </c>
      <c r="O151" s="4">
        <v>2505.6</v>
      </c>
      <c r="P151" s="4">
        <v>200</v>
      </c>
      <c r="Q151" s="4">
        <v>23585.599999999999</v>
      </c>
      <c r="R151" s="2" t="s">
        <v>59</v>
      </c>
      <c r="S151" s="2" t="s">
        <v>89</v>
      </c>
      <c r="T151" s="2" t="s">
        <v>120</v>
      </c>
      <c r="U151" s="2" t="s">
        <v>121</v>
      </c>
      <c r="V151" s="2" t="s">
        <v>38</v>
      </c>
      <c r="W151" s="2">
        <v>8</v>
      </c>
      <c r="X151" s="2" t="s">
        <v>39</v>
      </c>
      <c r="Y151" s="2">
        <v>4</v>
      </c>
      <c r="Z151" s="2" t="s">
        <v>40</v>
      </c>
    </row>
    <row r="152" spans="1:26" x14ac:dyDescent="0.25">
      <c r="A152" s="2" t="s">
        <v>439</v>
      </c>
      <c r="B152" s="3">
        <v>46070</v>
      </c>
      <c r="C152" s="2" t="s">
        <v>440</v>
      </c>
      <c r="D152" s="2" t="s">
        <v>132</v>
      </c>
      <c r="E152" s="2" t="s">
        <v>29</v>
      </c>
      <c r="F152" s="2">
        <v>51</v>
      </c>
      <c r="G152" s="2" t="s">
        <v>99</v>
      </c>
      <c r="H152" s="2" t="s">
        <v>69</v>
      </c>
      <c r="I152" s="2" t="s">
        <v>100</v>
      </c>
      <c r="J152" s="2" t="s">
        <v>101</v>
      </c>
      <c r="K152" s="2">
        <v>1</v>
      </c>
      <c r="L152" s="4">
        <v>84100</v>
      </c>
      <c r="M152" s="5">
        <v>0</v>
      </c>
      <c r="N152" s="4">
        <v>0</v>
      </c>
      <c r="O152" s="4">
        <v>10092</v>
      </c>
      <c r="P152" s="4">
        <v>50</v>
      </c>
      <c r="Q152" s="4">
        <v>94242</v>
      </c>
      <c r="R152" s="2" t="s">
        <v>88</v>
      </c>
      <c r="S152" s="2" t="s">
        <v>35</v>
      </c>
      <c r="T152" s="2" t="s">
        <v>165</v>
      </c>
      <c r="U152" s="2" t="s">
        <v>166</v>
      </c>
      <c r="V152" s="2" t="s">
        <v>82</v>
      </c>
      <c r="W152" s="2">
        <v>4</v>
      </c>
      <c r="X152" s="2" t="s">
        <v>39</v>
      </c>
      <c r="Y152" s="2">
        <v>4</v>
      </c>
      <c r="Z152" s="2" t="s">
        <v>40</v>
      </c>
    </row>
    <row r="153" spans="1:26" x14ac:dyDescent="0.25">
      <c r="A153" s="2" t="s">
        <v>441</v>
      </c>
      <c r="B153" s="3">
        <v>46181</v>
      </c>
      <c r="C153" s="2" t="s">
        <v>442</v>
      </c>
      <c r="D153" s="2" t="s">
        <v>390</v>
      </c>
      <c r="E153" s="2" t="s">
        <v>44</v>
      </c>
      <c r="F153" s="2">
        <v>60</v>
      </c>
      <c r="G153" s="2" t="s">
        <v>45</v>
      </c>
      <c r="H153" s="2" t="s">
        <v>31</v>
      </c>
      <c r="I153" s="2" t="s">
        <v>46</v>
      </c>
      <c r="J153" s="2" t="s">
        <v>190</v>
      </c>
      <c r="K153" s="2">
        <v>1</v>
      </c>
      <c r="L153" s="4">
        <v>4200</v>
      </c>
      <c r="M153" s="5">
        <v>0.2</v>
      </c>
      <c r="N153" s="4">
        <v>840</v>
      </c>
      <c r="O153" s="4">
        <v>403.2</v>
      </c>
      <c r="P153" s="4">
        <v>0</v>
      </c>
      <c r="Q153" s="4">
        <v>3763.2</v>
      </c>
      <c r="R153" s="2" t="s">
        <v>88</v>
      </c>
      <c r="S153" s="2" t="s">
        <v>35</v>
      </c>
      <c r="T153" s="2" t="s">
        <v>138</v>
      </c>
      <c r="U153" s="2" t="s">
        <v>62</v>
      </c>
      <c r="V153" s="2" t="s">
        <v>63</v>
      </c>
      <c r="W153" s="2">
        <v>9</v>
      </c>
      <c r="X153" s="2" t="s">
        <v>39</v>
      </c>
      <c r="Y153" s="2">
        <v>0</v>
      </c>
      <c r="Z153" s="2" t="s">
        <v>91</v>
      </c>
    </row>
    <row r="154" spans="1:26" x14ac:dyDescent="0.25">
      <c r="A154" s="2" t="s">
        <v>443</v>
      </c>
      <c r="B154" s="3">
        <v>46151</v>
      </c>
      <c r="C154" s="2" t="s">
        <v>444</v>
      </c>
      <c r="D154" s="2" t="s">
        <v>163</v>
      </c>
      <c r="E154" s="2" t="s">
        <v>29</v>
      </c>
      <c r="F154" s="2">
        <v>24</v>
      </c>
      <c r="G154" s="2" t="s">
        <v>142</v>
      </c>
      <c r="H154" s="2" t="s">
        <v>69</v>
      </c>
      <c r="I154" s="2" t="s">
        <v>143</v>
      </c>
      <c r="J154" s="2" t="s">
        <v>110</v>
      </c>
      <c r="K154" s="2">
        <v>2</v>
      </c>
      <c r="L154" s="4">
        <v>31600</v>
      </c>
      <c r="M154" s="5">
        <v>0.2</v>
      </c>
      <c r="N154" s="4">
        <v>12640</v>
      </c>
      <c r="O154" s="4">
        <v>9100.7999999999993</v>
      </c>
      <c r="P154" s="4">
        <v>75</v>
      </c>
      <c r="Q154" s="4">
        <v>59735.8</v>
      </c>
      <c r="R154" s="2" t="s">
        <v>48</v>
      </c>
      <c r="S154" s="2" t="s">
        <v>60</v>
      </c>
      <c r="T154" s="2" t="s">
        <v>165</v>
      </c>
      <c r="U154" s="2" t="s">
        <v>166</v>
      </c>
      <c r="V154" s="2" t="s">
        <v>82</v>
      </c>
      <c r="W154" s="2">
        <v>6</v>
      </c>
      <c r="X154" s="2" t="s">
        <v>39</v>
      </c>
      <c r="Y154" s="2">
        <v>4</v>
      </c>
      <c r="Z154" s="2" t="s">
        <v>40</v>
      </c>
    </row>
    <row r="155" spans="1:26" x14ac:dyDescent="0.25">
      <c r="A155" s="2" t="s">
        <v>445</v>
      </c>
      <c r="B155" s="3">
        <v>46201</v>
      </c>
      <c r="C155" s="2" t="s">
        <v>446</v>
      </c>
      <c r="D155" s="2" t="s">
        <v>77</v>
      </c>
      <c r="E155" s="2" t="s">
        <v>44</v>
      </c>
      <c r="F155" s="2">
        <v>61</v>
      </c>
      <c r="G155" s="2" t="s">
        <v>142</v>
      </c>
      <c r="H155" s="2" t="s">
        <v>69</v>
      </c>
      <c r="I155" s="2" t="s">
        <v>143</v>
      </c>
      <c r="J155" s="2" t="s">
        <v>94</v>
      </c>
      <c r="K155" s="2">
        <v>1</v>
      </c>
      <c r="L155" s="4">
        <v>53500</v>
      </c>
      <c r="M155" s="5">
        <v>0.15</v>
      </c>
      <c r="N155" s="4">
        <v>8025</v>
      </c>
      <c r="O155" s="4">
        <v>5457</v>
      </c>
      <c r="P155" s="4">
        <v>150</v>
      </c>
      <c r="Q155" s="4">
        <v>51082</v>
      </c>
      <c r="R155" s="2" t="s">
        <v>48</v>
      </c>
      <c r="S155" s="2" t="s">
        <v>133</v>
      </c>
      <c r="T155" s="2" t="s">
        <v>73</v>
      </c>
      <c r="U155" s="2" t="s">
        <v>74</v>
      </c>
      <c r="V155" s="2" t="s">
        <v>50</v>
      </c>
      <c r="W155" s="2">
        <v>1</v>
      </c>
      <c r="X155" s="2" t="s">
        <v>39</v>
      </c>
      <c r="Y155" s="2">
        <v>3</v>
      </c>
      <c r="Z155" s="2" t="s">
        <v>40</v>
      </c>
    </row>
    <row r="156" spans="1:26" x14ac:dyDescent="0.25">
      <c r="A156" s="2" t="s">
        <v>447</v>
      </c>
      <c r="B156" s="3">
        <v>46167</v>
      </c>
      <c r="C156" s="2" t="s">
        <v>448</v>
      </c>
      <c r="D156" s="2" t="s">
        <v>28</v>
      </c>
      <c r="E156" s="2" t="s">
        <v>29</v>
      </c>
      <c r="F156" s="2">
        <v>32</v>
      </c>
      <c r="G156" s="2" t="s">
        <v>68</v>
      </c>
      <c r="H156" s="2" t="s">
        <v>69</v>
      </c>
      <c r="I156" s="2" t="s">
        <v>70</v>
      </c>
      <c r="J156" s="2" t="s">
        <v>225</v>
      </c>
      <c r="K156" s="2">
        <v>3</v>
      </c>
      <c r="L156" s="4">
        <v>4100</v>
      </c>
      <c r="M156" s="5">
        <v>0</v>
      </c>
      <c r="N156" s="4">
        <v>0</v>
      </c>
      <c r="O156" s="4">
        <v>2214</v>
      </c>
      <c r="P156" s="4">
        <v>75</v>
      </c>
      <c r="Q156" s="4">
        <v>14589</v>
      </c>
      <c r="R156" s="2" t="s">
        <v>72</v>
      </c>
      <c r="S156" s="2" t="s">
        <v>60</v>
      </c>
      <c r="T156" s="2" t="s">
        <v>173</v>
      </c>
      <c r="U156" s="2" t="s">
        <v>174</v>
      </c>
      <c r="V156" s="2" t="s">
        <v>82</v>
      </c>
      <c r="W156" s="2">
        <v>9</v>
      </c>
      <c r="X156" s="2" t="s">
        <v>39</v>
      </c>
      <c r="Y156" s="2">
        <v>5</v>
      </c>
      <c r="Z156" s="2" t="s">
        <v>40</v>
      </c>
    </row>
    <row r="157" spans="1:26" x14ac:dyDescent="0.25">
      <c r="A157" s="2" t="s">
        <v>449</v>
      </c>
      <c r="B157" s="3">
        <v>46173</v>
      </c>
      <c r="C157" s="2" t="s">
        <v>450</v>
      </c>
      <c r="D157" s="2" t="s">
        <v>259</v>
      </c>
      <c r="E157" s="2" t="s">
        <v>44</v>
      </c>
      <c r="F157" s="2">
        <v>22</v>
      </c>
      <c r="G157" s="2" t="s">
        <v>30</v>
      </c>
      <c r="H157" s="2" t="s">
        <v>31</v>
      </c>
      <c r="I157" s="2" t="s">
        <v>32</v>
      </c>
      <c r="J157" s="2" t="s">
        <v>33</v>
      </c>
      <c r="K157" s="2">
        <v>5</v>
      </c>
      <c r="L157" s="4">
        <v>1200</v>
      </c>
      <c r="M157" s="5">
        <v>0.2</v>
      </c>
      <c r="N157" s="4">
        <v>1200</v>
      </c>
      <c r="O157" s="4">
        <v>576</v>
      </c>
      <c r="P157" s="4">
        <v>200</v>
      </c>
      <c r="Q157" s="4">
        <v>5576</v>
      </c>
      <c r="R157" s="2" t="s">
        <v>72</v>
      </c>
      <c r="S157" s="2" t="s">
        <v>133</v>
      </c>
      <c r="T157" s="2" t="s">
        <v>173</v>
      </c>
      <c r="U157" s="2" t="s">
        <v>174</v>
      </c>
      <c r="V157" s="2" t="s">
        <v>82</v>
      </c>
      <c r="W157" s="2">
        <v>9</v>
      </c>
      <c r="X157" s="2" t="s">
        <v>39</v>
      </c>
      <c r="Y157" s="2">
        <v>4</v>
      </c>
      <c r="Z157" s="2" t="s">
        <v>40</v>
      </c>
    </row>
    <row r="158" spans="1:26" x14ac:dyDescent="0.25">
      <c r="A158" s="2" t="s">
        <v>451</v>
      </c>
      <c r="B158" s="3">
        <v>46036</v>
      </c>
      <c r="C158" s="2" t="s">
        <v>452</v>
      </c>
      <c r="D158" s="2" t="s">
        <v>28</v>
      </c>
      <c r="E158" s="2" t="s">
        <v>44</v>
      </c>
      <c r="F158" s="2">
        <v>32</v>
      </c>
      <c r="G158" s="2" t="s">
        <v>142</v>
      </c>
      <c r="H158" s="2" t="s">
        <v>69</v>
      </c>
      <c r="I158" s="2" t="s">
        <v>143</v>
      </c>
      <c r="J158" s="2" t="s">
        <v>403</v>
      </c>
      <c r="K158" s="2">
        <v>5</v>
      </c>
      <c r="L158" s="4">
        <v>74800</v>
      </c>
      <c r="M158" s="5">
        <v>0.2</v>
      </c>
      <c r="N158" s="4">
        <v>74800</v>
      </c>
      <c r="O158" s="4">
        <v>35904</v>
      </c>
      <c r="P158" s="4">
        <v>250</v>
      </c>
      <c r="Q158" s="4">
        <v>335354</v>
      </c>
      <c r="R158" s="2" t="s">
        <v>88</v>
      </c>
      <c r="S158" s="2" t="s">
        <v>89</v>
      </c>
      <c r="T158" s="2" t="s">
        <v>49</v>
      </c>
      <c r="U158" s="2" t="s">
        <v>49</v>
      </c>
      <c r="V158" s="2" t="s">
        <v>50</v>
      </c>
      <c r="W158" s="2">
        <v>1</v>
      </c>
      <c r="X158" s="2" t="s">
        <v>39</v>
      </c>
      <c r="Y158" s="2">
        <v>5</v>
      </c>
      <c r="Z158" s="2" t="s">
        <v>40</v>
      </c>
    </row>
    <row r="159" spans="1:26" x14ac:dyDescent="0.25">
      <c r="A159" s="2" t="s">
        <v>453</v>
      </c>
      <c r="B159" s="3">
        <v>46133</v>
      </c>
      <c r="C159" s="2" t="s">
        <v>454</v>
      </c>
      <c r="D159" s="2" t="s">
        <v>210</v>
      </c>
      <c r="E159" s="2" t="s">
        <v>44</v>
      </c>
      <c r="F159" s="2">
        <v>23</v>
      </c>
      <c r="G159" s="2" t="s">
        <v>198</v>
      </c>
      <c r="H159" s="2" t="s">
        <v>105</v>
      </c>
      <c r="I159" s="2" t="s">
        <v>199</v>
      </c>
      <c r="J159" s="2" t="s">
        <v>160</v>
      </c>
      <c r="K159" s="2">
        <v>2</v>
      </c>
      <c r="L159" s="4">
        <v>22200</v>
      </c>
      <c r="M159" s="5">
        <v>0</v>
      </c>
      <c r="N159" s="4">
        <v>0</v>
      </c>
      <c r="O159" s="4">
        <v>2220</v>
      </c>
      <c r="P159" s="4">
        <v>75</v>
      </c>
      <c r="Q159" s="4">
        <v>46695</v>
      </c>
      <c r="R159" s="2" t="s">
        <v>34</v>
      </c>
      <c r="S159" s="2" t="s">
        <v>89</v>
      </c>
      <c r="T159" s="2" t="s">
        <v>90</v>
      </c>
      <c r="U159" s="2" t="s">
        <v>62</v>
      </c>
      <c r="V159" s="2" t="s">
        <v>63</v>
      </c>
      <c r="W159" s="2">
        <v>7</v>
      </c>
      <c r="X159" s="2" t="s">
        <v>39</v>
      </c>
      <c r="Y159" s="2">
        <v>0</v>
      </c>
      <c r="Z159" s="2" t="s">
        <v>91</v>
      </c>
    </row>
    <row r="160" spans="1:26" x14ac:dyDescent="0.25">
      <c r="A160" s="2" t="s">
        <v>455</v>
      </c>
      <c r="B160" s="3">
        <v>46104</v>
      </c>
      <c r="C160" s="2" t="s">
        <v>456</v>
      </c>
      <c r="D160" s="2" t="s">
        <v>54</v>
      </c>
      <c r="E160" s="2" t="s">
        <v>29</v>
      </c>
      <c r="F160" s="2">
        <v>23</v>
      </c>
      <c r="G160" s="2" t="s">
        <v>99</v>
      </c>
      <c r="H160" s="2" t="s">
        <v>69</v>
      </c>
      <c r="I160" s="2" t="s">
        <v>100</v>
      </c>
      <c r="J160" s="2" t="s">
        <v>157</v>
      </c>
      <c r="K160" s="2">
        <v>4</v>
      </c>
      <c r="L160" s="4">
        <v>63400</v>
      </c>
      <c r="M160" s="5">
        <v>0.1</v>
      </c>
      <c r="N160" s="4">
        <v>25360</v>
      </c>
      <c r="O160" s="4">
        <v>11412</v>
      </c>
      <c r="P160" s="4">
        <v>50</v>
      </c>
      <c r="Q160" s="4">
        <v>239702</v>
      </c>
      <c r="R160" s="2" t="s">
        <v>72</v>
      </c>
      <c r="S160" s="2" t="s">
        <v>35</v>
      </c>
      <c r="T160" s="2" t="s">
        <v>95</v>
      </c>
      <c r="U160" s="2" t="s">
        <v>62</v>
      </c>
      <c r="V160" s="2" t="s">
        <v>63</v>
      </c>
      <c r="W160" s="2">
        <v>3</v>
      </c>
      <c r="X160" s="2" t="s">
        <v>39</v>
      </c>
      <c r="Y160" s="2">
        <v>5</v>
      </c>
      <c r="Z160" s="2" t="s">
        <v>40</v>
      </c>
    </row>
    <row r="161" spans="1:26" x14ac:dyDescent="0.25">
      <c r="A161" s="2" t="s">
        <v>457</v>
      </c>
      <c r="B161" s="3">
        <v>46113</v>
      </c>
      <c r="C161" s="2" t="s">
        <v>187</v>
      </c>
      <c r="D161" s="2" t="s">
        <v>132</v>
      </c>
      <c r="E161" s="2" t="s">
        <v>29</v>
      </c>
      <c r="F161" s="2">
        <v>56</v>
      </c>
      <c r="G161" s="2" t="s">
        <v>198</v>
      </c>
      <c r="H161" s="2" t="s">
        <v>105</v>
      </c>
      <c r="I161" s="2" t="s">
        <v>199</v>
      </c>
      <c r="J161" s="2" t="s">
        <v>160</v>
      </c>
      <c r="K161" s="2">
        <v>4</v>
      </c>
      <c r="L161" s="4">
        <v>4300</v>
      </c>
      <c r="M161" s="5">
        <v>0.1</v>
      </c>
      <c r="N161" s="4">
        <v>1720</v>
      </c>
      <c r="O161" s="4">
        <v>1857.6</v>
      </c>
      <c r="P161" s="4">
        <v>100</v>
      </c>
      <c r="Q161" s="4">
        <v>17437.599999999999</v>
      </c>
      <c r="R161" s="2" t="s">
        <v>34</v>
      </c>
      <c r="S161" s="2" t="s">
        <v>60</v>
      </c>
      <c r="T161" s="2" t="s">
        <v>80</v>
      </c>
      <c r="U161" s="2" t="s">
        <v>81</v>
      </c>
      <c r="V161" s="2" t="s">
        <v>82</v>
      </c>
      <c r="W161" s="2">
        <v>2</v>
      </c>
      <c r="X161" s="2" t="s">
        <v>39</v>
      </c>
      <c r="Y161" s="2">
        <v>0</v>
      </c>
      <c r="Z161" s="2" t="s">
        <v>91</v>
      </c>
    </row>
    <row r="162" spans="1:26" x14ac:dyDescent="0.25">
      <c r="A162" s="2" t="s">
        <v>458</v>
      </c>
      <c r="B162" s="3">
        <v>46198</v>
      </c>
      <c r="C162" s="2" t="s">
        <v>459</v>
      </c>
      <c r="D162" s="2" t="s">
        <v>203</v>
      </c>
      <c r="E162" s="2" t="s">
        <v>29</v>
      </c>
      <c r="F162" s="2">
        <v>26</v>
      </c>
      <c r="G162" s="2" t="s">
        <v>30</v>
      </c>
      <c r="H162" s="2" t="s">
        <v>31</v>
      </c>
      <c r="I162" s="2" t="s">
        <v>32</v>
      </c>
      <c r="J162" s="2" t="s">
        <v>170</v>
      </c>
      <c r="K162" s="2">
        <v>3</v>
      </c>
      <c r="L162" s="4">
        <v>2000</v>
      </c>
      <c r="M162" s="5">
        <v>0.05</v>
      </c>
      <c r="N162" s="4">
        <v>300</v>
      </c>
      <c r="O162" s="4">
        <v>285</v>
      </c>
      <c r="P162" s="4">
        <v>50</v>
      </c>
      <c r="Q162" s="4">
        <v>6035</v>
      </c>
      <c r="R162" s="2" t="s">
        <v>34</v>
      </c>
      <c r="S162" s="2" t="s">
        <v>89</v>
      </c>
      <c r="T162" s="2" t="s">
        <v>134</v>
      </c>
      <c r="U162" s="2" t="s">
        <v>135</v>
      </c>
      <c r="V162" s="2" t="s">
        <v>50</v>
      </c>
      <c r="W162" s="2">
        <v>5</v>
      </c>
      <c r="X162" s="2" t="s">
        <v>39</v>
      </c>
      <c r="Y162" s="2">
        <v>3</v>
      </c>
      <c r="Z162" s="2" t="s">
        <v>40</v>
      </c>
    </row>
    <row r="163" spans="1:26" x14ac:dyDescent="0.25">
      <c r="A163" s="2" t="s">
        <v>460</v>
      </c>
      <c r="B163" s="3">
        <v>46175</v>
      </c>
      <c r="C163" s="2" t="s">
        <v>461</v>
      </c>
      <c r="D163" s="2" t="s">
        <v>390</v>
      </c>
      <c r="E163" s="2" t="s">
        <v>29</v>
      </c>
      <c r="F163" s="2">
        <v>47</v>
      </c>
      <c r="G163" s="2" t="s">
        <v>142</v>
      </c>
      <c r="H163" s="2" t="s">
        <v>69</v>
      </c>
      <c r="I163" s="2" t="s">
        <v>143</v>
      </c>
      <c r="J163" s="2" t="s">
        <v>110</v>
      </c>
      <c r="K163" s="2">
        <v>3</v>
      </c>
      <c r="L163" s="4">
        <v>12600</v>
      </c>
      <c r="M163" s="5">
        <v>0.15</v>
      </c>
      <c r="N163" s="4">
        <v>5670</v>
      </c>
      <c r="O163" s="4">
        <v>3855.6</v>
      </c>
      <c r="P163" s="4">
        <v>250</v>
      </c>
      <c r="Q163" s="4">
        <v>36235.599999999999</v>
      </c>
      <c r="R163" s="2" t="s">
        <v>48</v>
      </c>
      <c r="S163" s="2" t="s">
        <v>133</v>
      </c>
      <c r="T163" s="2" t="s">
        <v>144</v>
      </c>
      <c r="U163" s="2" t="s">
        <v>145</v>
      </c>
      <c r="V163" s="2" t="s">
        <v>38</v>
      </c>
      <c r="W163" s="2">
        <v>7</v>
      </c>
      <c r="X163" s="2" t="s">
        <v>39</v>
      </c>
      <c r="Y163" s="2">
        <v>0</v>
      </c>
      <c r="Z163" s="2" t="s">
        <v>64</v>
      </c>
    </row>
    <row r="164" spans="1:26" x14ac:dyDescent="0.25">
      <c r="A164" s="2" t="s">
        <v>462</v>
      </c>
      <c r="B164" s="3">
        <v>46133</v>
      </c>
      <c r="C164" s="2" t="s">
        <v>463</v>
      </c>
      <c r="D164" s="2" t="s">
        <v>390</v>
      </c>
      <c r="E164" s="2" t="s">
        <v>29</v>
      </c>
      <c r="F164" s="2">
        <v>37</v>
      </c>
      <c r="G164" s="2" t="s">
        <v>177</v>
      </c>
      <c r="H164" s="2" t="s">
        <v>31</v>
      </c>
      <c r="I164" s="2" t="s">
        <v>32</v>
      </c>
      <c r="J164" s="2" t="s">
        <v>294</v>
      </c>
      <c r="K164" s="2">
        <v>4</v>
      </c>
      <c r="L164" s="4">
        <v>3200</v>
      </c>
      <c r="M164" s="5">
        <v>0.05</v>
      </c>
      <c r="N164" s="4">
        <v>640</v>
      </c>
      <c r="O164" s="4">
        <v>1459.2</v>
      </c>
      <c r="P164" s="4">
        <v>75</v>
      </c>
      <c r="Q164" s="4">
        <v>13694.2</v>
      </c>
      <c r="R164" s="2" t="s">
        <v>48</v>
      </c>
      <c r="S164" s="2" t="s">
        <v>133</v>
      </c>
      <c r="T164" s="2" t="s">
        <v>61</v>
      </c>
      <c r="U164" s="2" t="s">
        <v>62</v>
      </c>
      <c r="V164" s="2" t="s">
        <v>63</v>
      </c>
      <c r="W164" s="2">
        <v>8</v>
      </c>
      <c r="X164" s="2" t="s">
        <v>39</v>
      </c>
      <c r="Y164" s="2">
        <v>0</v>
      </c>
      <c r="Z164" s="2" t="s">
        <v>111</v>
      </c>
    </row>
    <row r="165" spans="1:26" x14ac:dyDescent="0.25">
      <c r="A165" s="2" t="s">
        <v>464</v>
      </c>
      <c r="B165" s="3">
        <v>46232</v>
      </c>
      <c r="C165" s="2" t="s">
        <v>224</v>
      </c>
      <c r="D165" s="2" t="s">
        <v>203</v>
      </c>
      <c r="E165" s="2" t="s">
        <v>44</v>
      </c>
      <c r="F165" s="2">
        <v>25</v>
      </c>
      <c r="G165" s="2" t="s">
        <v>198</v>
      </c>
      <c r="H165" s="2" t="s">
        <v>105</v>
      </c>
      <c r="I165" s="2" t="s">
        <v>199</v>
      </c>
      <c r="J165" s="2" t="s">
        <v>207</v>
      </c>
      <c r="K165" s="2">
        <v>5</v>
      </c>
      <c r="L165" s="4">
        <v>17900</v>
      </c>
      <c r="M165" s="5">
        <v>0.05</v>
      </c>
      <c r="N165" s="4">
        <v>4475</v>
      </c>
      <c r="O165" s="4">
        <v>15304.5</v>
      </c>
      <c r="P165" s="4">
        <v>250</v>
      </c>
      <c r="Q165" s="4">
        <v>100579.5</v>
      </c>
      <c r="R165" s="2" t="s">
        <v>34</v>
      </c>
      <c r="S165" s="2" t="s">
        <v>89</v>
      </c>
      <c r="T165" s="2" t="s">
        <v>255</v>
      </c>
      <c r="U165" s="2" t="s">
        <v>256</v>
      </c>
      <c r="V165" s="2" t="s">
        <v>38</v>
      </c>
      <c r="W165" s="2">
        <v>1</v>
      </c>
      <c r="X165" s="2" t="s">
        <v>39</v>
      </c>
      <c r="Y165" s="2">
        <v>1</v>
      </c>
      <c r="Z165" s="2" t="s">
        <v>111</v>
      </c>
    </row>
    <row r="166" spans="1:26" x14ac:dyDescent="0.25">
      <c r="A166" s="2" t="s">
        <v>465</v>
      </c>
      <c r="B166" s="3">
        <v>46227</v>
      </c>
      <c r="C166" s="2" t="s">
        <v>466</v>
      </c>
      <c r="D166" s="2" t="s">
        <v>240</v>
      </c>
      <c r="E166" s="2" t="s">
        <v>29</v>
      </c>
      <c r="F166" s="2">
        <v>44</v>
      </c>
      <c r="G166" s="2" t="s">
        <v>86</v>
      </c>
      <c r="H166" s="2" t="s">
        <v>56</v>
      </c>
      <c r="I166" s="2" t="s">
        <v>57</v>
      </c>
      <c r="J166" s="2" t="s">
        <v>87</v>
      </c>
      <c r="K166" s="2">
        <v>2</v>
      </c>
      <c r="L166" s="4">
        <v>5800</v>
      </c>
      <c r="M166" s="5">
        <v>0.1</v>
      </c>
      <c r="N166" s="4">
        <v>1160</v>
      </c>
      <c r="O166" s="4">
        <v>522</v>
      </c>
      <c r="P166" s="4">
        <v>75</v>
      </c>
      <c r="Q166" s="4">
        <v>11037</v>
      </c>
      <c r="R166" s="2" t="s">
        <v>48</v>
      </c>
      <c r="S166" s="2" t="s">
        <v>35</v>
      </c>
      <c r="T166" s="2" t="s">
        <v>120</v>
      </c>
      <c r="U166" s="2" t="s">
        <v>121</v>
      </c>
      <c r="V166" s="2" t="s">
        <v>38</v>
      </c>
      <c r="W166" s="2">
        <v>3</v>
      </c>
      <c r="X166" s="2" t="s">
        <v>39</v>
      </c>
      <c r="Y166" s="2">
        <v>0</v>
      </c>
      <c r="Z166" s="2" t="s">
        <v>91</v>
      </c>
    </row>
    <row r="167" spans="1:26" x14ac:dyDescent="0.25">
      <c r="A167" s="2" t="s">
        <v>467</v>
      </c>
      <c r="B167" s="3">
        <v>46137</v>
      </c>
      <c r="C167" s="2" t="s">
        <v>306</v>
      </c>
      <c r="D167" s="2" t="s">
        <v>390</v>
      </c>
      <c r="E167" s="2" t="s">
        <v>44</v>
      </c>
      <c r="F167" s="2">
        <v>55</v>
      </c>
      <c r="G167" s="2" t="s">
        <v>78</v>
      </c>
      <c r="H167" s="2" t="s">
        <v>31</v>
      </c>
      <c r="I167" s="2" t="s">
        <v>79</v>
      </c>
      <c r="J167" s="2" t="s">
        <v>468</v>
      </c>
      <c r="K167" s="2">
        <v>5</v>
      </c>
      <c r="L167" s="4">
        <v>1900</v>
      </c>
      <c r="M167" s="5">
        <v>0.1</v>
      </c>
      <c r="N167" s="4">
        <v>950</v>
      </c>
      <c r="O167" s="4">
        <v>1539</v>
      </c>
      <c r="P167" s="4">
        <v>250</v>
      </c>
      <c r="Q167" s="4">
        <v>10339</v>
      </c>
      <c r="R167" s="2" t="s">
        <v>88</v>
      </c>
      <c r="S167" s="2" t="s">
        <v>60</v>
      </c>
      <c r="T167" s="2" t="s">
        <v>255</v>
      </c>
      <c r="U167" s="2" t="s">
        <v>256</v>
      </c>
      <c r="V167" s="2" t="s">
        <v>38</v>
      </c>
      <c r="W167" s="2">
        <v>10</v>
      </c>
      <c r="X167" s="2" t="s">
        <v>39</v>
      </c>
      <c r="Y167" s="2">
        <v>5</v>
      </c>
      <c r="Z167" s="2" t="s">
        <v>40</v>
      </c>
    </row>
    <row r="168" spans="1:26" x14ac:dyDescent="0.25">
      <c r="A168" s="2" t="s">
        <v>469</v>
      </c>
      <c r="B168" s="3">
        <v>46188</v>
      </c>
      <c r="C168" s="2" t="s">
        <v>470</v>
      </c>
      <c r="D168" s="2" t="s">
        <v>390</v>
      </c>
      <c r="E168" s="2" t="s">
        <v>29</v>
      </c>
      <c r="F168" s="2">
        <v>54</v>
      </c>
      <c r="G168" s="2" t="s">
        <v>86</v>
      </c>
      <c r="H168" s="2" t="s">
        <v>56</v>
      </c>
      <c r="I168" s="2" t="s">
        <v>57</v>
      </c>
      <c r="J168" s="2" t="s">
        <v>58</v>
      </c>
      <c r="K168" s="2">
        <v>4</v>
      </c>
      <c r="L168" s="4">
        <v>6600</v>
      </c>
      <c r="M168" s="5">
        <v>0.1</v>
      </c>
      <c r="N168" s="4">
        <v>2640</v>
      </c>
      <c r="O168" s="4">
        <v>2851.2</v>
      </c>
      <c r="P168" s="4">
        <v>0</v>
      </c>
      <c r="Q168" s="4">
        <v>26611.200000000001</v>
      </c>
      <c r="R168" s="2" t="s">
        <v>59</v>
      </c>
      <c r="S168" s="2" t="s">
        <v>60</v>
      </c>
      <c r="T168" s="2" t="s">
        <v>138</v>
      </c>
      <c r="U168" s="2" t="s">
        <v>62</v>
      </c>
      <c r="V168" s="2" t="s">
        <v>63</v>
      </c>
      <c r="W168" s="2">
        <v>2</v>
      </c>
      <c r="X168" s="2" t="s">
        <v>39</v>
      </c>
      <c r="Y168" s="2">
        <v>5</v>
      </c>
      <c r="Z168" s="2" t="s">
        <v>40</v>
      </c>
    </row>
    <row r="169" spans="1:26" x14ac:dyDescent="0.25">
      <c r="A169" s="2" t="s">
        <v>471</v>
      </c>
      <c r="B169" s="3">
        <v>46137</v>
      </c>
      <c r="C169" s="2" t="s">
        <v>472</v>
      </c>
      <c r="D169" s="2" t="s">
        <v>54</v>
      </c>
      <c r="E169" s="2" t="s">
        <v>44</v>
      </c>
      <c r="F169" s="2">
        <v>47</v>
      </c>
      <c r="G169" s="2" t="s">
        <v>86</v>
      </c>
      <c r="H169" s="2" t="s">
        <v>56</v>
      </c>
      <c r="I169" s="2" t="s">
        <v>57</v>
      </c>
      <c r="J169" s="2" t="s">
        <v>58</v>
      </c>
      <c r="K169" s="2">
        <v>5</v>
      </c>
      <c r="L169" s="4">
        <v>2700</v>
      </c>
      <c r="M169" s="5">
        <v>0.1</v>
      </c>
      <c r="N169" s="4">
        <v>1350</v>
      </c>
      <c r="O169" s="4">
        <v>607.5</v>
      </c>
      <c r="P169" s="4">
        <v>100</v>
      </c>
      <c r="Q169" s="4">
        <v>12857.5</v>
      </c>
      <c r="R169" s="2" t="s">
        <v>34</v>
      </c>
      <c r="S169" s="2" t="s">
        <v>133</v>
      </c>
      <c r="T169" s="2" t="s">
        <v>95</v>
      </c>
      <c r="U169" s="2" t="s">
        <v>62</v>
      </c>
      <c r="V169" s="2" t="s">
        <v>63</v>
      </c>
      <c r="W169" s="2">
        <v>5</v>
      </c>
      <c r="X169" s="2" t="s">
        <v>51</v>
      </c>
      <c r="Y169" s="2">
        <v>4</v>
      </c>
      <c r="Z169" s="2" t="s">
        <v>40</v>
      </c>
    </row>
    <row r="170" spans="1:26" x14ac:dyDescent="0.25">
      <c r="A170" s="2" t="s">
        <v>473</v>
      </c>
      <c r="B170" s="3">
        <v>46102</v>
      </c>
      <c r="C170" s="2" t="s">
        <v>474</v>
      </c>
      <c r="D170" s="2" t="s">
        <v>169</v>
      </c>
      <c r="E170" s="2" t="s">
        <v>44</v>
      </c>
      <c r="F170" s="2">
        <v>31</v>
      </c>
      <c r="G170" s="2" t="s">
        <v>104</v>
      </c>
      <c r="H170" s="2" t="s">
        <v>105</v>
      </c>
      <c r="I170" s="2" t="s">
        <v>106</v>
      </c>
      <c r="J170" s="2" t="s">
        <v>160</v>
      </c>
      <c r="K170" s="2">
        <v>3</v>
      </c>
      <c r="L170" s="4">
        <v>17100</v>
      </c>
      <c r="M170" s="5">
        <v>0</v>
      </c>
      <c r="N170" s="4">
        <v>0</v>
      </c>
      <c r="O170" s="4">
        <v>6156</v>
      </c>
      <c r="P170" s="4">
        <v>200</v>
      </c>
      <c r="Q170" s="4">
        <v>57656</v>
      </c>
      <c r="R170" s="2" t="s">
        <v>72</v>
      </c>
      <c r="S170" s="2" t="s">
        <v>133</v>
      </c>
      <c r="T170" s="2" t="s">
        <v>36</v>
      </c>
      <c r="U170" s="2" t="s">
        <v>37</v>
      </c>
      <c r="V170" s="2" t="s">
        <v>38</v>
      </c>
      <c r="W170" s="2">
        <v>8</v>
      </c>
      <c r="X170" s="2" t="s">
        <v>39</v>
      </c>
      <c r="Y170" s="2">
        <v>5</v>
      </c>
      <c r="Z170" s="2" t="s">
        <v>40</v>
      </c>
    </row>
    <row r="171" spans="1:26" x14ac:dyDescent="0.25">
      <c r="A171" s="2" t="s">
        <v>475</v>
      </c>
      <c r="B171" s="3">
        <v>46188</v>
      </c>
      <c r="C171" s="2" t="s">
        <v>476</v>
      </c>
      <c r="D171" s="2" t="s">
        <v>28</v>
      </c>
      <c r="E171" s="2" t="s">
        <v>29</v>
      </c>
      <c r="F171" s="2">
        <v>65</v>
      </c>
      <c r="G171" s="2" t="s">
        <v>68</v>
      </c>
      <c r="H171" s="2" t="s">
        <v>69</v>
      </c>
      <c r="I171" s="2" t="s">
        <v>70</v>
      </c>
      <c r="J171" s="2" t="s">
        <v>94</v>
      </c>
      <c r="K171" s="2">
        <v>5</v>
      </c>
      <c r="L171" s="4">
        <v>9900</v>
      </c>
      <c r="M171" s="5">
        <v>0.1</v>
      </c>
      <c r="N171" s="4">
        <v>4950</v>
      </c>
      <c r="O171" s="4">
        <v>8019</v>
      </c>
      <c r="P171" s="4">
        <v>100</v>
      </c>
      <c r="Q171" s="4">
        <v>52669</v>
      </c>
      <c r="R171" s="2" t="s">
        <v>34</v>
      </c>
      <c r="S171" s="2" t="s">
        <v>60</v>
      </c>
      <c r="T171" s="2" t="s">
        <v>73</v>
      </c>
      <c r="U171" s="2" t="s">
        <v>74</v>
      </c>
      <c r="V171" s="2" t="s">
        <v>50</v>
      </c>
      <c r="W171" s="2">
        <v>4</v>
      </c>
      <c r="X171" s="2" t="s">
        <v>39</v>
      </c>
      <c r="Y171" s="2">
        <v>0</v>
      </c>
      <c r="Z171" s="2" t="s">
        <v>91</v>
      </c>
    </row>
    <row r="172" spans="1:26" x14ac:dyDescent="0.25">
      <c r="A172" s="2" t="s">
        <v>477</v>
      </c>
      <c r="B172" s="3">
        <v>46186</v>
      </c>
      <c r="C172" s="2" t="s">
        <v>478</v>
      </c>
      <c r="D172" s="2" t="s">
        <v>163</v>
      </c>
      <c r="E172" s="2" t="s">
        <v>44</v>
      </c>
      <c r="F172" s="2">
        <v>19</v>
      </c>
      <c r="G172" s="2" t="s">
        <v>55</v>
      </c>
      <c r="H172" s="2" t="s">
        <v>56</v>
      </c>
      <c r="I172" s="2" t="s">
        <v>57</v>
      </c>
      <c r="J172" s="2" t="s">
        <v>235</v>
      </c>
      <c r="K172" s="2">
        <v>2</v>
      </c>
      <c r="L172" s="4">
        <v>9200</v>
      </c>
      <c r="M172" s="5">
        <v>0.2</v>
      </c>
      <c r="N172" s="4">
        <v>3680</v>
      </c>
      <c r="O172" s="4">
        <v>1766.4</v>
      </c>
      <c r="P172" s="4">
        <v>100</v>
      </c>
      <c r="Q172" s="4">
        <v>16586.400000000001</v>
      </c>
      <c r="R172" s="2" t="s">
        <v>59</v>
      </c>
      <c r="S172" s="2" t="s">
        <v>35</v>
      </c>
      <c r="T172" s="2" t="s">
        <v>138</v>
      </c>
      <c r="U172" s="2" t="s">
        <v>62</v>
      </c>
      <c r="V172" s="2" t="s">
        <v>63</v>
      </c>
      <c r="W172" s="2">
        <v>4</v>
      </c>
      <c r="X172" s="2" t="s">
        <v>39</v>
      </c>
      <c r="Y172" s="2">
        <v>5</v>
      </c>
      <c r="Z172" s="2" t="s">
        <v>40</v>
      </c>
    </row>
    <row r="173" spans="1:26" x14ac:dyDescent="0.25">
      <c r="A173" s="2" t="s">
        <v>479</v>
      </c>
      <c r="B173" s="3">
        <v>46227</v>
      </c>
      <c r="C173" s="2" t="s">
        <v>480</v>
      </c>
      <c r="D173" s="2" t="s">
        <v>132</v>
      </c>
      <c r="E173" s="2" t="s">
        <v>29</v>
      </c>
      <c r="F173" s="2">
        <v>41</v>
      </c>
      <c r="G173" s="2" t="s">
        <v>177</v>
      </c>
      <c r="H173" s="2" t="s">
        <v>31</v>
      </c>
      <c r="I173" s="2" t="s">
        <v>32</v>
      </c>
      <c r="J173" s="2" t="s">
        <v>294</v>
      </c>
      <c r="K173" s="2">
        <v>4</v>
      </c>
      <c r="L173" s="4">
        <v>1900</v>
      </c>
      <c r="M173" s="5">
        <v>0.1</v>
      </c>
      <c r="N173" s="4">
        <v>760</v>
      </c>
      <c r="O173" s="4">
        <v>1231.2</v>
      </c>
      <c r="P173" s="4">
        <v>250</v>
      </c>
      <c r="Q173" s="4">
        <v>8321.2000000000007</v>
      </c>
      <c r="R173" s="2" t="s">
        <v>48</v>
      </c>
      <c r="S173" s="2" t="s">
        <v>89</v>
      </c>
      <c r="T173" s="2" t="s">
        <v>73</v>
      </c>
      <c r="U173" s="2" t="s">
        <v>74</v>
      </c>
      <c r="V173" s="2" t="s">
        <v>50</v>
      </c>
      <c r="W173" s="2">
        <v>9</v>
      </c>
      <c r="X173" s="2" t="s">
        <v>39</v>
      </c>
      <c r="Y173" s="2">
        <v>0</v>
      </c>
      <c r="Z173" s="2" t="s">
        <v>111</v>
      </c>
    </row>
    <row r="174" spans="1:26" x14ac:dyDescent="0.25">
      <c r="A174" s="2" t="s">
        <v>481</v>
      </c>
      <c r="B174" s="3">
        <v>46173</v>
      </c>
      <c r="C174" s="2" t="s">
        <v>482</v>
      </c>
      <c r="D174" s="2" t="s">
        <v>28</v>
      </c>
      <c r="E174" s="2" t="s">
        <v>44</v>
      </c>
      <c r="F174" s="2">
        <v>40</v>
      </c>
      <c r="G174" s="2" t="s">
        <v>45</v>
      </c>
      <c r="H174" s="2" t="s">
        <v>31</v>
      </c>
      <c r="I174" s="2" t="s">
        <v>46</v>
      </c>
      <c r="J174" s="2" t="s">
        <v>47</v>
      </c>
      <c r="K174" s="2">
        <v>2</v>
      </c>
      <c r="L174" s="4">
        <v>2700</v>
      </c>
      <c r="M174" s="5">
        <v>0.2</v>
      </c>
      <c r="N174" s="4">
        <v>1080</v>
      </c>
      <c r="O174" s="4">
        <v>777.6</v>
      </c>
      <c r="P174" s="4">
        <v>0</v>
      </c>
      <c r="Q174" s="4">
        <v>5097.6000000000004</v>
      </c>
      <c r="R174" s="2" t="s">
        <v>34</v>
      </c>
      <c r="S174" s="2" t="s">
        <v>89</v>
      </c>
      <c r="T174" s="2" t="s">
        <v>120</v>
      </c>
      <c r="U174" s="2" t="s">
        <v>121</v>
      </c>
      <c r="V174" s="2" t="s">
        <v>38</v>
      </c>
      <c r="W174" s="2">
        <v>3</v>
      </c>
      <c r="X174" s="2" t="s">
        <v>39</v>
      </c>
      <c r="Y174" s="2">
        <v>4</v>
      </c>
      <c r="Z174" s="2" t="s">
        <v>40</v>
      </c>
    </row>
    <row r="175" spans="1:26" x14ac:dyDescent="0.25">
      <c r="A175" s="2" t="s">
        <v>483</v>
      </c>
      <c r="B175" s="3">
        <v>46130</v>
      </c>
      <c r="C175" s="2" t="s">
        <v>448</v>
      </c>
      <c r="D175" s="2" t="s">
        <v>390</v>
      </c>
      <c r="E175" s="2" t="s">
        <v>29</v>
      </c>
      <c r="F175" s="2">
        <v>54</v>
      </c>
      <c r="G175" s="2" t="s">
        <v>78</v>
      </c>
      <c r="H175" s="2" t="s">
        <v>31</v>
      </c>
      <c r="I175" s="2" t="s">
        <v>79</v>
      </c>
      <c r="J175" s="2" t="s">
        <v>468</v>
      </c>
      <c r="K175" s="2">
        <v>2</v>
      </c>
      <c r="L175" s="4">
        <v>7700</v>
      </c>
      <c r="M175" s="5">
        <v>0.25</v>
      </c>
      <c r="N175" s="4">
        <v>3850</v>
      </c>
      <c r="O175" s="4">
        <v>2079</v>
      </c>
      <c r="P175" s="4">
        <v>200</v>
      </c>
      <c r="Q175" s="4">
        <v>13829</v>
      </c>
      <c r="R175" s="2" t="s">
        <v>48</v>
      </c>
      <c r="S175" s="2" t="s">
        <v>35</v>
      </c>
      <c r="T175" s="2" t="s">
        <v>173</v>
      </c>
      <c r="U175" s="2" t="s">
        <v>174</v>
      </c>
      <c r="V175" s="2" t="s">
        <v>82</v>
      </c>
      <c r="W175" s="2">
        <v>3</v>
      </c>
      <c r="X175" s="2" t="s">
        <v>39</v>
      </c>
      <c r="Y175" s="2">
        <v>4</v>
      </c>
      <c r="Z175" s="2" t="s">
        <v>40</v>
      </c>
    </row>
    <row r="176" spans="1:26" x14ac:dyDescent="0.25">
      <c r="A176" s="2" t="s">
        <v>484</v>
      </c>
      <c r="B176" s="3">
        <v>46244</v>
      </c>
      <c r="C176" s="2" t="s">
        <v>485</v>
      </c>
      <c r="D176" s="2" t="s">
        <v>54</v>
      </c>
      <c r="E176" s="2" t="s">
        <v>29</v>
      </c>
      <c r="F176" s="2">
        <v>49</v>
      </c>
      <c r="G176" s="2" t="s">
        <v>125</v>
      </c>
      <c r="H176" s="2" t="s">
        <v>69</v>
      </c>
      <c r="I176" s="2" t="s">
        <v>126</v>
      </c>
      <c r="J176" s="2" t="s">
        <v>271</v>
      </c>
      <c r="K176" s="2">
        <v>4</v>
      </c>
      <c r="L176" s="4">
        <v>8100</v>
      </c>
      <c r="M176" s="5">
        <v>0.2</v>
      </c>
      <c r="N176" s="4">
        <v>6480</v>
      </c>
      <c r="O176" s="4">
        <v>4665.6000000000004</v>
      </c>
      <c r="P176" s="4">
        <v>100</v>
      </c>
      <c r="Q176" s="4">
        <v>30685.599999999999</v>
      </c>
      <c r="R176" s="2" t="s">
        <v>59</v>
      </c>
      <c r="S176" s="2" t="s">
        <v>35</v>
      </c>
      <c r="T176" s="2" t="s">
        <v>134</v>
      </c>
      <c r="U176" s="2" t="s">
        <v>135</v>
      </c>
      <c r="V176" s="2" t="s">
        <v>50</v>
      </c>
      <c r="W176" s="2">
        <v>8</v>
      </c>
      <c r="X176" s="2" t="s">
        <v>122</v>
      </c>
      <c r="Y176" s="2">
        <v>5</v>
      </c>
      <c r="Z176" s="2" t="s">
        <v>40</v>
      </c>
    </row>
    <row r="177" spans="1:26" x14ac:dyDescent="0.25">
      <c r="A177" s="2" t="s">
        <v>486</v>
      </c>
      <c r="B177" s="3">
        <v>46226</v>
      </c>
      <c r="C177" s="2" t="s">
        <v>487</v>
      </c>
      <c r="D177" s="2" t="s">
        <v>77</v>
      </c>
      <c r="E177" s="2" t="s">
        <v>44</v>
      </c>
      <c r="F177" s="2">
        <v>20</v>
      </c>
      <c r="G177" s="2" t="s">
        <v>30</v>
      </c>
      <c r="H177" s="2" t="s">
        <v>31</v>
      </c>
      <c r="I177" s="2" t="s">
        <v>32</v>
      </c>
      <c r="J177" s="2" t="s">
        <v>33</v>
      </c>
      <c r="K177" s="2">
        <v>5</v>
      </c>
      <c r="L177" s="4">
        <v>1400</v>
      </c>
      <c r="M177" s="5">
        <v>0.05</v>
      </c>
      <c r="N177" s="4">
        <v>350</v>
      </c>
      <c r="O177" s="4">
        <v>798</v>
      </c>
      <c r="P177" s="4">
        <v>150</v>
      </c>
      <c r="Q177" s="4">
        <v>7598</v>
      </c>
      <c r="R177" s="2" t="s">
        <v>59</v>
      </c>
      <c r="S177" s="2" t="s">
        <v>133</v>
      </c>
      <c r="T177" s="2" t="s">
        <v>36</v>
      </c>
      <c r="U177" s="2" t="s">
        <v>37</v>
      </c>
      <c r="V177" s="2" t="s">
        <v>38</v>
      </c>
      <c r="W177" s="2">
        <v>8</v>
      </c>
      <c r="X177" s="2" t="s">
        <v>39</v>
      </c>
      <c r="Y177" s="2">
        <v>4</v>
      </c>
      <c r="Z177" s="2" t="s">
        <v>40</v>
      </c>
    </row>
    <row r="178" spans="1:26" x14ac:dyDescent="0.25">
      <c r="A178" s="2" t="s">
        <v>488</v>
      </c>
      <c r="B178" s="3">
        <v>46161</v>
      </c>
      <c r="C178" s="2" t="s">
        <v>489</v>
      </c>
      <c r="D178" s="2" t="s">
        <v>129</v>
      </c>
      <c r="E178" s="2" t="s">
        <v>44</v>
      </c>
      <c r="F178" s="2">
        <v>52</v>
      </c>
      <c r="G178" s="2" t="s">
        <v>68</v>
      </c>
      <c r="H178" s="2" t="s">
        <v>69</v>
      </c>
      <c r="I178" s="2" t="s">
        <v>70</v>
      </c>
      <c r="J178" s="2" t="s">
        <v>225</v>
      </c>
      <c r="K178" s="2">
        <v>1</v>
      </c>
      <c r="L178" s="4">
        <v>14400</v>
      </c>
      <c r="M178" s="5">
        <v>0.1</v>
      </c>
      <c r="N178" s="4">
        <v>1440</v>
      </c>
      <c r="O178" s="4">
        <v>648</v>
      </c>
      <c r="P178" s="4">
        <v>100</v>
      </c>
      <c r="Q178" s="4">
        <v>13708</v>
      </c>
      <c r="R178" s="2" t="s">
        <v>48</v>
      </c>
      <c r="S178" s="2" t="s">
        <v>35</v>
      </c>
      <c r="T178" s="2" t="s">
        <v>61</v>
      </c>
      <c r="U178" s="2" t="s">
        <v>62</v>
      </c>
      <c r="V178" s="2" t="s">
        <v>63</v>
      </c>
      <c r="W178" s="2">
        <v>6</v>
      </c>
      <c r="X178" s="2" t="s">
        <v>39</v>
      </c>
      <c r="Y178" s="2">
        <v>0</v>
      </c>
      <c r="Z178" s="2" t="s">
        <v>64</v>
      </c>
    </row>
    <row r="179" spans="1:26" x14ac:dyDescent="0.25">
      <c r="A179" s="2" t="s">
        <v>490</v>
      </c>
      <c r="B179" s="3">
        <v>46221</v>
      </c>
      <c r="C179" s="2" t="s">
        <v>491</v>
      </c>
      <c r="D179" s="2" t="s">
        <v>77</v>
      </c>
      <c r="E179" s="2" t="s">
        <v>29</v>
      </c>
      <c r="F179" s="2">
        <v>65</v>
      </c>
      <c r="G179" s="2" t="s">
        <v>198</v>
      </c>
      <c r="H179" s="2" t="s">
        <v>105</v>
      </c>
      <c r="I179" s="2" t="s">
        <v>199</v>
      </c>
      <c r="J179" s="2" t="s">
        <v>200</v>
      </c>
      <c r="K179" s="2">
        <v>3</v>
      </c>
      <c r="L179" s="4">
        <v>22100</v>
      </c>
      <c r="M179" s="5">
        <v>0.2</v>
      </c>
      <c r="N179" s="4">
        <v>13260</v>
      </c>
      <c r="O179" s="4">
        <v>9547.2000000000007</v>
      </c>
      <c r="P179" s="4">
        <v>100</v>
      </c>
      <c r="Q179" s="4">
        <v>62687.199999999997</v>
      </c>
      <c r="R179" s="2" t="s">
        <v>59</v>
      </c>
      <c r="S179" s="2" t="s">
        <v>133</v>
      </c>
      <c r="T179" s="2" t="s">
        <v>90</v>
      </c>
      <c r="U179" s="2" t="s">
        <v>62</v>
      </c>
      <c r="V179" s="2" t="s">
        <v>63</v>
      </c>
      <c r="W179" s="2">
        <v>10</v>
      </c>
      <c r="X179" s="2" t="s">
        <v>39</v>
      </c>
      <c r="Y179" s="2">
        <v>4</v>
      </c>
      <c r="Z179" s="2" t="s">
        <v>40</v>
      </c>
    </row>
    <row r="180" spans="1:26" x14ac:dyDescent="0.25">
      <c r="A180" s="2" t="s">
        <v>492</v>
      </c>
      <c r="B180" s="3">
        <v>46159</v>
      </c>
      <c r="C180" s="2" t="s">
        <v>491</v>
      </c>
      <c r="D180" s="2" t="s">
        <v>148</v>
      </c>
      <c r="E180" s="2" t="s">
        <v>29</v>
      </c>
      <c r="F180" s="2">
        <v>38</v>
      </c>
      <c r="G180" s="2" t="s">
        <v>55</v>
      </c>
      <c r="H180" s="2" t="s">
        <v>56</v>
      </c>
      <c r="I180" s="2" t="s">
        <v>57</v>
      </c>
      <c r="J180" s="2" t="s">
        <v>58</v>
      </c>
      <c r="K180" s="2">
        <v>3</v>
      </c>
      <c r="L180" s="4">
        <v>10800</v>
      </c>
      <c r="M180" s="5">
        <v>0.1</v>
      </c>
      <c r="N180" s="4">
        <v>3240</v>
      </c>
      <c r="O180" s="4">
        <v>5248.8</v>
      </c>
      <c r="P180" s="4">
        <v>200</v>
      </c>
      <c r="Q180" s="4">
        <v>34608.800000000003</v>
      </c>
      <c r="R180" s="2" t="s">
        <v>88</v>
      </c>
      <c r="S180" s="2" t="s">
        <v>60</v>
      </c>
      <c r="T180" s="2" t="s">
        <v>165</v>
      </c>
      <c r="U180" s="2" t="s">
        <v>166</v>
      </c>
      <c r="V180" s="2" t="s">
        <v>82</v>
      </c>
      <c r="W180" s="2">
        <v>2</v>
      </c>
      <c r="X180" s="2" t="s">
        <v>39</v>
      </c>
      <c r="Y180" s="2">
        <v>4</v>
      </c>
      <c r="Z180" s="2" t="s">
        <v>40</v>
      </c>
    </row>
    <row r="181" spans="1:26" x14ac:dyDescent="0.25">
      <c r="A181" s="2" t="s">
        <v>493</v>
      </c>
      <c r="B181" s="3">
        <v>46202</v>
      </c>
      <c r="C181" s="2" t="s">
        <v>494</v>
      </c>
      <c r="D181" s="2" t="s">
        <v>259</v>
      </c>
      <c r="E181" s="2" t="s">
        <v>29</v>
      </c>
      <c r="F181" s="2">
        <v>27</v>
      </c>
      <c r="G181" s="2" t="s">
        <v>55</v>
      </c>
      <c r="H181" s="2" t="s">
        <v>56</v>
      </c>
      <c r="I181" s="2" t="s">
        <v>57</v>
      </c>
      <c r="J181" s="2" t="s">
        <v>58</v>
      </c>
      <c r="K181" s="2">
        <v>2</v>
      </c>
      <c r="L181" s="4">
        <v>8500</v>
      </c>
      <c r="M181" s="5">
        <v>0.15</v>
      </c>
      <c r="N181" s="4">
        <v>2550</v>
      </c>
      <c r="O181" s="4">
        <v>722.5</v>
      </c>
      <c r="P181" s="4">
        <v>150</v>
      </c>
      <c r="Q181" s="4">
        <v>15322.5</v>
      </c>
      <c r="R181" s="2" t="s">
        <v>72</v>
      </c>
      <c r="S181" s="2" t="s">
        <v>89</v>
      </c>
      <c r="T181" s="2" t="s">
        <v>120</v>
      </c>
      <c r="U181" s="2" t="s">
        <v>121</v>
      </c>
      <c r="V181" s="2" t="s">
        <v>38</v>
      </c>
      <c r="W181" s="2">
        <v>5</v>
      </c>
      <c r="X181" s="2" t="s">
        <v>39</v>
      </c>
      <c r="Y181" s="2">
        <v>3</v>
      </c>
      <c r="Z181" s="2" t="s">
        <v>40</v>
      </c>
    </row>
    <row r="182" spans="1:26" x14ac:dyDescent="0.25">
      <c r="A182" s="2" t="s">
        <v>495</v>
      </c>
      <c r="B182" s="3">
        <v>46154</v>
      </c>
      <c r="C182" s="2" t="s">
        <v>496</v>
      </c>
      <c r="D182" s="2" t="s">
        <v>148</v>
      </c>
      <c r="E182" s="2" t="s">
        <v>44</v>
      </c>
      <c r="F182" s="2">
        <v>47</v>
      </c>
      <c r="G182" s="2" t="s">
        <v>45</v>
      </c>
      <c r="H182" s="2" t="s">
        <v>31</v>
      </c>
      <c r="I182" s="2" t="s">
        <v>46</v>
      </c>
      <c r="J182" s="2" t="s">
        <v>260</v>
      </c>
      <c r="K182" s="2">
        <v>5</v>
      </c>
      <c r="L182" s="4">
        <v>800</v>
      </c>
      <c r="M182" s="5">
        <v>0.25</v>
      </c>
      <c r="N182" s="4">
        <v>1000</v>
      </c>
      <c r="O182" s="4">
        <v>150</v>
      </c>
      <c r="P182" s="4">
        <v>200</v>
      </c>
      <c r="Q182" s="4">
        <v>3350</v>
      </c>
      <c r="R182" s="2" t="s">
        <v>59</v>
      </c>
      <c r="S182" s="2" t="s">
        <v>89</v>
      </c>
      <c r="T182" s="2" t="s">
        <v>73</v>
      </c>
      <c r="U182" s="2" t="s">
        <v>74</v>
      </c>
      <c r="V182" s="2" t="s">
        <v>50</v>
      </c>
      <c r="W182" s="2">
        <v>6</v>
      </c>
      <c r="X182" s="2" t="s">
        <v>39</v>
      </c>
      <c r="Y182" s="2">
        <v>0</v>
      </c>
      <c r="Z182" s="2" t="s">
        <v>64</v>
      </c>
    </row>
    <row r="183" spans="1:26" x14ac:dyDescent="0.25">
      <c r="A183" s="2" t="s">
        <v>497</v>
      </c>
      <c r="B183" s="3">
        <v>46078</v>
      </c>
      <c r="C183" s="2" t="s">
        <v>498</v>
      </c>
      <c r="D183" s="2" t="s">
        <v>163</v>
      </c>
      <c r="E183" s="2" t="s">
        <v>29</v>
      </c>
      <c r="F183" s="2">
        <v>49</v>
      </c>
      <c r="G183" s="2" t="s">
        <v>30</v>
      </c>
      <c r="H183" s="2" t="s">
        <v>31</v>
      </c>
      <c r="I183" s="2" t="s">
        <v>32</v>
      </c>
      <c r="J183" s="2" t="s">
        <v>170</v>
      </c>
      <c r="K183" s="2">
        <v>3</v>
      </c>
      <c r="L183" s="4">
        <v>1500</v>
      </c>
      <c r="M183" s="5">
        <v>0.2</v>
      </c>
      <c r="N183" s="4">
        <v>900</v>
      </c>
      <c r="O183" s="4">
        <v>648</v>
      </c>
      <c r="P183" s="4">
        <v>50</v>
      </c>
      <c r="Q183" s="4">
        <v>4298</v>
      </c>
      <c r="R183" s="2" t="s">
        <v>72</v>
      </c>
      <c r="S183" s="2" t="s">
        <v>35</v>
      </c>
      <c r="T183" s="2" t="s">
        <v>144</v>
      </c>
      <c r="U183" s="2" t="s">
        <v>145</v>
      </c>
      <c r="V183" s="2" t="s">
        <v>38</v>
      </c>
      <c r="W183" s="2">
        <v>8</v>
      </c>
      <c r="X183" s="2" t="s">
        <v>39</v>
      </c>
      <c r="Y183" s="2">
        <v>0</v>
      </c>
      <c r="Z183" s="2" t="s">
        <v>91</v>
      </c>
    </row>
    <row r="184" spans="1:26" x14ac:dyDescent="0.25">
      <c r="A184" s="2" t="s">
        <v>499</v>
      </c>
      <c r="B184" s="3">
        <v>46048</v>
      </c>
      <c r="C184" s="2" t="s">
        <v>500</v>
      </c>
      <c r="D184" s="2" t="s">
        <v>98</v>
      </c>
      <c r="E184" s="2" t="s">
        <v>29</v>
      </c>
      <c r="F184" s="2">
        <v>25</v>
      </c>
      <c r="G184" s="2" t="s">
        <v>125</v>
      </c>
      <c r="H184" s="2" t="s">
        <v>69</v>
      </c>
      <c r="I184" s="2" t="s">
        <v>126</v>
      </c>
      <c r="J184" s="2" t="s">
        <v>71</v>
      </c>
      <c r="K184" s="2">
        <v>4</v>
      </c>
      <c r="L184" s="4">
        <v>1000</v>
      </c>
      <c r="M184" s="5">
        <v>0.15</v>
      </c>
      <c r="N184" s="4">
        <v>600</v>
      </c>
      <c r="O184" s="4">
        <v>170</v>
      </c>
      <c r="P184" s="4">
        <v>200</v>
      </c>
      <c r="Q184" s="4">
        <v>3770</v>
      </c>
      <c r="R184" s="2" t="s">
        <v>34</v>
      </c>
      <c r="S184" s="2" t="s">
        <v>133</v>
      </c>
      <c r="T184" s="2" t="s">
        <v>173</v>
      </c>
      <c r="U184" s="2" t="s">
        <v>174</v>
      </c>
      <c r="V184" s="2" t="s">
        <v>82</v>
      </c>
      <c r="W184" s="2">
        <v>3</v>
      </c>
      <c r="X184" s="2" t="s">
        <v>39</v>
      </c>
      <c r="Y184" s="2">
        <v>0</v>
      </c>
      <c r="Z184" s="2" t="s">
        <v>64</v>
      </c>
    </row>
    <row r="185" spans="1:26" x14ac:dyDescent="0.25">
      <c r="A185" s="2" t="s">
        <v>501</v>
      </c>
      <c r="B185" s="3">
        <v>46046</v>
      </c>
      <c r="C185" s="2" t="s">
        <v>502</v>
      </c>
      <c r="D185" s="2" t="s">
        <v>54</v>
      </c>
      <c r="E185" s="2" t="s">
        <v>44</v>
      </c>
      <c r="F185" s="2">
        <v>23</v>
      </c>
      <c r="G185" s="2" t="s">
        <v>177</v>
      </c>
      <c r="H185" s="2" t="s">
        <v>31</v>
      </c>
      <c r="I185" s="2" t="s">
        <v>32</v>
      </c>
      <c r="J185" s="2" t="s">
        <v>294</v>
      </c>
      <c r="K185" s="2">
        <v>1</v>
      </c>
      <c r="L185" s="4">
        <v>3700</v>
      </c>
      <c r="M185" s="5">
        <v>0.25</v>
      </c>
      <c r="N185" s="4">
        <v>925</v>
      </c>
      <c r="O185" s="4">
        <v>333</v>
      </c>
      <c r="P185" s="4">
        <v>200</v>
      </c>
      <c r="Q185" s="4">
        <v>3308</v>
      </c>
      <c r="R185" s="2" t="s">
        <v>48</v>
      </c>
      <c r="S185" s="2" t="s">
        <v>35</v>
      </c>
      <c r="T185" s="2" t="s">
        <v>36</v>
      </c>
      <c r="U185" s="2" t="s">
        <v>37</v>
      </c>
      <c r="V185" s="2" t="s">
        <v>38</v>
      </c>
      <c r="W185" s="2">
        <v>4</v>
      </c>
      <c r="X185" s="2" t="s">
        <v>39</v>
      </c>
      <c r="Y185" s="2">
        <v>3</v>
      </c>
      <c r="Z185" s="2" t="s">
        <v>40</v>
      </c>
    </row>
    <row r="186" spans="1:26" x14ac:dyDescent="0.25">
      <c r="A186" s="2" t="s">
        <v>503</v>
      </c>
      <c r="B186" s="3">
        <v>46056</v>
      </c>
      <c r="C186" s="2" t="s">
        <v>504</v>
      </c>
      <c r="D186" s="2" t="s">
        <v>85</v>
      </c>
      <c r="E186" s="2" t="s">
        <v>29</v>
      </c>
      <c r="F186" s="2">
        <v>51</v>
      </c>
      <c r="G186" s="2" t="s">
        <v>86</v>
      </c>
      <c r="H186" s="2" t="s">
        <v>56</v>
      </c>
      <c r="I186" s="2" t="s">
        <v>57</v>
      </c>
      <c r="J186" s="2" t="s">
        <v>87</v>
      </c>
      <c r="K186" s="2">
        <v>1</v>
      </c>
      <c r="L186" s="4">
        <v>1800</v>
      </c>
      <c r="M186" s="5">
        <v>0.25</v>
      </c>
      <c r="N186" s="4">
        <v>450</v>
      </c>
      <c r="O186" s="4">
        <v>162</v>
      </c>
      <c r="P186" s="4">
        <v>250</v>
      </c>
      <c r="Q186" s="4">
        <v>1762</v>
      </c>
      <c r="R186" s="2" t="s">
        <v>72</v>
      </c>
      <c r="S186" s="2" t="s">
        <v>60</v>
      </c>
      <c r="T186" s="2" t="s">
        <v>95</v>
      </c>
      <c r="U186" s="2" t="s">
        <v>62</v>
      </c>
      <c r="V186" s="2" t="s">
        <v>63</v>
      </c>
      <c r="W186" s="2">
        <v>7</v>
      </c>
      <c r="X186" s="2" t="s">
        <v>39</v>
      </c>
      <c r="Y186" s="2">
        <v>0</v>
      </c>
      <c r="Z186" s="2" t="s">
        <v>91</v>
      </c>
    </row>
    <row r="187" spans="1:26" x14ac:dyDescent="0.25">
      <c r="A187" s="2" t="s">
        <v>505</v>
      </c>
      <c r="B187" s="3">
        <v>46121</v>
      </c>
      <c r="C187" s="2" t="s">
        <v>506</v>
      </c>
      <c r="D187" s="2" t="s">
        <v>67</v>
      </c>
      <c r="E187" s="2" t="s">
        <v>29</v>
      </c>
      <c r="F187" s="2">
        <v>24</v>
      </c>
      <c r="G187" s="2" t="s">
        <v>177</v>
      </c>
      <c r="H187" s="2" t="s">
        <v>31</v>
      </c>
      <c r="I187" s="2" t="s">
        <v>32</v>
      </c>
      <c r="J187" s="2" t="s">
        <v>178</v>
      </c>
      <c r="K187" s="2">
        <v>3</v>
      </c>
      <c r="L187" s="4">
        <v>2000</v>
      </c>
      <c r="M187" s="5">
        <v>0.15</v>
      </c>
      <c r="N187" s="4">
        <v>900</v>
      </c>
      <c r="O187" s="4">
        <v>255</v>
      </c>
      <c r="P187" s="4">
        <v>200</v>
      </c>
      <c r="Q187" s="4">
        <v>5555</v>
      </c>
      <c r="R187" s="2" t="s">
        <v>48</v>
      </c>
      <c r="S187" s="2" t="s">
        <v>133</v>
      </c>
      <c r="T187" s="2" t="s">
        <v>120</v>
      </c>
      <c r="U187" s="2" t="s">
        <v>121</v>
      </c>
      <c r="V187" s="2" t="s">
        <v>38</v>
      </c>
      <c r="W187" s="2">
        <v>3</v>
      </c>
      <c r="X187" s="2" t="s">
        <v>39</v>
      </c>
      <c r="Y187" s="2">
        <v>5</v>
      </c>
      <c r="Z187" s="2" t="s">
        <v>40</v>
      </c>
    </row>
    <row r="188" spans="1:26" x14ac:dyDescent="0.25">
      <c r="A188" s="2" t="s">
        <v>507</v>
      </c>
      <c r="B188" s="3">
        <v>46207</v>
      </c>
      <c r="C188" s="2" t="s">
        <v>448</v>
      </c>
      <c r="D188" s="2" t="s">
        <v>43</v>
      </c>
      <c r="E188" s="2" t="s">
        <v>29</v>
      </c>
      <c r="F188" s="2">
        <v>44</v>
      </c>
      <c r="G188" s="2" t="s">
        <v>198</v>
      </c>
      <c r="H188" s="2" t="s">
        <v>105</v>
      </c>
      <c r="I188" s="2" t="s">
        <v>199</v>
      </c>
      <c r="J188" s="2" t="s">
        <v>200</v>
      </c>
      <c r="K188" s="2">
        <v>4</v>
      </c>
      <c r="L188" s="4">
        <v>9500</v>
      </c>
      <c r="M188" s="5">
        <v>0</v>
      </c>
      <c r="N188" s="4">
        <v>0</v>
      </c>
      <c r="O188" s="4">
        <v>1900</v>
      </c>
      <c r="P188" s="4">
        <v>50</v>
      </c>
      <c r="Q188" s="4">
        <v>39950</v>
      </c>
      <c r="R188" s="2" t="s">
        <v>34</v>
      </c>
      <c r="S188" s="2" t="s">
        <v>60</v>
      </c>
      <c r="T188" s="2" t="s">
        <v>80</v>
      </c>
      <c r="U188" s="2" t="s">
        <v>81</v>
      </c>
      <c r="V188" s="2" t="s">
        <v>82</v>
      </c>
      <c r="W188" s="2">
        <v>2</v>
      </c>
      <c r="X188" s="2" t="s">
        <v>39</v>
      </c>
      <c r="Y188" s="2">
        <v>5</v>
      </c>
      <c r="Z188" s="2" t="s">
        <v>40</v>
      </c>
    </row>
    <row r="189" spans="1:26" x14ac:dyDescent="0.25">
      <c r="A189" s="2" t="s">
        <v>508</v>
      </c>
      <c r="B189" s="3">
        <v>46093</v>
      </c>
      <c r="C189" s="2" t="s">
        <v>509</v>
      </c>
      <c r="D189" s="2" t="s">
        <v>67</v>
      </c>
      <c r="E189" s="2" t="s">
        <v>29</v>
      </c>
      <c r="F189" s="2">
        <v>53</v>
      </c>
      <c r="G189" s="2" t="s">
        <v>198</v>
      </c>
      <c r="H189" s="2" t="s">
        <v>105</v>
      </c>
      <c r="I189" s="2" t="s">
        <v>199</v>
      </c>
      <c r="J189" s="2" t="s">
        <v>200</v>
      </c>
      <c r="K189" s="2">
        <v>5</v>
      </c>
      <c r="L189" s="4">
        <v>11200</v>
      </c>
      <c r="M189" s="5">
        <v>0.25</v>
      </c>
      <c r="N189" s="4">
        <v>14000</v>
      </c>
      <c r="O189" s="4">
        <v>2100</v>
      </c>
      <c r="P189" s="4">
        <v>250</v>
      </c>
      <c r="Q189" s="4">
        <v>44350</v>
      </c>
      <c r="R189" s="2" t="s">
        <v>88</v>
      </c>
      <c r="S189" s="2" t="s">
        <v>35</v>
      </c>
      <c r="T189" s="2" t="s">
        <v>165</v>
      </c>
      <c r="U189" s="2" t="s">
        <v>166</v>
      </c>
      <c r="V189" s="2" t="s">
        <v>82</v>
      </c>
      <c r="W189" s="2">
        <v>5</v>
      </c>
      <c r="X189" s="2" t="s">
        <v>39</v>
      </c>
      <c r="Y189" s="2">
        <v>4</v>
      </c>
      <c r="Z189" s="2" t="s">
        <v>40</v>
      </c>
    </row>
    <row r="190" spans="1:26" x14ac:dyDescent="0.25">
      <c r="A190" s="2" t="s">
        <v>510</v>
      </c>
      <c r="B190" s="3">
        <v>46223</v>
      </c>
      <c r="C190" s="2" t="s">
        <v>511</v>
      </c>
      <c r="D190" s="2" t="s">
        <v>77</v>
      </c>
      <c r="E190" s="2" t="s">
        <v>44</v>
      </c>
      <c r="F190" s="2">
        <v>42</v>
      </c>
      <c r="G190" s="2" t="s">
        <v>142</v>
      </c>
      <c r="H190" s="2" t="s">
        <v>69</v>
      </c>
      <c r="I190" s="2" t="s">
        <v>143</v>
      </c>
      <c r="J190" s="2" t="s">
        <v>110</v>
      </c>
      <c r="K190" s="2">
        <v>4</v>
      </c>
      <c r="L190" s="4">
        <v>77300</v>
      </c>
      <c r="M190" s="5">
        <v>0.2</v>
      </c>
      <c r="N190" s="4">
        <v>61840</v>
      </c>
      <c r="O190" s="4">
        <v>12368</v>
      </c>
      <c r="P190" s="4">
        <v>150</v>
      </c>
      <c r="Q190" s="4">
        <v>259878</v>
      </c>
      <c r="R190" s="2" t="s">
        <v>48</v>
      </c>
      <c r="S190" s="2" t="s">
        <v>89</v>
      </c>
      <c r="T190" s="2" t="s">
        <v>173</v>
      </c>
      <c r="U190" s="2" t="s">
        <v>174</v>
      </c>
      <c r="V190" s="2" t="s">
        <v>82</v>
      </c>
      <c r="W190" s="2">
        <v>1</v>
      </c>
      <c r="X190" s="2" t="s">
        <v>39</v>
      </c>
      <c r="Y190" s="2">
        <v>0</v>
      </c>
      <c r="Z190" s="2" t="s">
        <v>111</v>
      </c>
    </row>
    <row r="191" spans="1:26" x14ac:dyDescent="0.25">
      <c r="A191" s="2" t="s">
        <v>512</v>
      </c>
      <c r="B191" s="3">
        <v>46116</v>
      </c>
      <c r="C191" s="2" t="s">
        <v>513</v>
      </c>
      <c r="D191" s="2" t="s">
        <v>132</v>
      </c>
      <c r="E191" s="2" t="s">
        <v>29</v>
      </c>
      <c r="F191" s="2">
        <v>48</v>
      </c>
      <c r="G191" s="2" t="s">
        <v>142</v>
      </c>
      <c r="H191" s="2" t="s">
        <v>69</v>
      </c>
      <c r="I191" s="2" t="s">
        <v>143</v>
      </c>
      <c r="J191" s="2" t="s">
        <v>94</v>
      </c>
      <c r="K191" s="2">
        <v>5</v>
      </c>
      <c r="L191" s="4">
        <v>18900</v>
      </c>
      <c r="M191" s="5">
        <v>0</v>
      </c>
      <c r="N191" s="4">
        <v>0</v>
      </c>
      <c r="O191" s="4">
        <v>11340</v>
      </c>
      <c r="P191" s="4">
        <v>50</v>
      </c>
      <c r="Q191" s="4">
        <v>105890</v>
      </c>
      <c r="R191" s="2" t="s">
        <v>59</v>
      </c>
      <c r="S191" s="2" t="s">
        <v>133</v>
      </c>
      <c r="T191" s="2" t="s">
        <v>138</v>
      </c>
      <c r="U191" s="2" t="s">
        <v>62</v>
      </c>
      <c r="V191" s="2" t="s">
        <v>63</v>
      </c>
      <c r="W191" s="2">
        <v>1</v>
      </c>
      <c r="X191" s="2" t="s">
        <v>39</v>
      </c>
      <c r="Y191" s="2">
        <v>0</v>
      </c>
      <c r="Z191" s="2" t="s">
        <v>64</v>
      </c>
    </row>
    <row r="192" spans="1:26" x14ac:dyDescent="0.25">
      <c r="A192" s="2" t="s">
        <v>514</v>
      </c>
      <c r="B192" s="3">
        <v>46183</v>
      </c>
      <c r="C192" s="2" t="s">
        <v>515</v>
      </c>
      <c r="D192" s="2" t="s">
        <v>141</v>
      </c>
      <c r="E192" s="2" t="s">
        <v>44</v>
      </c>
      <c r="F192" s="2">
        <v>45</v>
      </c>
      <c r="G192" s="2" t="s">
        <v>55</v>
      </c>
      <c r="H192" s="2" t="s">
        <v>56</v>
      </c>
      <c r="I192" s="2" t="s">
        <v>57</v>
      </c>
      <c r="J192" s="2" t="s">
        <v>58</v>
      </c>
      <c r="K192" s="2">
        <v>1</v>
      </c>
      <c r="L192" s="4">
        <v>11600</v>
      </c>
      <c r="M192" s="5">
        <v>0.2</v>
      </c>
      <c r="N192" s="4">
        <v>2320</v>
      </c>
      <c r="O192" s="4">
        <v>1670.4</v>
      </c>
      <c r="P192" s="4">
        <v>150</v>
      </c>
      <c r="Q192" s="4">
        <v>11100.4</v>
      </c>
      <c r="R192" s="2" t="s">
        <v>34</v>
      </c>
      <c r="S192" s="2" t="s">
        <v>133</v>
      </c>
      <c r="T192" s="2" t="s">
        <v>90</v>
      </c>
      <c r="U192" s="2" t="s">
        <v>62</v>
      </c>
      <c r="V192" s="2" t="s">
        <v>63</v>
      </c>
      <c r="W192" s="2">
        <v>5</v>
      </c>
      <c r="X192" s="2" t="s">
        <v>39</v>
      </c>
      <c r="Y192" s="2">
        <v>5</v>
      </c>
      <c r="Z192" s="2" t="s">
        <v>40</v>
      </c>
    </row>
    <row r="193" spans="1:26" x14ac:dyDescent="0.25">
      <c r="A193" s="2" t="s">
        <v>516</v>
      </c>
      <c r="B193" s="3">
        <v>46123</v>
      </c>
      <c r="C193" s="2" t="s">
        <v>306</v>
      </c>
      <c r="D193" s="2" t="s">
        <v>85</v>
      </c>
      <c r="E193" s="2" t="s">
        <v>29</v>
      </c>
      <c r="F193" s="2">
        <v>37</v>
      </c>
      <c r="G193" s="2" t="s">
        <v>55</v>
      </c>
      <c r="H193" s="2" t="s">
        <v>56</v>
      </c>
      <c r="I193" s="2" t="s">
        <v>57</v>
      </c>
      <c r="J193" s="2" t="s">
        <v>58</v>
      </c>
      <c r="K193" s="2">
        <v>2</v>
      </c>
      <c r="L193" s="4">
        <v>4200</v>
      </c>
      <c r="M193" s="5">
        <v>0.05</v>
      </c>
      <c r="N193" s="4">
        <v>420</v>
      </c>
      <c r="O193" s="4">
        <v>399</v>
      </c>
      <c r="P193" s="4">
        <v>100</v>
      </c>
      <c r="Q193" s="4">
        <v>8479</v>
      </c>
      <c r="R193" s="2" t="s">
        <v>34</v>
      </c>
      <c r="S193" s="2" t="s">
        <v>35</v>
      </c>
      <c r="T193" s="2" t="s">
        <v>95</v>
      </c>
      <c r="U193" s="2" t="s">
        <v>62</v>
      </c>
      <c r="V193" s="2" t="s">
        <v>63</v>
      </c>
      <c r="W193" s="2">
        <v>8</v>
      </c>
      <c r="X193" s="2" t="s">
        <v>39</v>
      </c>
      <c r="Y193" s="2">
        <v>5</v>
      </c>
      <c r="Z193" s="2" t="s">
        <v>40</v>
      </c>
    </row>
    <row r="194" spans="1:26" x14ac:dyDescent="0.25">
      <c r="A194" s="2" t="s">
        <v>517</v>
      </c>
      <c r="B194" s="3">
        <v>46026</v>
      </c>
      <c r="C194" s="2" t="s">
        <v>518</v>
      </c>
      <c r="D194" s="2" t="s">
        <v>259</v>
      </c>
      <c r="E194" s="2" t="s">
        <v>29</v>
      </c>
      <c r="F194" s="2">
        <v>28</v>
      </c>
      <c r="G194" s="2" t="s">
        <v>45</v>
      </c>
      <c r="H194" s="2" t="s">
        <v>31</v>
      </c>
      <c r="I194" s="2" t="s">
        <v>46</v>
      </c>
      <c r="J194" s="2" t="s">
        <v>260</v>
      </c>
      <c r="K194" s="2">
        <v>5</v>
      </c>
      <c r="L194" s="4">
        <v>4100</v>
      </c>
      <c r="M194" s="5">
        <v>0.25</v>
      </c>
      <c r="N194" s="4">
        <v>5125</v>
      </c>
      <c r="O194" s="4">
        <v>1845</v>
      </c>
      <c r="P194" s="4">
        <v>50</v>
      </c>
      <c r="Q194" s="4">
        <v>17270</v>
      </c>
      <c r="R194" s="2" t="s">
        <v>88</v>
      </c>
      <c r="S194" s="2" t="s">
        <v>35</v>
      </c>
      <c r="T194" s="2" t="s">
        <v>49</v>
      </c>
      <c r="U194" s="2" t="s">
        <v>49</v>
      </c>
      <c r="V194" s="2" t="s">
        <v>50</v>
      </c>
      <c r="W194" s="2">
        <v>3</v>
      </c>
      <c r="X194" s="2" t="s">
        <v>39</v>
      </c>
      <c r="Y194" s="2">
        <v>0</v>
      </c>
      <c r="Z194" s="2" t="s">
        <v>91</v>
      </c>
    </row>
    <row r="195" spans="1:26" x14ac:dyDescent="0.25">
      <c r="A195" s="2" t="s">
        <v>519</v>
      </c>
      <c r="B195" s="3">
        <v>46220</v>
      </c>
      <c r="C195" s="2" t="s">
        <v>520</v>
      </c>
      <c r="D195" s="2" t="s">
        <v>234</v>
      </c>
      <c r="E195" s="2" t="s">
        <v>44</v>
      </c>
      <c r="F195" s="2">
        <v>45</v>
      </c>
      <c r="G195" s="2" t="s">
        <v>30</v>
      </c>
      <c r="H195" s="2" t="s">
        <v>31</v>
      </c>
      <c r="I195" s="2" t="s">
        <v>32</v>
      </c>
      <c r="J195" s="2" t="s">
        <v>204</v>
      </c>
      <c r="K195" s="2">
        <v>3</v>
      </c>
      <c r="L195" s="4">
        <v>2700</v>
      </c>
      <c r="M195" s="5">
        <v>0.2</v>
      </c>
      <c r="N195" s="4">
        <v>1620</v>
      </c>
      <c r="O195" s="4">
        <v>1166.4000000000001</v>
      </c>
      <c r="P195" s="4">
        <v>0</v>
      </c>
      <c r="Q195" s="4">
        <v>7646.4</v>
      </c>
      <c r="R195" s="2" t="s">
        <v>88</v>
      </c>
      <c r="S195" s="2" t="s">
        <v>60</v>
      </c>
      <c r="T195" s="2" t="s">
        <v>73</v>
      </c>
      <c r="U195" s="2" t="s">
        <v>74</v>
      </c>
      <c r="V195" s="2" t="s">
        <v>50</v>
      </c>
      <c r="W195" s="2">
        <v>8</v>
      </c>
      <c r="X195" s="2" t="s">
        <v>39</v>
      </c>
      <c r="Y195" s="2">
        <v>5</v>
      </c>
      <c r="Z195" s="2" t="s">
        <v>40</v>
      </c>
    </row>
    <row r="196" spans="1:26" x14ac:dyDescent="0.25">
      <c r="A196" s="2" t="s">
        <v>521</v>
      </c>
      <c r="B196" s="3">
        <v>46088</v>
      </c>
      <c r="C196" s="2" t="s">
        <v>522</v>
      </c>
      <c r="D196" s="2" t="s">
        <v>28</v>
      </c>
      <c r="E196" s="2" t="s">
        <v>29</v>
      </c>
      <c r="F196" s="2">
        <v>32</v>
      </c>
      <c r="G196" s="2" t="s">
        <v>55</v>
      </c>
      <c r="H196" s="2" t="s">
        <v>56</v>
      </c>
      <c r="I196" s="2" t="s">
        <v>57</v>
      </c>
      <c r="J196" s="2" t="s">
        <v>235</v>
      </c>
      <c r="K196" s="2">
        <v>1</v>
      </c>
      <c r="L196" s="4">
        <v>4000</v>
      </c>
      <c r="M196" s="5">
        <v>0</v>
      </c>
      <c r="N196" s="4">
        <v>0</v>
      </c>
      <c r="O196" s="4">
        <v>200</v>
      </c>
      <c r="P196" s="4">
        <v>0</v>
      </c>
      <c r="Q196" s="4">
        <v>4200</v>
      </c>
      <c r="R196" s="2" t="s">
        <v>72</v>
      </c>
      <c r="S196" s="2" t="s">
        <v>89</v>
      </c>
      <c r="T196" s="2" t="s">
        <v>73</v>
      </c>
      <c r="U196" s="2" t="s">
        <v>74</v>
      </c>
      <c r="V196" s="2" t="s">
        <v>50</v>
      </c>
      <c r="W196" s="2">
        <v>6</v>
      </c>
      <c r="X196" s="2" t="s">
        <v>39</v>
      </c>
      <c r="Y196" s="2">
        <v>5</v>
      </c>
      <c r="Z196" s="2" t="s">
        <v>40</v>
      </c>
    </row>
    <row r="197" spans="1:26" x14ac:dyDescent="0.25">
      <c r="A197" s="2" t="s">
        <v>523</v>
      </c>
      <c r="B197" s="3">
        <v>46080</v>
      </c>
      <c r="C197" s="2" t="s">
        <v>524</v>
      </c>
      <c r="D197" s="2" t="s">
        <v>169</v>
      </c>
      <c r="E197" s="2" t="s">
        <v>29</v>
      </c>
      <c r="F197" s="2">
        <v>44</v>
      </c>
      <c r="G197" s="2" t="s">
        <v>55</v>
      </c>
      <c r="H197" s="2" t="s">
        <v>56</v>
      </c>
      <c r="I197" s="2" t="s">
        <v>57</v>
      </c>
      <c r="J197" s="2" t="s">
        <v>58</v>
      </c>
      <c r="K197" s="2">
        <v>3</v>
      </c>
      <c r="L197" s="4">
        <v>4400</v>
      </c>
      <c r="M197" s="5">
        <v>0.2</v>
      </c>
      <c r="N197" s="4">
        <v>2640</v>
      </c>
      <c r="O197" s="4">
        <v>1267.2</v>
      </c>
      <c r="P197" s="4">
        <v>0</v>
      </c>
      <c r="Q197" s="4">
        <v>11827.2</v>
      </c>
      <c r="R197" s="2" t="s">
        <v>72</v>
      </c>
      <c r="S197" s="2" t="s">
        <v>89</v>
      </c>
      <c r="T197" s="2" t="s">
        <v>255</v>
      </c>
      <c r="U197" s="2" t="s">
        <v>256</v>
      </c>
      <c r="V197" s="2" t="s">
        <v>38</v>
      </c>
      <c r="W197" s="2">
        <v>1</v>
      </c>
      <c r="X197" s="2" t="s">
        <v>122</v>
      </c>
      <c r="Y197" s="2">
        <v>5</v>
      </c>
      <c r="Z197" s="2" t="s">
        <v>40</v>
      </c>
    </row>
    <row r="198" spans="1:26" x14ac:dyDescent="0.25">
      <c r="A198" s="2" t="s">
        <v>525</v>
      </c>
      <c r="B198" s="3">
        <v>46244</v>
      </c>
      <c r="C198" s="2" t="s">
        <v>526</v>
      </c>
      <c r="D198" s="2" t="s">
        <v>240</v>
      </c>
      <c r="E198" s="2" t="s">
        <v>44</v>
      </c>
      <c r="F198" s="2">
        <v>38</v>
      </c>
      <c r="G198" s="2" t="s">
        <v>142</v>
      </c>
      <c r="H198" s="2" t="s">
        <v>69</v>
      </c>
      <c r="I198" s="2" t="s">
        <v>143</v>
      </c>
      <c r="J198" s="2" t="s">
        <v>248</v>
      </c>
      <c r="K198" s="2">
        <v>1</v>
      </c>
      <c r="L198" s="4">
        <v>49700</v>
      </c>
      <c r="M198" s="5">
        <v>0.05</v>
      </c>
      <c r="N198" s="4">
        <v>2485</v>
      </c>
      <c r="O198" s="4">
        <v>5665.8</v>
      </c>
      <c r="P198" s="4">
        <v>150</v>
      </c>
      <c r="Q198" s="4">
        <v>53030.8</v>
      </c>
      <c r="R198" s="2" t="s">
        <v>48</v>
      </c>
      <c r="S198" s="2" t="s">
        <v>133</v>
      </c>
      <c r="T198" s="2" t="s">
        <v>80</v>
      </c>
      <c r="U198" s="2" t="s">
        <v>81</v>
      </c>
      <c r="V198" s="2" t="s">
        <v>82</v>
      </c>
      <c r="W198" s="2">
        <v>5</v>
      </c>
      <c r="X198" s="2" t="s">
        <v>39</v>
      </c>
      <c r="Y198" s="2">
        <v>0</v>
      </c>
      <c r="Z198" s="2" t="s">
        <v>91</v>
      </c>
    </row>
    <row r="199" spans="1:26" x14ac:dyDescent="0.25">
      <c r="A199" s="2" t="s">
        <v>527</v>
      </c>
      <c r="B199" s="3">
        <v>46174</v>
      </c>
      <c r="C199" s="2" t="s">
        <v>408</v>
      </c>
      <c r="D199" s="2" t="s">
        <v>114</v>
      </c>
      <c r="E199" s="2" t="s">
        <v>29</v>
      </c>
      <c r="F199" s="2">
        <v>64</v>
      </c>
      <c r="G199" s="2" t="s">
        <v>104</v>
      </c>
      <c r="H199" s="2" t="s">
        <v>105</v>
      </c>
      <c r="I199" s="2" t="s">
        <v>106</v>
      </c>
      <c r="J199" s="2" t="s">
        <v>181</v>
      </c>
      <c r="K199" s="2">
        <v>2</v>
      </c>
      <c r="L199" s="4">
        <v>5100</v>
      </c>
      <c r="M199" s="5">
        <v>0.15</v>
      </c>
      <c r="N199" s="4">
        <v>1530</v>
      </c>
      <c r="O199" s="4">
        <v>433.5</v>
      </c>
      <c r="P199" s="4">
        <v>50</v>
      </c>
      <c r="Q199" s="4">
        <v>9153.5</v>
      </c>
      <c r="R199" s="2" t="s">
        <v>72</v>
      </c>
      <c r="S199" s="2" t="s">
        <v>89</v>
      </c>
      <c r="T199" s="2" t="s">
        <v>255</v>
      </c>
      <c r="U199" s="2" t="s">
        <v>256</v>
      </c>
      <c r="V199" s="2" t="s">
        <v>38</v>
      </c>
      <c r="W199" s="2">
        <v>6</v>
      </c>
      <c r="X199" s="2" t="s">
        <v>39</v>
      </c>
      <c r="Y199" s="2">
        <v>3</v>
      </c>
      <c r="Z199" s="2" t="s">
        <v>40</v>
      </c>
    </row>
    <row r="200" spans="1:26" x14ac:dyDescent="0.25">
      <c r="A200" s="2" t="s">
        <v>528</v>
      </c>
      <c r="B200" s="3">
        <v>46240</v>
      </c>
      <c r="C200" s="2" t="s">
        <v>529</v>
      </c>
      <c r="D200" s="2" t="s">
        <v>240</v>
      </c>
      <c r="E200" s="2" t="s">
        <v>29</v>
      </c>
      <c r="F200" s="2">
        <v>31</v>
      </c>
      <c r="G200" s="2" t="s">
        <v>104</v>
      </c>
      <c r="H200" s="2" t="s">
        <v>105</v>
      </c>
      <c r="I200" s="2" t="s">
        <v>106</v>
      </c>
      <c r="J200" s="2" t="s">
        <v>181</v>
      </c>
      <c r="K200" s="2">
        <v>4</v>
      </c>
      <c r="L200" s="4">
        <v>17500</v>
      </c>
      <c r="M200" s="5">
        <v>0</v>
      </c>
      <c r="N200" s="4">
        <v>0</v>
      </c>
      <c r="O200" s="4">
        <v>3500</v>
      </c>
      <c r="P200" s="4">
        <v>200</v>
      </c>
      <c r="Q200" s="4">
        <v>73700</v>
      </c>
      <c r="R200" s="2" t="s">
        <v>88</v>
      </c>
      <c r="S200" s="2" t="s">
        <v>89</v>
      </c>
      <c r="T200" s="2" t="s">
        <v>61</v>
      </c>
      <c r="U200" s="2" t="s">
        <v>62</v>
      </c>
      <c r="V200" s="2" t="s">
        <v>63</v>
      </c>
      <c r="W200" s="2">
        <v>2</v>
      </c>
      <c r="X200" s="2" t="s">
        <v>39</v>
      </c>
      <c r="Y200" s="2">
        <v>5</v>
      </c>
      <c r="Z200" s="2" t="s">
        <v>40</v>
      </c>
    </row>
    <row r="201" spans="1:26" x14ac:dyDescent="0.25">
      <c r="A201" s="2" t="s">
        <v>530</v>
      </c>
      <c r="B201" s="3">
        <v>46272</v>
      </c>
      <c r="C201" s="2" t="s">
        <v>338</v>
      </c>
      <c r="D201" s="2" t="s">
        <v>67</v>
      </c>
      <c r="E201" s="2" t="s">
        <v>29</v>
      </c>
      <c r="F201" s="2">
        <v>50</v>
      </c>
      <c r="G201" s="2" t="s">
        <v>125</v>
      </c>
      <c r="H201" s="2" t="s">
        <v>69</v>
      </c>
      <c r="I201" s="2" t="s">
        <v>126</v>
      </c>
      <c r="J201" s="2" t="s">
        <v>71</v>
      </c>
      <c r="K201" s="2">
        <v>1</v>
      </c>
      <c r="L201" s="4">
        <v>8500</v>
      </c>
      <c r="M201" s="5">
        <v>0.2</v>
      </c>
      <c r="N201" s="4">
        <v>1700</v>
      </c>
      <c r="O201" s="4">
        <v>340</v>
      </c>
      <c r="P201" s="4">
        <v>100</v>
      </c>
      <c r="Q201" s="4">
        <v>7240</v>
      </c>
      <c r="R201" s="2" t="s">
        <v>48</v>
      </c>
      <c r="S201" s="2" t="s">
        <v>133</v>
      </c>
      <c r="T201" s="2" t="s">
        <v>120</v>
      </c>
      <c r="U201" s="2" t="s">
        <v>121</v>
      </c>
      <c r="V201" s="2" t="s">
        <v>38</v>
      </c>
      <c r="W201" s="2">
        <v>3</v>
      </c>
      <c r="X201" s="2" t="s">
        <v>39</v>
      </c>
      <c r="Y201" s="2">
        <v>4</v>
      </c>
      <c r="Z201" s="2" t="s">
        <v>40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05F3-2866-42C6-AFF7-B8910601D6F0}">
  <dimension ref="A1"/>
  <sheetViews>
    <sheetView zoomScale="93" zoomScaleNormal="55" workbookViewId="0">
      <selection activeCell="AD10" sqref="AD1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KPIs</vt:lpstr>
      <vt:lpstr>Dashboard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Pagar</dc:creator>
  <cp:lastModifiedBy>Sahil Pagar</cp:lastModifiedBy>
  <cp:lastPrinted>2026-09-08T09:00:09Z</cp:lastPrinted>
  <dcterms:created xsi:type="dcterms:W3CDTF">2026-09-07T16:37:52Z</dcterms:created>
  <dcterms:modified xsi:type="dcterms:W3CDTF">2026-09-08T10:02:47Z</dcterms:modified>
</cp:coreProperties>
</file>